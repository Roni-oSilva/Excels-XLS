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ançamentos" sheetId="3" r:id="rId3"/>
    <sheet name="Mensal" sheetId="4" r:id="rId4"/>
    <sheet name="Calc" sheetId="5" state="hidden" r:id="rId5"/>
    <sheet name="Dashboard" sheetId="6" r:id="rId6"/>
  </sheets>
  <definedNames>
    <definedName name="_xlnm._FilterDatabase" localSheetId="2" hidden="1">Lançamentos!$A$4:$K$1004</definedName>
    <definedName name="Ano">Config!$C$5</definedName>
    <definedName name="CatNome">Config!$B$12:$B$51</definedName>
    <definedName name="CatTipo">Config!$C$12:$C$51</definedName>
    <definedName name="Contas">Config!$F$12:$F$23</definedName>
    <definedName name="Hoje">Config!$C$7</definedName>
    <definedName name="MetaReserva">Config!$C$8</definedName>
    <definedName name="SaldoIni">Config!$C$6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Realizado = já aconteceu.
Previsto = ainda vai acontecer (conta futura, venda esperada).</t>
        </r>
      </text>
    </comment>
  </commentList>
</comments>
</file>

<file path=xl/sharedStrings.xml><?xml version="1.0" encoding="utf-8"?>
<sst xmlns="http://schemas.openxmlformats.org/spreadsheetml/2006/main" count="1221" uniqueCount="147">
  <si>
    <t>Fluxo de Caixa Inteligente</t>
  </si>
  <si>
    <t>Carvex XLS · Saiba quanto realmente sobra no fim do mês</t>
  </si>
  <si>
    <t>ESTE É O ARQUIVO DE EXEMPLO: todos os dados são fictícios. Use-o para entender como a planilha funciona e comece a sua pela PLANILHA-LIMPA.xlsx.</t>
  </si>
  <si>
    <t>O que esta planilha faz</t>
  </si>
  <si>
    <t>Registre cada entrada e saída (já realizada ou prevista) e a planilha mostra o saldo atual, o saldo projetado mês a mês, se o caixa vai ficar negativo, quantos meses de reserva você tem e para onde vai o seu dinheiro.</t>
  </si>
  <si>
    <t>Como começar (5 minutos)</t>
  </si>
  <si>
    <t>1. Abra a aba Config</t>
  </si>
  <si>
    <t>Preencha o nome da empresa, o ano de análise e o saldo inicial (quanto havia em caixa + bancos em 1º de janeiro).</t>
  </si>
  <si>
    <t>2. Revise as categorias</t>
  </si>
  <si>
    <t>Na Config, ajuste a lista de categorias ao seu negócio. Cada categoria é de um Tipo (Entrada ou Saída).</t>
  </si>
  <si>
    <t>3. Lance os movimentos</t>
  </si>
  <si>
    <t>Na aba Lançamentos, uma linha por movimento: data, tipo, categoria, descrição, conta, valor e status.</t>
  </si>
  <si>
    <t>4. Use Previsto e Realizado</t>
  </si>
  <si>
    <t>Contas que ainda vão acontecer entram como 'Previsto'. Quando acontecerem, troque para 'Realizado'.</t>
  </si>
  <si>
    <t>5. Leia o Dashboard</t>
  </si>
  <si>
    <t>Veja o saldo atual, o saldo projetado e a coluna Alerta da aba Mensal. Vermelho = atenção.</t>
  </si>
  <si>
    <t>Mapa das abas (clique para ir)</t>
  </si>
  <si>
    <t>Config</t>
  </si>
  <si>
    <t>Dados da empresa, ano, saldo inicial e lista de categorias (você pode renomear e criar categorias).</t>
  </si>
  <si>
    <t>Lançamentos</t>
  </si>
  <si>
    <t>Onde você registra TODAS as entradas e saídas (previstas ou realizadas).</t>
  </si>
  <si>
    <t>Mensal</t>
  </si>
  <si>
    <t>Relatório mês a mês: entradas, saídas, resultado, saldo realizado e saldo projetado.</t>
  </si>
  <si>
    <t>Dashboard</t>
  </si>
  <si>
    <t>Indicadores e gráficos: saldo atual, meses de reserva, maiores despesas.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</si>
  <si>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</si>
  <si>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</si>
  <si>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</si>
  <si>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</si>
  <si>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</si>
  <si>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</si>
  <si>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</si>
  <si>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</si>
  <si>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Digite sempre valores POSITIVOS; a planilha usa o campo Tipo para somar ou subtrair.</t>
  </si>
  <si>
    <t>• Não digite nas células cinza (cálculo automático). Cada linha usa as colunas H a K como apoio.</t>
  </si>
  <si>
    <t>• A coluna Conferência avisa quando a categoria não combina com o Tipo (ex.: 'Aluguel' marcado como Entrada).</t>
  </si>
  <si>
    <t>Carvex XLS · Fluxo de Caixa Inteligente · versão 1.0 · Dúvidas: consulte o TUTORIAL.md e o MANUAL.md que acompanham o produto.</t>
  </si>
  <si>
    <t>Configurações</t>
  </si>
  <si>
    <t>Preencha as células amarelas. As categorias alimentam as listas da aba Lançamentos.</t>
  </si>
  <si>
    <t>EXEMPLO - dados fictícios</t>
  </si>
  <si>
    <t>Empresa</t>
  </si>
  <si>
    <t>Empresa Exemplo Ltda</t>
  </si>
  <si>
    <t>Ano de análise</t>
  </si>
  <si>
    <t>Saldo inicial do ano (R$)</t>
  </si>
  <si>
    <t>Data de hoje (referência)</t>
  </si>
  <si>
    <t>fixa no exemplo</t>
  </si>
  <si>
    <t>Meta de reserva (meses de despesas)</t>
  </si>
  <si>
    <t>Categorias (edite livremente; máximo 40)</t>
  </si>
  <si>
    <t>Categoria</t>
  </si>
  <si>
    <t>Tipo</t>
  </si>
  <si>
    <t>Natureza</t>
  </si>
  <si>
    <t>Vendas de produtos</t>
  </si>
  <si>
    <t>Entrada</t>
  </si>
  <si>
    <t>Operacional</t>
  </si>
  <si>
    <t>Prestação de serviços</t>
  </si>
  <si>
    <t>Outras receitas</t>
  </si>
  <si>
    <t>Não operacional</t>
  </si>
  <si>
    <t>Aporte de sócio</t>
  </si>
  <si>
    <t>Empréstimos recebidos</t>
  </si>
  <si>
    <t>Fornecedores / mercadorias</t>
  </si>
  <si>
    <t>Saída</t>
  </si>
  <si>
    <t>Variável</t>
  </si>
  <si>
    <t>Impostos</t>
  </si>
  <si>
    <t>Comissões e taxas</t>
  </si>
  <si>
    <t>Frete e logística</t>
  </si>
  <si>
    <t>Manutenção</t>
  </si>
  <si>
    <t>Folha de pagamento</t>
  </si>
  <si>
    <t>Fixo</t>
  </si>
  <si>
    <t>Aluguel</t>
  </si>
  <si>
    <t>Energia, água e internet</t>
  </si>
  <si>
    <t>Marketing</t>
  </si>
  <si>
    <t>Contador e sistemas</t>
  </si>
  <si>
    <t>Pró-labore / retiradas</t>
  </si>
  <si>
    <t>Pessoal</t>
  </si>
  <si>
    <t>Empréstimos / financiamentos</t>
  </si>
  <si>
    <t>Financeiro</t>
  </si>
  <si>
    <t>Investimentos</t>
  </si>
  <si>
    <t>Investimento</t>
  </si>
  <si>
    <t>Outras despesas</t>
  </si>
  <si>
    <t>Contas (caixa / bancos)</t>
  </si>
  <si>
    <t>Caixa</t>
  </si>
  <si>
    <t>Banco principal</t>
  </si>
  <si>
    <t>Maquininha de cartão</t>
  </si>
  <si>
    <t>Poupança / reserva</t>
  </si>
  <si>
    <t>Uma linha por entrada ou saída. Valores sempre positivos. Previsto = ainda vai acontecer.</t>
  </si>
  <si>
    <t>Data</t>
  </si>
  <si>
    <t>Descrição</t>
  </si>
  <si>
    <t>Conta</t>
  </si>
  <si>
    <t>Valor (R$)</t>
  </si>
  <si>
    <t>Status</t>
  </si>
  <si>
    <t>Ano</t>
  </si>
  <si>
    <t>Mês</t>
  </si>
  <si>
    <t>Valor líquido</t>
  </si>
  <si>
    <t>Conferência</t>
  </si>
  <si>
    <t>Aporte para capital de giro</t>
  </si>
  <si>
    <t>Realizado</t>
  </si>
  <si>
    <t>Compra de mercadorias - fornecedor A</t>
  </si>
  <si>
    <t>Salários e encargos</t>
  </si>
  <si>
    <t>Pró-labore do sócio</t>
  </si>
  <si>
    <t>Vendas semana 1</t>
  </si>
  <si>
    <t>Anúncios online</t>
  </si>
  <si>
    <t>Aluguel da loja</t>
  </si>
  <si>
    <t>Parcela capital de giro</t>
  </si>
  <si>
    <t>Fretes de entrega</t>
  </si>
  <si>
    <t>Vendas semana 2</t>
  </si>
  <si>
    <t>Serviços de instalação</t>
  </si>
  <si>
    <t>Contas de consumo</t>
  </si>
  <si>
    <t>Compra de mercadorias - fornecedor B</t>
  </si>
  <si>
    <t>Simples Nacional</t>
  </si>
  <si>
    <t>Contabilidade + sistema</t>
  </si>
  <si>
    <t>Vendas semana 3</t>
  </si>
  <si>
    <t>Taxas de cartão</t>
  </si>
  <si>
    <t>Vendas semana 4</t>
  </si>
  <si>
    <t>Manutenção de equipamentos</t>
  </si>
  <si>
    <t>Venda de equipamento usado</t>
  </si>
  <si>
    <t>Compra de prateleiras</t>
  </si>
  <si>
    <t>Previsto</t>
  </si>
  <si>
    <t>Relatório mensal</t>
  </si>
  <si>
    <t>Realizado x Previsto. O saldo projetado soma o que já aconteceu com o que ainda vai acontecer.</t>
  </si>
  <si>
    <t>Entradas realizadas</t>
  </si>
  <si>
    <t>Saídas realizadas</t>
  </si>
  <si>
    <t>Resultado do mês</t>
  </si>
  <si>
    <t>Saldo realizado (fim do mês)</t>
  </si>
  <si>
    <t>Entradas previstas</t>
  </si>
  <si>
    <t>Saídas previstas</t>
  </si>
  <si>
    <t>Resultado projetado</t>
  </si>
  <si>
    <t>Saldo projetado (fim do mês)</t>
  </si>
  <si>
    <t>Margem realizada</t>
  </si>
  <si>
    <t>Alerta</t>
  </si>
  <si>
    <t>Total</t>
  </si>
  <si>
    <t>Como ler: 'Saldo realizado' só considera o que já aconteceu. 'Saldo projetado' inclui o que está Previsto. Se o projetado ficar negativo em algum mês, aja antes: antecipe recebimentos, renegocie prazos ou reduza gastos.</t>
  </si>
  <si>
    <t>Saída realizada no ano</t>
  </si>
  <si>
    <t>Chave de ordenação</t>
  </si>
  <si>
    <t>Visão rápida da saúde financeira. Atualiza sozinho conforme você lança.</t>
  </si>
  <si>
    <t>SALDO ATUAL (realizado)</t>
  </si>
  <si>
    <t>ENTRADAS NO ANO</t>
  </si>
  <si>
    <t>SAÍDAS NO ANO</t>
  </si>
  <si>
    <t>RESULTADO NO ANO</t>
  </si>
  <si>
    <t>MARGEM NO ANO</t>
  </si>
  <si>
    <t>SALDO PROJETADO (dez)</t>
  </si>
  <si>
    <t>MESES DE RESERVA</t>
  </si>
  <si>
    <t>SITUAÇÃO DA RESERVA</t>
  </si>
  <si>
    <t>Maiores saídas do ano (realizado)</t>
  </si>
  <si>
    <t>#</t>
  </si>
  <si>
    <t>Valor</t>
  </si>
  <si>
    <t>% das saídas</t>
  </si>
  <si>
    <t>chave</t>
  </si>
</sst>
</file>

<file path=xl/styles.xml><?xml version="1.0" encoding="utf-8"?>
<styleSheet xmlns="http://schemas.openxmlformats.org/spreadsheetml/2006/main">
  <numFmts count="5">
    <numFmt numFmtId="164" formatCode="&quot;R$&quot; #,##0.00;[Red]-&quot;R$&quot; #,##0.00"/>
    <numFmt numFmtId="165" formatCode="dd/mm/yyyy"/>
    <numFmt numFmtId="166" formatCode="mmm/yy"/>
    <numFmt numFmtId="167" formatCode="0.0%"/>
    <numFmt numFmtId="168" formatCode="0.0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sz val="6"/>
      <color rgb="FFFFFFFF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vertical="center"/>
    </xf>
    <xf numFmtId="166" fontId="10" fillId="5" borderId="1" xfId="0" applyNumberFormat="1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vertical="center"/>
    </xf>
    <xf numFmtId="167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center" vertical="center" wrapText="1"/>
    </xf>
    <xf numFmtId="164" fontId="15" fillId="7" borderId="5" xfId="0" applyNumberFormat="1" applyFont="1" applyFill="1" applyBorder="1" applyAlignment="1">
      <alignment horizontal="center" vertical="center"/>
    </xf>
    <xf numFmtId="167" fontId="15" fillId="7" borderId="5" xfId="0" applyNumberFormat="1" applyFont="1" applyFill="1" applyBorder="1" applyAlignment="1">
      <alignment horizontal="center" vertical="center"/>
    </xf>
    <xf numFmtId="168" fontId="15" fillId="7" borderId="5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b/>
        <color rgb="FF15803D"/>
      </font>
    </dxf>
    <dxf>
      <font>
        <b/>
        <color rgb="FFDC262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i/>
        <color rgb="FF2563EB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Entradas x Saídas e saldo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6A34A"/>
            </a:solidFill>
          </c:spP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Mensal!$B$5:$B$16</c:f>
              <c:numCache>
                <c:formatCode>General</c:formatCode>
                <c:ptCount val="12"/>
                <c:pt idx="0">
                  <c:v>63989.77</c:v>
                </c:pt>
                <c:pt idx="1">
                  <c:v>40254.31</c:v>
                </c:pt>
                <c:pt idx="2">
                  <c:v>53321.93</c:v>
                </c:pt>
                <c:pt idx="3">
                  <c:v>58002.05</c:v>
                </c:pt>
                <c:pt idx="4">
                  <c:v>60390.1</c:v>
                </c:pt>
                <c:pt idx="5">
                  <c:v>54820.79</c:v>
                </c:pt>
                <c:pt idx="6">
                  <c:v>58286.86</c:v>
                </c:pt>
                <c:pt idx="7">
                  <c:v>63824.33</c:v>
                </c:pt>
                <c:pt idx="8">
                  <c:v>62682.3</c:v>
                </c:pt>
                <c:pt idx="9">
                  <c:v>11498.85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87171"/>
            </a:solidFill>
          </c:spP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Mensal!$C$5:$C$16</c:f>
              <c:numCache>
                <c:formatCode>General</c:formatCode>
                <c:ptCount val="12"/>
                <c:pt idx="0">
                  <c:v>46233.09</c:v>
                </c:pt>
                <c:pt idx="1">
                  <c:v>46696.98</c:v>
                </c:pt>
                <c:pt idx="2">
                  <c:v>47533.36</c:v>
                </c:pt>
                <c:pt idx="3">
                  <c:v>53111.75</c:v>
                </c:pt>
                <c:pt idx="4">
                  <c:v>50394.22</c:v>
                </c:pt>
                <c:pt idx="5">
                  <c:v>48052.49</c:v>
                </c:pt>
                <c:pt idx="6">
                  <c:v>49515.01</c:v>
                </c:pt>
                <c:pt idx="7">
                  <c:v>49937.95</c:v>
                </c:pt>
                <c:pt idx="8">
                  <c:v>52393.47</c:v>
                </c:pt>
                <c:pt idx="9">
                  <c:v>29820.96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10001"/>
        <c:axId val="50010002"/>
      </c:barChart>
      <c:lineChart>
        <c:grouping val="standard"/>
        <c:ser>
          <c:idx val="2"/>
          <c:order val="2"/>
          <c:tx>
            <c:v>Saldo realizado</c:v>
          </c:tx>
          <c:spPr>
            <a:ln w="31750">
              <a:solidFill>
                <a:srgbClr val="0B3B24"/>
              </a:solidFill>
            </a:ln>
          </c:spPr>
          <c:marker>
            <c:symbol val="circle"/>
            <c:size val="5"/>
          </c:marke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Mensal!$E$5:$E$16</c:f>
              <c:numCache>
                <c:formatCode>General</c:formatCode>
                <c:ptCount val="12"/>
                <c:pt idx="0">
                  <c:v>35756.68</c:v>
                </c:pt>
                <c:pt idx="1">
                  <c:v>29314.01</c:v>
                </c:pt>
                <c:pt idx="2">
                  <c:v>35102.58</c:v>
                </c:pt>
                <c:pt idx="3">
                  <c:v>39992.88</c:v>
                </c:pt>
                <c:pt idx="4">
                  <c:v>49988.76</c:v>
                </c:pt>
                <c:pt idx="5">
                  <c:v>56757.06</c:v>
                </c:pt>
                <c:pt idx="6">
                  <c:v>65528.91</c:v>
                </c:pt>
                <c:pt idx="7">
                  <c:v>79415.29</c:v>
                </c:pt>
                <c:pt idx="8">
                  <c:v>89704.12</c:v>
                </c:pt>
                <c:pt idx="9">
                  <c:v>71382.01</c:v>
                </c:pt>
                <c:pt idx="10">
                  <c:v>71382.01</c:v>
                </c:pt>
                <c:pt idx="11">
                  <c:v>71382.01</c:v>
                </c:pt>
              </c:numCache>
            </c:numRef>
          </c:val>
        </c:ser>
        <c:ser>
          <c:idx val="3"/>
          <c:order val="3"/>
          <c:tx>
            <c:v>Saldo projetado</c:v>
          </c:tx>
          <c:spPr>
            <a:ln w="25400">
              <a:solidFill>
                <a:srgbClr val="2563EB"/>
              </a:solidFill>
              <a:prstDash val="dash"/>
            </a:ln>
          </c:spPr>
          <c:marker>
            <c:symbol val="none"/>
          </c:marker>
          <c:cat>
            <c:numRef>
              <c:f>Mensal!$A$5:$A$16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Mensal!$I$5:$I$16</c:f>
              <c:numCache>
                <c:formatCode>General</c:formatCode>
                <c:ptCount val="12"/>
                <c:pt idx="0">
                  <c:v>35756.68</c:v>
                </c:pt>
                <c:pt idx="1">
                  <c:v>29314.01</c:v>
                </c:pt>
                <c:pt idx="2">
                  <c:v>35102.58</c:v>
                </c:pt>
                <c:pt idx="3">
                  <c:v>39992.88</c:v>
                </c:pt>
                <c:pt idx="4">
                  <c:v>49988.76</c:v>
                </c:pt>
                <c:pt idx="5">
                  <c:v>56757.06</c:v>
                </c:pt>
                <c:pt idx="6">
                  <c:v>65528.91</c:v>
                </c:pt>
                <c:pt idx="7">
                  <c:v>79415.29</c:v>
                </c:pt>
                <c:pt idx="8">
                  <c:v>89704.12</c:v>
                </c:pt>
                <c:pt idx="9">
                  <c:v>101787.48</c:v>
                </c:pt>
                <c:pt idx="10">
                  <c:v>110572.46</c:v>
                </c:pt>
                <c:pt idx="11">
                  <c:v>125173.64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#,##0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Para onde vai o dinheiro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Saídas</c:v>
          </c:tx>
          <c:spPr>
            <a:solidFill>
              <a:srgbClr val="16A34A"/>
            </a:solidFill>
          </c:spPr>
          <c:dLbls>
            <c:numFmt formatCode="#,##0" sourceLinked="0"/>
            <c:showVal val="1"/>
          </c:dLbls>
          <c:cat>
            <c:strRef>
              <c:f>Dashboard!$B$12:$B$19</c:f>
              <c:strCache>
                <c:ptCount val="8"/>
                <c:pt idx="0">
                  <c:v>Fornecedores / mercadorias</c:v>
                </c:pt>
                <c:pt idx="1">
                  <c:v>Folha de pagamento</c:v>
                </c:pt>
                <c:pt idx="2">
                  <c:v>Pró-labore / retiradas</c:v>
                </c:pt>
                <c:pt idx="3">
                  <c:v>Aluguel</c:v>
                </c:pt>
                <c:pt idx="4">
                  <c:v>Impostos</c:v>
                </c:pt>
                <c:pt idx="5">
                  <c:v>Empréstimos / financiamentos</c:v>
                </c:pt>
                <c:pt idx="6">
                  <c:v>Marketing</c:v>
                </c:pt>
                <c:pt idx="7">
                  <c:v>Contador e sistemas</c:v>
                </c:pt>
              </c:strCache>
            </c:strRef>
          </c:cat>
          <c:val>
            <c:numRef>
              <c:f>Dashboard!$D$12:$D$19</c:f>
              <c:numCache>
                <c:formatCode>General</c:formatCode>
                <c:ptCount val="8"/>
                <c:pt idx="0">
                  <c:v>144480.97</c:v>
                </c:pt>
                <c:pt idx="1">
                  <c:v>118000</c:v>
                </c:pt>
                <c:pt idx="2">
                  <c:v>60000</c:v>
                </c:pt>
                <c:pt idx="3">
                  <c:v>37800</c:v>
                </c:pt>
                <c:pt idx="4">
                  <c:v>23927.92</c:v>
                </c:pt>
                <c:pt idx="5">
                  <c:v>18900</c:v>
                </c:pt>
                <c:pt idx="6">
                  <c:v>16008.25</c:v>
                </c:pt>
                <c:pt idx="7">
                  <c:v>12150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7</xdr:col>
      <xdr:colOff>247650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11</xdr:col>
      <xdr:colOff>523875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2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30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2" spans="2:3">
      <c r="B22" s="4" t="s">
        <v>25</v>
      </c>
      <c r="C22" s="4"/>
    </row>
    <row r="23" spans="2:3">
      <c r="B23" s="9" t="s">
        <v>26</v>
      </c>
      <c r="C23" s="7" t="s">
        <v>27</v>
      </c>
    </row>
    <row r="24" spans="2:3">
      <c r="B24" s="10" t="s">
        <v>28</v>
      </c>
      <c r="C24" s="7" t="s">
        <v>29</v>
      </c>
    </row>
    <row r="25" spans="2:3">
      <c r="B25" s="11" t="s">
        <v>30</v>
      </c>
      <c r="C25" s="7" t="s">
        <v>31</v>
      </c>
    </row>
    <row r="27" spans="2:3">
      <c r="B27" s="4" t="s">
        <v>32</v>
      </c>
      <c r="C27" s="4"/>
    </row>
    <row r="28" spans="2:3" ht="18" customHeight="1">
      <c r="B28" s="7" t="s">
        <v>33</v>
      </c>
      <c r="C28" s="7"/>
    </row>
    <row r="29" spans="2:3" ht="18" customHeight="1">
      <c r="B29" s="7" t="s">
        <v>34</v>
      </c>
      <c r="C29" s="7"/>
    </row>
    <row r="30" spans="2:3" ht="30" customHeight="1">
      <c r="B30" s="7" t="s">
        <v>35</v>
      </c>
      <c r="C30" s="7"/>
    </row>
    <row r="32" spans="2:3">
      <c r="B32" s="12" t="s">
        <v>36</v>
      </c>
      <c r="C32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2:C22"/>
    <mergeCell ref="B27:C27"/>
    <mergeCell ref="B28:C28"/>
    <mergeCell ref="B29:C29"/>
    <mergeCell ref="B30:C30"/>
    <mergeCell ref="B32:C32"/>
  </mergeCells>
  <hyperlinks>
    <hyperlink ref="B17" location="'Config'!A1" display="Config"/>
    <hyperlink ref="B18" location="'Lançamentos'!A1" display="Lançamentos"/>
    <hyperlink ref="B19" location="'Mensal'!A1" display="Mensal"/>
    <hyperlink ref="B20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F5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.7109375" customWidth="1"/>
    <col min="2" max="2" width="34.7109375" customWidth="1"/>
    <col min="3" max="4" width="18.7109375" customWidth="1"/>
    <col min="5" max="5" width="3.7109375" customWidth="1"/>
    <col min="6" max="6" width="28.7109375" customWidth="1"/>
  </cols>
  <sheetData>
    <row r="1" spans="1:6" ht="36" customHeight="1">
      <c r="A1" s="1" t="s">
        <v>37</v>
      </c>
      <c r="B1" s="1"/>
      <c r="C1" s="1"/>
      <c r="D1" s="1"/>
      <c r="E1" s="1"/>
      <c r="F1" s="1"/>
    </row>
    <row r="2" spans="1:6" ht="20" customHeight="1">
      <c r="A2" s="2" t="s">
        <v>38</v>
      </c>
      <c r="B2" s="2"/>
      <c r="C2" s="2"/>
      <c r="D2" s="2"/>
      <c r="E2" s="2"/>
      <c r="F2" s="13" t="s">
        <v>39</v>
      </c>
    </row>
    <row r="4" spans="1:6">
      <c r="B4" s="14" t="s">
        <v>40</v>
      </c>
      <c r="C4" s="15" t="s">
        <v>41</v>
      </c>
      <c r="D4" s="15"/>
    </row>
    <row r="5" spans="1:6">
      <c r="B5" s="14" t="s">
        <v>42</v>
      </c>
      <c r="C5" s="16">
        <v>2026</v>
      </c>
    </row>
    <row r="6" spans="1:6">
      <c r="B6" s="14" t="s">
        <v>43</v>
      </c>
      <c r="C6" s="17">
        <v>18000</v>
      </c>
    </row>
    <row r="7" spans="1:6">
      <c r="B7" s="14" t="s">
        <v>44</v>
      </c>
      <c r="C7" s="18">
        <v>46303</v>
      </c>
      <c r="D7" s="12" t="s">
        <v>45</v>
      </c>
    </row>
    <row r="8" spans="1:6">
      <c r="B8" s="14" t="s">
        <v>46</v>
      </c>
      <c r="C8" s="16">
        <v>3</v>
      </c>
    </row>
    <row r="10" spans="1:6">
      <c r="B10" s="4" t="s">
        <v>47</v>
      </c>
      <c r="C10" s="4"/>
      <c r="D10" s="4"/>
    </row>
    <row r="11" spans="1:6" ht="24" customHeight="1">
      <c r="B11" s="11" t="s">
        <v>48</v>
      </c>
      <c r="C11" s="11" t="s">
        <v>49</v>
      </c>
      <c r="D11" s="11" t="s">
        <v>50</v>
      </c>
      <c r="F11" s="11" t="s">
        <v>79</v>
      </c>
    </row>
    <row r="12" spans="1:6">
      <c r="B12" s="15" t="s">
        <v>51</v>
      </c>
      <c r="C12" s="19" t="s">
        <v>52</v>
      </c>
      <c r="D12" s="19" t="s">
        <v>53</v>
      </c>
      <c r="F12" s="15" t="s">
        <v>80</v>
      </c>
    </row>
    <row r="13" spans="1:6">
      <c r="B13" s="15" t="s">
        <v>54</v>
      </c>
      <c r="C13" s="19" t="s">
        <v>52</v>
      </c>
      <c r="D13" s="19" t="s">
        <v>53</v>
      </c>
      <c r="F13" s="15" t="s">
        <v>81</v>
      </c>
    </row>
    <row r="14" spans="1:6">
      <c r="B14" s="15" t="s">
        <v>55</v>
      </c>
      <c r="C14" s="19" t="s">
        <v>52</v>
      </c>
      <c r="D14" s="19" t="s">
        <v>56</v>
      </c>
      <c r="F14" s="15" t="s">
        <v>82</v>
      </c>
    </row>
    <row r="15" spans="1:6">
      <c r="B15" s="15" t="s">
        <v>57</v>
      </c>
      <c r="C15" s="19" t="s">
        <v>52</v>
      </c>
      <c r="D15" s="19" t="s">
        <v>56</v>
      </c>
      <c r="F15" s="15" t="s">
        <v>83</v>
      </c>
    </row>
    <row r="16" spans="1:6">
      <c r="B16" s="15" t="s">
        <v>58</v>
      </c>
      <c r="C16" s="19" t="s">
        <v>52</v>
      </c>
      <c r="D16" s="19" t="s">
        <v>56</v>
      </c>
      <c r="F16" s="15"/>
    </row>
    <row r="17" spans="2:6">
      <c r="B17" s="15" t="s">
        <v>59</v>
      </c>
      <c r="C17" s="19" t="s">
        <v>60</v>
      </c>
      <c r="D17" s="19" t="s">
        <v>61</v>
      </c>
      <c r="F17" s="15"/>
    </row>
    <row r="18" spans="2:6">
      <c r="B18" s="15" t="s">
        <v>62</v>
      </c>
      <c r="C18" s="19" t="s">
        <v>60</v>
      </c>
      <c r="D18" s="19" t="s">
        <v>61</v>
      </c>
      <c r="F18" s="15"/>
    </row>
    <row r="19" spans="2:6">
      <c r="B19" s="15" t="s">
        <v>63</v>
      </c>
      <c r="C19" s="19" t="s">
        <v>60</v>
      </c>
      <c r="D19" s="19" t="s">
        <v>61</v>
      </c>
      <c r="F19" s="15"/>
    </row>
    <row r="20" spans="2:6">
      <c r="B20" s="15" t="s">
        <v>64</v>
      </c>
      <c r="C20" s="19" t="s">
        <v>60</v>
      </c>
      <c r="D20" s="19" t="s">
        <v>61</v>
      </c>
      <c r="F20" s="15"/>
    </row>
    <row r="21" spans="2:6">
      <c r="B21" s="15" t="s">
        <v>65</v>
      </c>
      <c r="C21" s="19" t="s">
        <v>60</v>
      </c>
      <c r="D21" s="19" t="s">
        <v>61</v>
      </c>
      <c r="F21" s="15"/>
    </row>
    <row r="22" spans="2:6">
      <c r="B22" s="15" t="s">
        <v>66</v>
      </c>
      <c r="C22" s="19" t="s">
        <v>60</v>
      </c>
      <c r="D22" s="19" t="s">
        <v>67</v>
      </c>
      <c r="F22" s="15"/>
    </row>
    <row r="23" spans="2:6">
      <c r="B23" s="15" t="s">
        <v>68</v>
      </c>
      <c r="C23" s="19" t="s">
        <v>60</v>
      </c>
      <c r="D23" s="19" t="s">
        <v>67</v>
      </c>
      <c r="F23" s="15"/>
    </row>
    <row r="24" spans="2:6">
      <c r="B24" s="15" t="s">
        <v>69</v>
      </c>
      <c r="C24" s="19" t="s">
        <v>60</v>
      </c>
      <c r="D24" s="19" t="s">
        <v>67</v>
      </c>
    </row>
    <row r="25" spans="2:6">
      <c r="B25" s="15" t="s">
        <v>70</v>
      </c>
      <c r="C25" s="19" t="s">
        <v>60</v>
      </c>
      <c r="D25" s="19" t="s">
        <v>67</v>
      </c>
    </row>
    <row r="26" spans="2:6">
      <c r="B26" s="15" t="s">
        <v>71</v>
      </c>
      <c r="C26" s="19" t="s">
        <v>60</v>
      </c>
      <c r="D26" s="19" t="s">
        <v>67</v>
      </c>
    </row>
    <row r="27" spans="2:6">
      <c r="B27" s="15" t="s">
        <v>72</v>
      </c>
      <c r="C27" s="19" t="s">
        <v>60</v>
      </c>
      <c r="D27" s="19" t="s">
        <v>73</v>
      </c>
    </row>
    <row r="28" spans="2:6">
      <c r="B28" s="15" t="s">
        <v>74</v>
      </c>
      <c r="C28" s="19" t="s">
        <v>60</v>
      </c>
      <c r="D28" s="19" t="s">
        <v>75</v>
      </c>
    </row>
    <row r="29" spans="2:6">
      <c r="B29" s="15" t="s">
        <v>76</v>
      </c>
      <c r="C29" s="19" t="s">
        <v>60</v>
      </c>
      <c r="D29" s="19" t="s">
        <v>77</v>
      </c>
    </row>
    <row r="30" spans="2:6">
      <c r="B30" s="15" t="s">
        <v>78</v>
      </c>
      <c r="C30" s="19" t="s">
        <v>60</v>
      </c>
      <c r="D30" s="19" t="s">
        <v>61</v>
      </c>
    </row>
    <row r="31" spans="2:6">
      <c r="B31" s="15"/>
      <c r="C31" s="19"/>
      <c r="D31" s="19"/>
    </row>
    <row r="32" spans="2:6">
      <c r="B32" s="15"/>
      <c r="C32" s="19"/>
      <c r="D32" s="19"/>
    </row>
    <row r="33" spans="2:4">
      <c r="B33" s="15"/>
      <c r="C33" s="19"/>
      <c r="D33" s="19"/>
    </row>
    <row r="34" spans="2:4">
      <c r="B34" s="15"/>
      <c r="C34" s="19"/>
      <c r="D34" s="19"/>
    </row>
    <row r="35" spans="2:4">
      <c r="B35" s="15"/>
      <c r="C35" s="19"/>
      <c r="D35" s="19"/>
    </row>
    <row r="36" spans="2:4">
      <c r="B36" s="15"/>
      <c r="C36" s="19"/>
      <c r="D36" s="19"/>
    </row>
    <row r="37" spans="2:4">
      <c r="B37" s="15"/>
      <c r="C37" s="19"/>
      <c r="D37" s="19"/>
    </row>
    <row r="38" spans="2:4">
      <c r="B38" s="15"/>
      <c r="C38" s="19"/>
      <c r="D38" s="19"/>
    </row>
    <row r="39" spans="2:4">
      <c r="B39" s="15"/>
      <c r="C39" s="19"/>
      <c r="D39" s="19"/>
    </row>
    <row r="40" spans="2:4">
      <c r="B40" s="15"/>
      <c r="C40" s="19"/>
      <c r="D40" s="19"/>
    </row>
    <row r="41" spans="2:4">
      <c r="B41" s="15"/>
      <c r="C41" s="19"/>
      <c r="D41" s="19"/>
    </row>
    <row r="42" spans="2:4">
      <c r="B42" s="15"/>
      <c r="C42" s="19"/>
      <c r="D42" s="19"/>
    </row>
    <row r="43" spans="2:4">
      <c r="B43" s="15"/>
      <c r="C43" s="19"/>
      <c r="D43" s="19"/>
    </row>
    <row r="44" spans="2:4">
      <c r="B44" s="15"/>
      <c r="C44" s="19"/>
      <c r="D44" s="19"/>
    </row>
    <row r="45" spans="2:4">
      <c r="B45" s="15"/>
      <c r="C45" s="19"/>
      <c r="D45" s="19"/>
    </row>
    <row r="46" spans="2:4">
      <c r="B46" s="15"/>
      <c r="C46" s="19"/>
      <c r="D46" s="19"/>
    </row>
    <row r="47" spans="2:4">
      <c r="B47" s="15"/>
      <c r="C47" s="19"/>
      <c r="D47" s="19"/>
    </row>
    <row r="48" spans="2:4">
      <c r="B48" s="15"/>
      <c r="C48" s="19"/>
      <c r="D48" s="19"/>
    </row>
    <row r="49" spans="2:4">
      <c r="B49" s="15"/>
      <c r="C49" s="19"/>
      <c r="D49" s="19"/>
    </row>
    <row r="50" spans="2:4">
      <c r="B50" s="15"/>
      <c r="C50" s="19"/>
      <c r="D50" s="19"/>
    </row>
    <row r="51" spans="2:4">
      <c r="B51" s="15"/>
      <c r="C51" s="19"/>
      <c r="D51" s="19"/>
    </row>
  </sheetData>
  <mergeCells count="4">
    <mergeCell ref="A1:F1"/>
    <mergeCell ref="A2:F2"/>
    <mergeCell ref="C4:D4"/>
    <mergeCell ref="B10:D10"/>
  </mergeCells>
  <dataValidations count="4">
    <dataValidation type="whole" allowBlank="1" showInputMessage="1" showErrorMessage="1" errorTitle="Valor inválido" error="Digite um número entre 2000 e 2100." promptTitle="Dica" prompt="Ano que será analisado" sqref="C5">
      <formula1>2000</formula1>
      <formula2>2100</formula2>
    </dataValidation>
    <dataValidation type="whole" allowBlank="1" showInputMessage="1" showErrorMessage="1" errorTitle="Valor inválido" error="Digite um número entre 0 e 36." promptTitle="Dica" prompt="Quantos meses de despesas você quer ter guardados" sqref="C8">
      <formula1>0</formula1>
      <formula2>36</formula2>
    </dataValidation>
    <dataValidation type="list" allowBlank="1" showInputMessage="1" showErrorMessage="1" errorTitle="Valor inválido" error="Escolha um item da lista." sqref="C12:C51">
      <formula1>"Entrada,Saída"</formula1>
    </dataValidation>
    <dataValidation type="list" allowBlank="1" showInputMessage="1" showErrorMessage="1" errorTitle="Valor inválido" error="Escolha um item da lista." sqref="D12:D51">
      <formula1>"Operacional,Não operacional,Fixo,Variável,Pessoal,Financeiro,Investimento"</formula1>
    </dataValidation>
  </dataValidation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1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8.7109375" customWidth="1"/>
    <col min="4" max="4" width="36.7109375" customWidth="1"/>
    <col min="5" max="5" width="20.7109375" customWidth="1"/>
    <col min="6" max="6" width="14.7109375" customWidth="1"/>
    <col min="7" max="7" width="12.7109375" customWidth="1"/>
    <col min="8" max="8" width="7.7109375" customWidth="1"/>
    <col min="9" max="9" width="6.7109375" customWidth="1"/>
    <col min="10" max="10" width="14.7109375" customWidth="1"/>
    <col min="11" max="11" width="18.7109375" customWidth="1"/>
  </cols>
  <sheetData>
    <row r="1" spans="1:11" ht="36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13" t="s">
        <v>39</v>
      </c>
    </row>
    <row r="4" spans="1:11" ht="32" customHeight="1">
      <c r="A4" s="11" t="s">
        <v>85</v>
      </c>
      <c r="B4" s="11" t="s">
        <v>49</v>
      </c>
      <c r="C4" s="11" t="s">
        <v>48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</row>
    <row r="5" spans="1:11">
      <c r="A5" s="18">
        <v>46024</v>
      </c>
      <c r="B5" s="19" t="s">
        <v>52</v>
      </c>
      <c r="C5" s="15" t="s">
        <v>57</v>
      </c>
      <c r="D5" s="15" t="s">
        <v>94</v>
      </c>
      <c r="E5" s="15" t="s">
        <v>81</v>
      </c>
      <c r="F5" s="17">
        <v>15000</v>
      </c>
      <c r="G5" s="19" t="s">
        <v>95</v>
      </c>
      <c r="H5" s="20">
        <f>IF($A5="","",YEAR($A5))</f>
        <v>2026</v>
      </c>
      <c r="I5" s="20">
        <f>IF($A5="","",MONTH($A5))</f>
        <v>1</v>
      </c>
      <c r="J5" s="21">
        <f>IF(OR($A5="",$F5=""),"",IF($B5="Entrada",$F5,-$F5))</f>
        <v>15000</v>
      </c>
      <c r="K5" s="20" t="str">
        <f>IF($A5="","",IF(OR($B5="",$C5="",$F5="",$G5=""),"Preencher tudo",IF(IFERROR(INDEX(CatTipo,MATCH($C5,CatNome,0)),"")&lt;&gt;$B5,"Categoria x Tipo?","OK")))</f>
        <v>OK</v>
      </c>
    </row>
    <row r="6" spans="1:11">
      <c r="A6" s="18">
        <v>46027</v>
      </c>
      <c r="B6" s="19" t="s">
        <v>60</v>
      </c>
      <c r="C6" s="15" t="s">
        <v>59</v>
      </c>
      <c r="D6" s="15" t="s">
        <v>96</v>
      </c>
      <c r="E6" s="15" t="s">
        <v>81</v>
      </c>
      <c r="F6" s="17">
        <v>8653.190000000001</v>
      </c>
      <c r="G6" s="19" t="s">
        <v>95</v>
      </c>
      <c r="H6" s="20">
        <f>IF($A6="","",YEAR($A6))</f>
        <v>2026</v>
      </c>
      <c r="I6" s="20">
        <f>IF($A6="","",MONTH($A6))</f>
        <v>1</v>
      </c>
      <c r="J6" s="21">
        <f>IF(OR($A6="",$F6=""),"",IF($B6="Entrada",$F6,-$F6))</f>
        <v>-8653.19</v>
      </c>
      <c r="K6" s="20" t="str">
        <f>IF($A6="","",IF(OR($B6="",$C6="",$F6="",$G6=""),"Preencher tudo",IF(IFERROR(INDEX(CatTipo,MATCH($C6,CatNome,0)),"")&lt;&gt;$B6,"Categoria x Tipo?","OK")))</f>
        <v>OK</v>
      </c>
    </row>
    <row r="7" spans="1:11">
      <c r="A7" s="18">
        <v>46027</v>
      </c>
      <c r="B7" s="19" t="s">
        <v>60</v>
      </c>
      <c r="C7" s="15" t="s">
        <v>66</v>
      </c>
      <c r="D7" s="15" t="s">
        <v>97</v>
      </c>
      <c r="E7" s="15" t="s">
        <v>81</v>
      </c>
      <c r="F7" s="17">
        <v>11800</v>
      </c>
      <c r="G7" s="19" t="s">
        <v>95</v>
      </c>
      <c r="H7" s="20">
        <f>IF($A7="","",YEAR($A7))</f>
        <v>2026</v>
      </c>
      <c r="I7" s="20">
        <f>IF($A7="","",MONTH($A7))</f>
        <v>1</v>
      </c>
      <c r="J7" s="21">
        <f>IF(OR($A7="",$F7=""),"",IF($B7="Entrada",$F7,-$F7))</f>
        <v>-11800</v>
      </c>
      <c r="K7" s="20" t="str">
        <f>IF($A7="","",IF(OR($B7="",$C7="",$F7="",$G7=""),"Preencher tudo",IF(IFERROR(INDEX(CatTipo,MATCH($C7,CatNome,0)),"")&lt;&gt;$B7,"Categoria x Tipo?","OK")))</f>
        <v>OK</v>
      </c>
    </row>
    <row r="8" spans="1:11">
      <c r="A8" s="18">
        <v>46028</v>
      </c>
      <c r="B8" s="19" t="s">
        <v>60</v>
      </c>
      <c r="C8" s="15" t="s">
        <v>72</v>
      </c>
      <c r="D8" s="15" t="s">
        <v>98</v>
      </c>
      <c r="E8" s="15" t="s">
        <v>81</v>
      </c>
      <c r="F8" s="17">
        <v>6000</v>
      </c>
      <c r="G8" s="19" t="s">
        <v>95</v>
      </c>
      <c r="H8" s="20">
        <f>IF($A8="","",YEAR($A8))</f>
        <v>2026</v>
      </c>
      <c r="I8" s="20">
        <f>IF($A8="","",MONTH($A8))</f>
        <v>1</v>
      </c>
      <c r="J8" s="21">
        <f>IF(OR($A8="",$F8=""),"",IF($B8="Entrada",$F8,-$F8))</f>
        <v>-6000</v>
      </c>
      <c r="K8" s="20" t="str">
        <f>IF($A8="","",IF(OR($B8="",$C8="",$F8="",$G8=""),"Preencher tudo",IF(IFERROR(INDEX(CatTipo,MATCH($C8,CatNome,0)),"")&lt;&gt;$B8,"Categoria x Tipo?","OK")))</f>
        <v>OK</v>
      </c>
    </row>
    <row r="9" spans="1:11">
      <c r="A9" s="18">
        <v>46029</v>
      </c>
      <c r="B9" s="19" t="s">
        <v>52</v>
      </c>
      <c r="C9" s="15" t="s">
        <v>51</v>
      </c>
      <c r="D9" s="15" t="s">
        <v>99</v>
      </c>
      <c r="E9" s="15" t="s">
        <v>80</v>
      </c>
      <c r="F9" s="17">
        <v>8549.040000000001</v>
      </c>
      <c r="G9" s="19" t="s">
        <v>95</v>
      </c>
      <c r="H9" s="20">
        <f>IF($A9="","",YEAR($A9))</f>
        <v>2026</v>
      </c>
      <c r="I9" s="20">
        <f>IF($A9="","",MONTH($A9))</f>
        <v>1</v>
      </c>
      <c r="J9" s="21">
        <f>IF(OR($A9="",$F9=""),"",IF($B9="Entrada",$F9,-$F9))</f>
        <v>8549.04</v>
      </c>
      <c r="K9" s="20" t="str">
        <f>IF($A9="","",IF(OR($B9="",$C9="",$F9="",$G9=""),"Preencher tudo",IF(IFERROR(INDEX(CatTipo,MATCH($C9,CatNome,0)),"")&lt;&gt;$B9,"Categoria x Tipo?","OK")))</f>
        <v>OK</v>
      </c>
    </row>
    <row r="10" spans="1:11">
      <c r="A10" s="18">
        <v>46030</v>
      </c>
      <c r="B10" s="19" t="s">
        <v>60</v>
      </c>
      <c r="C10" s="15" t="s">
        <v>70</v>
      </c>
      <c r="D10" s="15" t="s">
        <v>100</v>
      </c>
      <c r="E10" s="15" t="s">
        <v>81</v>
      </c>
      <c r="F10" s="17">
        <v>1641.09</v>
      </c>
      <c r="G10" s="19" t="s">
        <v>95</v>
      </c>
      <c r="H10" s="20">
        <f>IF($A10="","",YEAR($A10))</f>
        <v>2026</v>
      </c>
      <c r="I10" s="20">
        <f>IF($A10="","",MONTH($A10))</f>
        <v>1</v>
      </c>
      <c r="J10" s="21">
        <f>IF(OR($A10="",$F10=""),"",IF($B10="Entrada",$F10,-$F10))</f>
        <v>-1641.09</v>
      </c>
      <c r="K10" s="20" t="str">
        <f>IF($A10="","",IF(OR($B10="",$C10="",$F10="",$G10=""),"Preencher tudo",IF(IFERROR(INDEX(CatTipo,MATCH($C10,CatNome,0)),"")&lt;&gt;$B10,"Categoria x Tipo?","OK")))</f>
        <v>OK</v>
      </c>
    </row>
    <row r="11" spans="1:11">
      <c r="A11" s="18">
        <v>46032</v>
      </c>
      <c r="B11" s="19" t="s">
        <v>60</v>
      </c>
      <c r="C11" s="15" t="s">
        <v>68</v>
      </c>
      <c r="D11" s="15" t="s">
        <v>101</v>
      </c>
      <c r="E11" s="15" t="s">
        <v>81</v>
      </c>
      <c r="F11" s="17">
        <v>4200</v>
      </c>
      <c r="G11" s="19" t="s">
        <v>95</v>
      </c>
      <c r="H11" s="20">
        <f>IF($A11="","",YEAR($A11))</f>
        <v>2026</v>
      </c>
      <c r="I11" s="20">
        <f>IF($A11="","",MONTH($A11))</f>
        <v>1</v>
      </c>
      <c r="J11" s="21">
        <f>IF(OR($A11="",$F11=""),"",IF($B11="Entrada",$F11,-$F11))</f>
        <v>-4200</v>
      </c>
      <c r="K11" s="20" t="str">
        <f>IF($A11="","",IF(OR($B11="",$C11="",$F11="",$G11=""),"Preencher tudo",IF(IFERROR(INDEX(CatTipo,MATCH($C11,CatNome,0)),"")&lt;&gt;$B11,"Categoria x Tipo?","OK")))</f>
        <v>OK</v>
      </c>
    </row>
    <row r="12" spans="1:11">
      <c r="A12" s="18">
        <v>46032</v>
      </c>
      <c r="B12" s="19" t="s">
        <v>60</v>
      </c>
      <c r="C12" s="15" t="s">
        <v>74</v>
      </c>
      <c r="D12" s="15" t="s">
        <v>102</v>
      </c>
      <c r="E12" s="15" t="s">
        <v>81</v>
      </c>
      <c r="F12" s="17">
        <v>2100</v>
      </c>
      <c r="G12" s="19" t="s">
        <v>95</v>
      </c>
      <c r="H12" s="20">
        <f>IF($A12="","",YEAR($A12))</f>
        <v>2026</v>
      </c>
      <c r="I12" s="20">
        <f>IF($A12="","",MONTH($A12))</f>
        <v>1</v>
      </c>
      <c r="J12" s="21">
        <f>IF(OR($A12="",$F12=""),"",IF($B12="Entrada",$F12,-$F12))</f>
        <v>-2100</v>
      </c>
      <c r="K12" s="20" t="str">
        <f>IF($A12="","",IF(OR($B12="",$C12="",$F12="",$G12=""),"Preencher tudo",IF(IFERROR(INDEX(CatTipo,MATCH($C12,CatNome,0)),"")&lt;&gt;$B12,"Categoria x Tipo?","OK")))</f>
        <v>OK</v>
      </c>
    </row>
    <row r="13" spans="1:11">
      <c r="A13" s="18">
        <v>46034</v>
      </c>
      <c r="B13" s="19" t="s">
        <v>60</v>
      </c>
      <c r="C13" s="15" t="s">
        <v>64</v>
      </c>
      <c r="D13" s="15" t="s">
        <v>103</v>
      </c>
      <c r="E13" s="15" t="s">
        <v>81</v>
      </c>
      <c r="F13" s="17">
        <v>897.52</v>
      </c>
      <c r="G13" s="19" t="s">
        <v>95</v>
      </c>
      <c r="H13" s="20">
        <f>IF($A13="","",YEAR($A13))</f>
        <v>2026</v>
      </c>
      <c r="I13" s="20">
        <f>IF($A13="","",MONTH($A13))</f>
        <v>1</v>
      </c>
      <c r="J13" s="21">
        <f>IF(OR($A13="",$F13=""),"",IF($B13="Entrada",$F13,-$F13))</f>
        <v>-897.52</v>
      </c>
      <c r="K13" s="20" t="str">
        <f>IF($A13="","",IF(OR($B13="",$C13="",$F13="",$G13=""),"Preencher tudo",IF(IFERROR(INDEX(CatTipo,MATCH($C13,CatNome,0)),"")&lt;&gt;$B13,"Categoria x Tipo?","OK")))</f>
        <v>OK</v>
      </c>
    </row>
    <row r="14" spans="1:11">
      <c r="A14" s="18">
        <v>46036</v>
      </c>
      <c r="B14" s="19" t="s">
        <v>52</v>
      </c>
      <c r="C14" s="15" t="s">
        <v>51</v>
      </c>
      <c r="D14" s="15" t="s">
        <v>104</v>
      </c>
      <c r="E14" s="15" t="s">
        <v>80</v>
      </c>
      <c r="F14" s="17">
        <v>11197.17</v>
      </c>
      <c r="G14" s="19" t="s">
        <v>95</v>
      </c>
      <c r="H14" s="20">
        <f>IF($A14="","",YEAR($A14))</f>
        <v>2026</v>
      </c>
      <c r="I14" s="20">
        <f>IF($A14="","",MONTH($A14))</f>
        <v>1</v>
      </c>
      <c r="J14" s="21">
        <f>IF(OR($A14="",$F14=""),"",IF($B14="Entrada",$F14,-$F14))</f>
        <v>11197.17</v>
      </c>
      <c r="K14" s="20" t="str">
        <f>IF($A14="","",IF(OR($B14="",$C14="",$F14="",$G14=""),"Preencher tudo",IF(IFERROR(INDEX(CatTipo,MATCH($C14,CatNome,0)),"")&lt;&gt;$B14,"Categoria x Tipo?","OK")))</f>
        <v>OK</v>
      </c>
    </row>
    <row r="15" spans="1:11">
      <c r="A15" s="18">
        <v>46037</v>
      </c>
      <c r="B15" s="19" t="s">
        <v>52</v>
      </c>
      <c r="C15" s="15" t="s">
        <v>54</v>
      </c>
      <c r="D15" s="15" t="s">
        <v>105</v>
      </c>
      <c r="E15" s="15" t="s">
        <v>81</v>
      </c>
      <c r="F15" s="17">
        <v>7353.77</v>
      </c>
      <c r="G15" s="19" t="s">
        <v>95</v>
      </c>
      <c r="H15" s="20">
        <f>IF($A15="","",YEAR($A15))</f>
        <v>2026</v>
      </c>
      <c r="I15" s="20">
        <f>IF($A15="","",MONTH($A15))</f>
        <v>1</v>
      </c>
      <c r="J15" s="21">
        <f>IF(OR($A15="",$F15=""),"",IF($B15="Entrada",$F15,-$F15))</f>
        <v>7353.77</v>
      </c>
      <c r="K15" s="20" t="str">
        <f>IF($A15="","",IF(OR($B15="",$C15="",$F15="",$G15=""),"Preencher tudo",IF(IFERROR(INDEX(CatTipo,MATCH($C15,CatNome,0)),"")&lt;&gt;$B15,"Categoria x Tipo?","OK")))</f>
        <v>OK</v>
      </c>
    </row>
    <row r="16" spans="1:11">
      <c r="A16" s="18">
        <v>46037</v>
      </c>
      <c r="B16" s="19" t="s">
        <v>60</v>
      </c>
      <c r="C16" s="15" t="s">
        <v>69</v>
      </c>
      <c r="D16" s="15" t="s">
        <v>106</v>
      </c>
      <c r="E16" s="15" t="s">
        <v>81</v>
      </c>
      <c r="F16" s="17">
        <v>1409.23</v>
      </c>
      <c r="G16" s="19" t="s">
        <v>95</v>
      </c>
      <c r="H16" s="20">
        <f>IF($A16="","",YEAR($A16))</f>
        <v>2026</v>
      </c>
      <c r="I16" s="20">
        <f>IF($A16="","",MONTH($A16))</f>
        <v>1</v>
      </c>
      <c r="J16" s="21">
        <f>IF(OR($A16="",$F16=""),"",IF($B16="Entrada",$F16,-$F16))</f>
        <v>-1409.23</v>
      </c>
      <c r="K16" s="20" t="str">
        <f>IF($A16="","",IF(OR($B16="",$C16="",$F16="",$G16=""),"Preencher tudo",IF(IFERROR(INDEX(CatTipo,MATCH($C16,CatNome,0)),"")&lt;&gt;$B16,"Categoria x Tipo?","OK")))</f>
        <v>OK</v>
      </c>
    </row>
    <row r="17" spans="1:11">
      <c r="A17" s="18">
        <v>46041</v>
      </c>
      <c r="B17" s="19" t="s">
        <v>60</v>
      </c>
      <c r="C17" s="15" t="s">
        <v>59</v>
      </c>
      <c r="D17" s="15" t="s">
        <v>107</v>
      </c>
      <c r="E17" s="15" t="s">
        <v>81</v>
      </c>
      <c r="F17" s="17">
        <v>4449.78</v>
      </c>
      <c r="G17" s="19" t="s">
        <v>95</v>
      </c>
      <c r="H17" s="20">
        <f>IF($A17="","",YEAR($A17))</f>
        <v>2026</v>
      </c>
      <c r="I17" s="20">
        <f>IF($A17="","",MONTH($A17))</f>
        <v>1</v>
      </c>
      <c r="J17" s="21">
        <f>IF(OR($A17="",$F17=""),"",IF($B17="Entrada",$F17,-$F17))</f>
        <v>-4449.78</v>
      </c>
      <c r="K17" s="20" t="str">
        <f>IF($A17="","",IF(OR($B17="",$C17="",$F17="",$G17=""),"Preencher tudo",IF(IFERROR(INDEX(CatTipo,MATCH($C17,CatNome,0)),"")&lt;&gt;$B17,"Categoria x Tipo?","OK")))</f>
        <v>OK</v>
      </c>
    </row>
    <row r="18" spans="1:11">
      <c r="A18" s="18">
        <v>46042</v>
      </c>
      <c r="B18" s="19" t="s">
        <v>60</v>
      </c>
      <c r="C18" s="15" t="s">
        <v>62</v>
      </c>
      <c r="D18" s="15" t="s">
        <v>108</v>
      </c>
      <c r="E18" s="15" t="s">
        <v>81</v>
      </c>
      <c r="F18" s="17">
        <v>2557.57</v>
      </c>
      <c r="G18" s="19" t="s">
        <v>95</v>
      </c>
      <c r="H18" s="20">
        <f>IF($A18="","",YEAR($A18))</f>
        <v>2026</v>
      </c>
      <c r="I18" s="20">
        <f>IF($A18="","",MONTH($A18))</f>
        <v>1</v>
      </c>
      <c r="J18" s="21">
        <f>IF(OR($A18="",$F18=""),"",IF($B18="Entrada",$F18,-$F18))</f>
        <v>-2557.57</v>
      </c>
      <c r="K18" s="20" t="str">
        <f>IF($A18="","",IF(OR($B18="",$C18="",$F18="",$G18=""),"Preencher tudo",IF(IFERROR(INDEX(CatTipo,MATCH($C18,CatNome,0)),"")&lt;&gt;$B18,"Categoria x Tipo?","OK")))</f>
        <v>OK</v>
      </c>
    </row>
    <row r="19" spans="1:11">
      <c r="A19" s="18">
        <v>46042</v>
      </c>
      <c r="B19" s="19" t="s">
        <v>60</v>
      </c>
      <c r="C19" s="15" t="s">
        <v>71</v>
      </c>
      <c r="D19" s="15" t="s">
        <v>109</v>
      </c>
      <c r="E19" s="15" t="s">
        <v>81</v>
      </c>
      <c r="F19" s="17">
        <v>1350</v>
      </c>
      <c r="G19" s="19" t="s">
        <v>95</v>
      </c>
      <c r="H19" s="20">
        <f>IF($A19="","",YEAR($A19))</f>
        <v>2026</v>
      </c>
      <c r="I19" s="20">
        <f>IF($A19="","",MONTH($A19))</f>
        <v>1</v>
      </c>
      <c r="J19" s="21">
        <f>IF(OR($A19="",$F19=""),"",IF($B19="Entrada",$F19,-$F19))</f>
        <v>-1350</v>
      </c>
      <c r="K19" s="20" t="str">
        <f>IF($A19="","",IF(OR($B19="",$C19="",$F19="",$G19=""),"Preencher tudo",IF(IFERROR(INDEX(CatTipo,MATCH($C19,CatNome,0)),"")&lt;&gt;$B19,"Categoria x Tipo?","OK")))</f>
        <v>OK</v>
      </c>
    </row>
    <row r="20" spans="1:11">
      <c r="A20" s="18">
        <v>46043</v>
      </c>
      <c r="B20" s="19" t="s">
        <v>52</v>
      </c>
      <c r="C20" s="15" t="s">
        <v>51</v>
      </c>
      <c r="D20" s="15" t="s">
        <v>110</v>
      </c>
      <c r="E20" s="15" t="s">
        <v>82</v>
      </c>
      <c r="F20" s="17">
        <v>10906.52</v>
      </c>
      <c r="G20" s="19" t="s">
        <v>95</v>
      </c>
      <c r="H20" s="20">
        <f>IF($A20="","",YEAR($A20))</f>
        <v>2026</v>
      </c>
      <c r="I20" s="20">
        <f>IF($A20="","",MONTH($A20))</f>
        <v>1</v>
      </c>
      <c r="J20" s="21">
        <f>IF(OR($A20="",$F20=""),"",IF($B20="Entrada",$F20,-$F20))</f>
        <v>10906.52</v>
      </c>
      <c r="K20" s="20" t="str">
        <f>IF($A20="","",IF(OR($B20="",$C20="",$F20="",$G20=""),"Preencher tudo",IF(IFERROR(INDEX(CatTipo,MATCH($C20,CatNome,0)),"")&lt;&gt;$B20,"Categoria x Tipo?","OK")))</f>
        <v>OK</v>
      </c>
    </row>
    <row r="21" spans="1:11">
      <c r="A21" s="18">
        <v>46047</v>
      </c>
      <c r="B21" s="19" t="s">
        <v>60</v>
      </c>
      <c r="C21" s="15" t="s">
        <v>63</v>
      </c>
      <c r="D21" s="15" t="s">
        <v>111</v>
      </c>
      <c r="E21" s="15" t="s">
        <v>82</v>
      </c>
      <c r="F21" s="17">
        <v>1174.71</v>
      </c>
      <c r="G21" s="19" t="s">
        <v>95</v>
      </c>
      <c r="H21" s="20">
        <f>IF($A21="","",YEAR($A21))</f>
        <v>2026</v>
      </c>
      <c r="I21" s="20">
        <f>IF($A21="","",MONTH($A21))</f>
        <v>1</v>
      </c>
      <c r="J21" s="21">
        <f>IF(OR($A21="",$F21=""),"",IF($B21="Entrada",$F21,-$F21))</f>
        <v>-1174.71</v>
      </c>
      <c r="K21" s="20" t="str">
        <f>IF($A21="","",IF(OR($B21="",$C21="",$F21="",$G21=""),"Preencher tudo",IF(IFERROR(INDEX(CatTipo,MATCH($C21,CatNome,0)),"")&lt;&gt;$B21,"Categoria x Tipo?","OK")))</f>
        <v>OK</v>
      </c>
    </row>
    <row r="22" spans="1:11">
      <c r="A22" s="18">
        <v>46050</v>
      </c>
      <c r="B22" s="19" t="s">
        <v>52</v>
      </c>
      <c r="C22" s="15" t="s">
        <v>51</v>
      </c>
      <c r="D22" s="15" t="s">
        <v>112</v>
      </c>
      <c r="E22" s="15" t="s">
        <v>80</v>
      </c>
      <c r="F22" s="17">
        <v>10983.27</v>
      </c>
      <c r="G22" s="19" t="s">
        <v>95</v>
      </c>
      <c r="H22" s="20">
        <f>IF($A22="","",YEAR($A22))</f>
        <v>2026</v>
      </c>
      <c r="I22" s="20">
        <f>IF($A22="","",MONTH($A22))</f>
        <v>1</v>
      </c>
      <c r="J22" s="21">
        <f>IF(OR($A22="",$F22=""),"",IF($B22="Entrada",$F22,-$F22))</f>
        <v>10983.27</v>
      </c>
      <c r="K22" s="20" t="str">
        <f>IF($A22="","",IF(OR($B22="",$C22="",$F22="",$G22=""),"Preencher tudo",IF(IFERROR(INDEX(CatTipo,MATCH($C22,CatNome,0)),"")&lt;&gt;$B22,"Categoria x Tipo?","OK")))</f>
        <v>OK</v>
      </c>
    </row>
    <row r="23" spans="1:11">
      <c r="A23" s="18">
        <v>46058</v>
      </c>
      <c r="B23" s="19" t="s">
        <v>60</v>
      </c>
      <c r="C23" s="15" t="s">
        <v>59</v>
      </c>
      <c r="D23" s="15" t="s">
        <v>96</v>
      </c>
      <c r="E23" s="15" t="s">
        <v>81</v>
      </c>
      <c r="F23" s="17">
        <v>7834.72</v>
      </c>
      <c r="G23" s="19" t="s">
        <v>95</v>
      </c>
      <c r="H23" s="20">
        <f>IF($A23="","",YEAR($A23))</f>
        <v>2026</v>
      </c>
      <c r="I23" s="20">
        <f>IF($A23="","",MONTH($A23))</f>
        <v>2</v>
      </c>
      <c r="J23" s="21">
        <f>IF(OR($A23="",$F23=""),"",IF($B23="Entrada",$F23,-$F23))</f>
        <v>-7834.72</v>
      </c>
      <c r="K23" s="20" t="str">
        <f>IF($A23="","",IF(OR($B23="",$C23="",$F23="",$G23=""),"Preencher tudo",IF(IFERROR(INDEX(CatTipo,MATCH($C23,CatNome,0)),"")&lt;&gt;$B23,"Categoria x Tipo?","OK")))</f>
        <v>OK</v>
      </c>
    </row>
    <row r="24" spans="1:11">
      <c r="A24" s="18">
        <v>46058</v>
      </c>
      <c r="B24" s="19" t="s">
        <v>60</v>
      </c>
      <c r="C24" s="15" t="s">
        <v>66</v>
      </c>
      <c r="D24" s="15" t="s">
        <v>97</v>
      </c>
      <c r="E24" s="15" t="s">
        <v>81</v>
      </c>
      <c r="F24" s="17">
        <v>11800</v>
      </c>
      <c r="G24" s="19" t="s">
        <v>95</v>
      </c>
      <c r="H24" s="20">
        <f>IF($A24="","",YEAR($A24))</f>
        <v>2026</v>
      </c>
      <c r="I24" s="20">
        <f>IF($A24="","",MONTH($A24))</f>
        <v>2</v>
      </c>
      <c r="J24" s="21">
        <f>IF(OR($A24="",$F24=""),"",IF($B24="Entrada",$F24,-$F24))</f>
        <v>-11800</v>
      </c>
      <c r="K24" s="20" t="str">
        <f>IF($A24="","",IF(OR($B24="",$C24="",$F24="",$G24=""),"Preencher tudo",IF(IFERROR(INDEX(CatTipo,MATCH($C24,CatNome,0)),"")&lt;&gt;$B24,"Categoria x Tipo?","OK")))</f>
        <v>OK</v>
      </c>
    </row>
    <row r="25" spans="1:11">
      <c r="A25" s="18">
        <v>46059</v>
      </c>
      <c r="B25" s="19" t="s">
        <v>60</v>
      </c>
      <c r="C25" s="15" t="s">
        <v>72</v>
      </c>
      <c r="D25" s="15" t="s">
        <v>98</v>
      </c>
      <c r="E25" s="15" t="s">
        <v>81</v>
      </c>
      <c r="F25" s="17">
        <v>6000</v>
      </c>
      <c r="G25" s="19" t="s">
        <v>95</v>
      </c>
      <c r="H25" s="20">
        <f>IF($A25="","",YEAR($A25))</f>
        <v>2026</v>
      </c>
      <c r="I25" s="20">
        <f>IF($A25="","",MONTH($A25))</f>
        <v>2</v>
      </c>
      <c r="J25" s="21">
        <f>IF(OR($A25="",$F25=""),"",IF($B25="Entrada",$F25,-$F25))</f>
        <v>-6000</v>
      </c>
      <c r="K25" s="20" t="str">
        <f>IF($A25="","",IF(OR($B25="",$C25="",$F25="",$G25=""),"Preencher tudo",IF(IFERROR(INDEX(CatTipo,MATCH($C25,CatNome,0)),"")&lt;&gt;$B25,"Categoria x Tipo?","OK")))</f>
        <v>OK</v>
      </c>
    </row>
    <row r="26" spans="1:11">
      <c r="A26" s="18">
        <v>46060</v>
      </c>
      <c r="B26" s="19" t="s">
        <v>52</v>
      </c>
      <c r="C26" s="15" t="s">
        <v>51</v>
      </c>
      <c r="D26" s="15" t="s">
        <v>99</v>
      </c>
      <c r="E26" s="15" t="s">
        <v>82</v>
      </c>
      <c r="F26" s="17">
        <v>7797.69</v>
      </c>
      <c r="G26" s="19" t="s">
        <v>95</v>
      </c>
      <c r="H26" s="20">
        <f>IF($A26="","",YEAR($A26))</f>
        <v>2026</v>
      </c>
      <c r="I26" s="20">
        <f>IF($A26="","",MONTH($A26))</f>
        <v>2</v>
      </c>
      <c r="J26" s="21">
        <f>IF(OR($A26="",$F26=""),"",IF($B26="Entrada",$F26,-$F26))</f>
        <v>7797.69</v>
      </c>
      <c r="K26" s="20" t="str">
        <f>IF($A26="","",IF(OR($B26="",$C26="",$F26="",$G26=""),"Preencher tudo",IF(IFERROR(INDEX(CatTipo,MATCH($C26,CatNome,0)),"")&lt;&gt;$B26,"Categoria x Tipo?","OK")))</f>
        <v>OK</v>
      </c>
    </row>
    <row r="27" spans="1:11">
      <c r="A27" s="18">
        <v>46061</v>
      </c>
      <c r="B27" s="19" t="s">
        <v>60</v>
      </c>
      <c r="C27" s="15" t="s">
        <v>70</v>
      </c>
      <c r="D27" s="15" t="s">
        <v>100</v>
      </c>
      <c r="E27" s="15" t="s">
        <v>81</v>
      </c>
      <c r="F27" s="17">
        <v>1276.32</v>
      </c>
      <c r="G27" s="19" t="s">
        <v>95</v>
      </c>
      <c r="H27" s="20">
        <f>IF($A27="","",YEAR($A27))</f>
        <v>2026</v>
      </c>
      <c r="I27" s="20">
        <f>IF($A27="","",MONTH($A27))</f>
        <v>2</v>
      </c>
      <c r="J27" s="21">
        <f>IF(OR($A27="",$F27=""),"",IF($B27="Entrada",$F27,-$F27))</f>
        <v>-1276.32</v>
      </c>
      <c r="K27" s="20" t="str">
        <f>IF($A27="","",IF(OR($B27="",$C27="",$F27="",$G27=""),"Preencher tudo",IF(IFERROR(INDEX(CatTipo,MATCH($C27,CatNome,0)),"")&lt;&gt;$B27,"Categoria x Tipo?","OK")))</f>
        <v>OK</v>
      </c>
    </row>
    <row r="28" spans="1:11">
      <c r="A28" s="18">
        <v>46063</v>
      </c>
      <c r="B28" s="19" t="s">
        <v>60</v>
      </c>
      <c r="C28" s="15" t="s">
        <v>68</v>
      </c>
      <c r="D28" s="15" t="s">
        <v>101</v>
      </c>
      <c r="E28" s="15" t="s">
        <v>81</v>
      </c>
      <c r="F28" s="17">
        <v>4200</v>
      </c>
      <c r="G28" s="19" t="s">
        <v>95</v>
      </c>
      <c r="H28" s="20">
        <f>IF($A28="","",YEAR($A28))</f>
        <v>2026</v>
      </c>
      <c r="I28" s="20">
        <f>IF($A28="","",MONTH($A28))</f>
        <v>2</v>
      </c>
      <c r="J28" s="21">
        <f>IF(OR($A28="",$F28=""),"",IF($B28="Entrada",$F28,-$F28))</f>
        <v>-4200</v>
      </c>
      <c r="K28" s="20" t="str">
        <f>IF($A28="","",IF(OR($B28="",$C28="",$F28="",$G28=""),"Preencher tudo",IF(IFERROR(INDEX(CatTipo,MATCH($C28,CatNome,0)),"")&lt;&gt;$B28,"Categoria x Tipo?","OK")))</f>
        <v>OK</v>
      </c>
    </row>
    <row r="29" spans="1:11">
      <c r="A29" s="18">
        <v>46063</v>
      </c>
      <c r="B29" s="19" t="s">
        <v>60</v>
      </c>
      <c r="C29" s="15" t="s">
        <v>74</v>
      </c>
      <c r="D29" s="15" t="s">
        <v>102</v>
      </c>
      <c r="E29" s="15" t="s">
        <v>81</v>
      </c>
      <c r="F29" s="17">
        <v>2100</v>
      </c>
      <c r="G29" s="19" t="s">
        <v>95</v>
      </c>
      <c r="H29" s="20">
        <f>IF($A29="","",YEAR($A29))</f>
        <v>2026</v>
      </c>
      <c r="I29" s="20">
        <f>IF($A29="","",MONTH($A29))</f>
        <v>2</v>
      </c>
      <c r="J29" s="21">
        <f>IF(OR($A29="",$F29=""),"",IF($B29="Entrada",$F29,-$F29))</f>
        <v>-2100</v>
      </c>
      <c r="K29" s="20" t="str">
        <f>IF($A29="","",IF(OR($B29="",$C29="",$F29="",$G29=""),"Preencher tudo",IF(IFERROR(INDEX(CatTipo,MATCH($C29,CatNome,0)),"")&lt;&gt;$B29,"Categoria x Tipo?","OK")))</f>
        <v>OK</v>
      </c>
    </row>
    <row r="30" spans="1:11">
      <c r="A30" s="18">
        <v>46065</v>
      </c>
      <c r="B30" s="19" t="s">
        <v>60</v>
      </c>
      <c r="C30" s="15" t="s">
        <v>64</v>
      </c>
      <c r="D30" s="15" t="s">
        <v>103</v>
      </c>
      <c r="E30" s="15" t="s">
        <v>81</v>
      </c>
      <c r="F30" s="17">
        <v>1147.8</v>
      </c>
      <c r="G30" s="19" t="s">
        <v>95</v>
      </c>
      <c r="H30" s="20">
        <f>IF($A30="","",YEAR($A30))</f>
        <v>2026</v>
      </c>
      <c r="I30" s="20">
        <f>IF($A30="","",MONTH($A30))</f>
        <v>2</v>
      </c>
      <c r="J30" s="21">
        <f>IF(OR($A30="",$F30=""),"",IF($B30="Entrada",$F30,-$F30))</f>
        <v>-1147.8</v>
      </c>
      <c r="K30" s="20" t="str">
        <f>IF($A30="","",IF(OR($B30="",$C30="",$F30="",$G30=""),"Preencher tudo",IF(IFERROR(INDEX(CatTipo,MATCH($C30,CatNome,0)),"")&lt;&gt;$B30,"Categoria x Tipo?","OK")))</f>
        <v>OK</v>
      </c>
    </row>
    <row r="31" spans="1:11">
      <c r="A31" s="18">
        <v>46067</v>
      </c>
      <c r="B31" s="19" t="s">
        <v>52</v>
      </c>
      <c r="C31" s="15" t="s">
        <v>51</v>
      </c>
      <c r="D31" s="15" t="s">
        <v>104</v>
      </c>
      <c r="E31" s="15" t="s">
        <v>82</v>
      </c>
      <c r="F31" s="17">
        <v>8125.97</v>
      </c>
      <c r="G31" s="19" t="s">
        <v>95</v>
      </c>
      <c r="H31" s="20">
        <f>IF($A31="","",YEAR($A31))</f>
        <v>2026</v>
      </c>
      <c r="I31" s="20">
        <f>IF($A31="","",MONTH($A31))</f>
        <v>2</v>
      </c>
      <c r="J31" s="21">
        <f>IF(OR($A31="",$F31=""),"",IF($B31="Entrada",$F31,-$F31))</f>
        <v>8125.97</v>
      </c>
      <c r="K31" s="20" t="str">
        <f>IF($A31="","",IF(OR($B31="",$C31="",$F31="",$G31=""),"Preencher tudo",IF(IFERROR(INDEX(CatTipo,MATCH($C31,CatNome,0)),"")&lt;&gt;$B31,"Categoria x Tipo?","OK")))</f>
        <v>OK</v>
      </c>
    </row>
    <row r="32" spans="1:11">
      <c r="A32" s="18">
        <v>46068</v>
      </c>
      <c r="B32" s="19" t="s">
        <v>52</v>
      </c>
      <c r="C32" s="15" t="s">
        <v>54</v>
      </c>
      <c r="D32" s="15" t="s">
        <v>105</v>
      </c>
      <c r="E32" s="15" t="s">
        <v>81</v>
      </c>
      <c r="F32" s="17">
        <v>5898.87</v>
      </c>
      <c r="G32" s="19" t="s">
        <v>95</v>
      </c>
      <c r="H32" s="20">
        <f>IF($A32="","",YEAR($A32))</f>
        <v>2026</v>
      </c>
      <c r="I32" s="20">
        <f>IF($A32="","",MONTH($A32))</f>
        <v>2</v>
      </c>
      <c r="J32" s="21">
        <f>IF(OR($A32="",$F32=""),"",IF($B32="Entrada",$F32,-$F32))</f>
        <v>5898.87</v>
      </c>
      <c r="K32" s="20" t="str">
        <f>IF($A32="","",IF(OR($B32="",$C32="",$F32="",$G32=""),"Preencher tudo",IF(IFERROR(INDEX(CatTipo,MATCH($C32,CatNome,0)),"")&lt;&gt;$B32,"Categoria x Tipo?","OK")))</f>
        <v>OK</v>
      </c>
    </row>
    <row r="33" spans="1:11">
      <c r="A33" s="18">
        <v>46068</v>
      </c>
      <c r="B33" s="19" t="s">
        <v>60</v>
      </c>
      <c r="C33" s="15" t="s">
        <v>69</v>
      </c>
      <c r="D33" s="15" t="s">
        <v>106</v>
      </c>
      <c r="E33" s="15" t="s">
        <v>81</v>
      </c>
      <c r="F33" s="17">
        <v>1305.44</v>
      </c>
      <c r="G33" s="19" t="s">
        <v>95</v>
      </c>
      <c r="H33" s="20">
        <f>IF($A33="","",YEAR($A33))</f>
        <v>2026</v>
      </c>
      <c r="I33" s="20">
        <f>IF($A33="","",MONTH($A33))</f>
        <v>2</v>
      </c>
      <c r="J33" s="21">
        <f>IF(OR($A33="",$F33=""),"",IF($B33="Entrada",$F33,-$F33))</f>
        <v>-1305.44</v>
      </c>
      <c r="K33" s="20" t="str">
        <f>IF($A33="","",IF(OR($B33="",$C33="",$F33="",$G33=""),"Preencher tudo",IF(IFERROR(INDEX(CatTipo,MATCH($C33,CatNome,0)),"")&lt;&gt;$B33,"Categoria x Tipo?","OK")))</f>
        <v>OK</v>
      </c>
    </row>
    <row r="34" spans="1:11">
      <c r="A34" s="18">
        <v>46072</v>
      </c>
      <c r="B34" s="19" t="s">
        <v>60</v>
      </c>
      <c r="C34" s="15" t="s">
        <v>59</v>
      </c>
      <c r="D34" s="15" t="s">
        <v>107</v>
      </c>
      <c r="E34" s="15" t="s">
        <v>81</v>
      </c>
      <c r="F34" s="17">
        <v>5044.47</v>
      </c>
      <c r="G34" s="19" t="s">
        <v>95</v>
      </c>
      <c r="H34" s="20">
        <f>IF($A34="","",YEAR($A34))</f>
        <v>2026</v>
      </c>
      <c r="I34" s="20">
        <f>IF($A34="","",MONTH($A34))</f>
        <v>2</v>
      </c>
      <c r="J34" s="21">
        <f>IF(OR($A34="",$F34=""),"",IF($B34="Entrada",$F34,-$F34))</f>
        <v>-5044.47</v>
      </c>
      <c r="K34" s="20" t="str">
        <f>IF($A34="","",IF(OR($B34="",$C34="",$F34="",$G34=""),"Preencher tudo",IF(IFERROR(INDEX(CatTipo,MATCH($C34,CatNome,0)),"")&lt;&gt;$B34,"Categoria x Tipo?","OK")))</f>
        <v>OK</v>
      </c>
    </row>
    <row r="35" spans="1:11">
      <c r="A35" s="18">
        <v>46073</v>
      </c>
      <c r="B35" s="19" t="s">
        <v>60</v>
      </c>
      <c r="C35" s="15" t="s">
        <v>62</v>
      </c>
      <c r="D35" s="15" t="s">
        <v>108</v>
      </c>
      <c r="E35" s="15" t="s">
        <v>81</v>
      </c>
      <c r="F35" s="17">
        <v>2495.63</v>
      </c>
      <c r="G35" s="19" t="s">
        <v>95</v>
      </c>
      <c r="H35" s="20">
        <f>IF($A35="","",YEAR($A35))</f>
        <v>2026</v>
      </c>
      <c r="I35" s="20">
        <f>IF($A35="","",MONTH($A35))</f>
        <v>2</v>
      </c>
      <c r="J35" s="21">
        <f>IF(OR($A35="",$F35=""),"",IF($B35="Entrada",$F35,-$F35))</f>
        <v>-2495.63</v>
      </c>
      <c r="K35" s="20" t="str">
        <f>IF($A35="","",IF(OR($B35="",$C35="",$F35="",$G35=""),"Preencher tudo",IF(IFERROR(INDEX(CatTipo,MATCH($C35,CatNome,0)),"")&lt;&gt;$B35,"Categoria x Tipo?","OK")))</f>
        <v>OK</v>
      </c>
    </row>
    <row r="36" spans="1:11">
      <c r="A36" s="18">
        <v>46073</v>
      </c>
      <c r="B36" s="19" t="s">
        <v>60</v>
      </c>
      <c r="C36" s="15" t="s">
        <v>71</v>
      </c>
      <c r="D36" s="15" t="s">
        <v>109</v>
      </c>
      <c r="E36" s="15" t="s">
        <v>81</v>
      </c>
      <c r="F36" s="17">
        <v>1350</v>
      </c>
      <c r="G36" s="19" t="s">
        <v>95</v>
      </c>
      <c r="H36" s="20">
        <f>IF($A36="","",YEAR($A36))</f>
        <v>2026</v>
      </c>
      <c r="I36" s="20">
        <f>IF($A36="","",MONTH($A36))</f>
        <v>2</v>
      </c>
      <c r="J36" s="21">
        <f>IF(OR($A36="",$F36=""),"",IF($B36="Entrada",$F36,-$F36))</f>
        <v>-1350</v>
      </c>
      <c r="K36" s="20" t="str">
        <f>IF($A36="","",IF(OR($B36="",$C36="",$F36="",$G36=""),"Preencher tudo",IF(IFERROR(INDEX(CatTipo,MATCH($C36,CatNome,0)),"")&lt;&gt;$B36,"Categoria x Tipo?","OK")))</f>
        <v>OK</v>
      </c>
    </row>
    <row r="37" spans="1:11">
      <c r="A37" s="18">
        <v>46074</v>
      </c>
      <c r="B37" s="19" t="s">
        <v>52</v>
      </c>
      <c r="C37" s="15" t="s">
        <v>51</v>
      </c>
      <c r="D37" s="15" t="s">
        <v>110</v>
      </c>
      <c r="E37" s="15" t="s">
        <v>80</v>
      </c>
      <c r="F37" s="17">
        <v>9154.25</v>
      </c>
      <c r="G37" s="19" t="s">
        <v>95</v>
      </c>
      <c r="H37" s="20">
        <f>IF($A37="","",YEAR($A37))</f>
        <v>2026</v>
      </c>
      <c r="I37" s="20">
        <f>IF($A37="","",MONTH($A37))</f>
        <v>2</v>
      </c>
      <c r="J37" s="21">
        <f>IF(OR($A37="",$F37=""),"",IF($B37="Entrada",$F37,-$F37))</f>
        <v>9154.25</v>
      </c>
      <c r="K37" s="20" t="str">
        <f>IF($A37="","",IF(OR($B37="",$C37="",$F37="",$G37=""),"Preencher tudo",IF(IFERROR(INDEX(CatTipo,MATCH($C37,CatNome,0)),"")&lt;&gt;$B37,"Categoria x Tipo?","OK")))</f>
        <v>OK</v>
      </c>
    </row>
    <row r="38" spans="1:11">
      <c r="A38" s="18">
        <v>46075</v>
      </c>
      <c r="B38" s="19" t="s">
        <v>60</v>
      </c>
      <c r="C38" s="15" t="s">
        <v>65</v>
      </c>
      <c r="D38" s="15" t="s">
        <v>113</v>
      </c>
      <c r="E38" s="15" t="s">
        <v>80</v>
      </c>
      <c r="F38" s="17">
        <v>1008.47</v>
      </c>
      <c r="G38" s="19" t="s">
        <v>95</v>
      </c>
      <c r="H38" s="20">
        <f>IF($A38="","",YEAR($A38))</f>
        <v>2026</v>
      </c>
      <c r="I38" s="20">
        <f>IF($A38="","",MONTH($A38))</f>
        <v>2</v>
      </c>
      <c r="J38" s="21">
        <f>IF(OR($A38="",$F38=""),"",IF($B38="Entrada",$F38,-$F38))</f>
        <v>-1008.47</v>
      </c>
      <c r="K38" s="20" t="str">
        <f>IF($A38="","",IF(OR($B38="",$C38="",$F38="",$G38=""),"Preencher tudo",IF(IFERROR(INDEX(CatTipo,MATCH($C38,CatNome,0)),"")&lt;&gt;$B38,"Categoria x Tipo?","OK")))</f>
        <v>OK</v>
      </c>
    </row>
    <row r="39" spans="1:11">
      <c r="A39" s="18">
        <v>46078</v>
      </c>
      <c r="B39" s="19" t="s">
        <v>60</v>
      </c>
      <c r="C39" s="15" t="s">
        <v>63</v>
      </c>
      <c r="D39" s="15" t="s">
        <v>111</v>
      </c>
      <c r="E39" s="15" t="s">
        <v>82</v>
      </c>
      <c r="F39" s="17">
        <v>1134.13</v>
      </c>
      <c r="G39" s="19" t="s">
        <v>95</v>
      </c>
      <c r="H39" s="20">
        <f>IF($A39="","",YEAR($A39))</f>
        <v>2026</v>
      </c>
      <c r="I39" s="20">
        <f>IF($A39="","",MONTH($A39))</f>
        <v>2</v>
      </c>
      <c r="J39" s="21">
        <f>IF(OR($A39="",$F39=""),"",IF($B39="Entrada",$F39,-$F39))</f>
        <v>-1134.13</v>
      </c>
      <c r="K39" s="20" t="str">
        <f>IF($A39="","",IF(OR($B39="",$C39="",$F39="",$G39=""),"Preencher tudo",IF(IFERROR(INDEX(CatTipo,MATCH($C39,CatNome,0)),"")&lt;&gt;$B39,"Categoria x Tipo?","OK")))</f>
        <v>OK</v>
      </c>
    </row>
    <row r="40" spans="1:11">
      <c r="A40" s="18">
        <v>46081</v>
      </c>
      <c r="B40" s="19" t="s">
        <v>52</v>
      </c>
      <c r="C40" s="15" t="s">
        <v>51</v>
      </c>
      <c r="D40" s="15" t="s">
        <v>112</v>
      </c>
      <c r="E40" s="15" t="s">
        <v>81</v>
      </c>
      <c r="F40" s="17">
        <v>9277.530000000001</v>
      </c>
      <c r="G40" s="19" t="s">
        <v>95</v>
      </c>
      <c r="H40" s="20">
        <f>IF($A40="","",YEAR($A40))</f>
        <v>2026</v>
      </c>
      <c r="I40" s="20">
        <f>IF($A40="","",MONTH($A40))</f>
        <v>2</v>
      </c>
      <c r="J40" s="21">
        <f>IF(OR($A40="",$F40=""),"",IF($B40="Entrada",$F40,-$F40))</f>
        <v>9277.53</v>
      </c>
      <c r="K40" s="20" t="str">
        <f>IF($A40="","",IF(OR($B40="",$C40="",$F40="",$G40=""),"Preencher tudo",IF(IFERROR(INDEX(CatTipo,MATCH($C40,CatNome,0)),"")&lt;&gt;$B40,"Categoria x Tipo?","OK")))</f>
        <v>OK</v>
      </c>
    </row>
    <row r="41" spans="1:11">
      <c r="A41" s="18">
        <v>46086</v>
      </c>
      <c r="B41" s="19" t="s">
        <v>60</v>
      </c>
      <c r="C41" s="15" t="s">
        <v>59</v>
      </c>
      <c r="D41" s="15" t="s">
        <v>96</v>
      </c>
      <c r="E41" s="15" t="s">
        <v>81</v>
      </c>
      <c r="F41" s="17">
        <v>10385.96</v>
      </c>
      <c r="G41" s="19" t="s">
        <v>95</v>
      </c>
      <c r="H41" s="20">
        <f>IF($A41="","",YEAR($A41))</f>
        <v>2026</v>
      </c>
      <c r="I41" s="20">
        <f>IF($A41="","",MONTH($A41))</f>
        <v>3</v>
      </c>
      <c r="J41" s="21">
        <f>IF(OR($A41="",$F41=""),"",IF($B41="Entrada",$F41,-$F41))</f>
        <v>-10385.96</v>
      </c>
      <c r="K41" s="20" t="str">
        <f>IF($A41="","",IF(OR($B41="",$C41="",$F41="",$G41=""),"Preencher tudo",IF(IFERROR(INDEX(CatTipo,MATCH($C41,CatNome,0)),"")&lt;&gt;$B41,"Categoria x Tipo?","OK")))</f>
        <v>OK</v>
      </c>
    </row>
    <row r="42" spans="1:11">
      <c r="A42" s="18">
        <v>46086</v>
      </c>
      <c r="B42" s="19" t="s">
        <v>60</v>
      </c>
      <c r="C42" s="15" t="s">
        <v>66</v>
      </c>
      <c r="D42" s="15" t="s">
        <v>97</v>
      </c>
      <c r="E42" s="15" t="s">
        <v>81</v>
      </c>
      <c r="F42" s="17">
        <v>11800</v>
      </c>
      <c r="G42" s="19" t="s">
        <v>95</v>
      </c>
      <c r="H42" s="20">
        <f>IF($A42="","",YEAR($A42))</f>
        <v>2026</v>
      </c>
      <c r="I42" s="20">
        <f>IF($A42="","",MONTH($A42))</f>
        <v>3</v>
      </c>
      <c r="J42" s="21">
        <f>IF(OR($A42="",$F42=""),"",IF($B42="Entrada",$F42,-$F42))</f>
        <v>-11800</v>
      </c>
      <c r="K42" s="20" t="str">
        <f>IF($A42="","",IF(OR($B42="",$C42="",$F42="",$G42=""),"Preencher tudo",IF(IFERROR(INDEX(CatTipo,MATCH($C42,CatNome,0)),"")&lt;&gt;$B42,"Categoria x Tipo?","OK")))</f>
        <v>OK</v>
      </c>
    </row>
    <row r="43" spans="1:11">
      <c r="A43" s="18">
        <v>46087</v>
      </c>
      <c r="B43" s="19" t="s">
        <v>60</v>
      </c>
      <c r="C43" s="15" t="s">
        <v>72</v>
      </c>
      <c r="D43" s="15" t="s">
        <v>98</v>
      </c>
      <c r="E43" s="15" t="s">
        <v>81</v>
      </c>
      <c r="F43" s="17">
        <v>6000</v>
      </c>
      <c r="G43" s="19" t="s">
        <v>95</v>
      </c>
      <c r="H43" s="20">
        <f>IF($A43="","",YEAR($A43))</f>
        <v>2026</v>
      </c>
      <c r="I43" s="20">
        <f>IF($A43="","",MONTH($A43))</f>
        <v>3</v>
      </c>
      <c r="J43" s="21">
        <f>IF(OR($A43="",$F43=""),"",IF($B43="Entrada",$F43,-$F43))</f>
        <v>-6000</v>
      </c>
      <c r="K43" s="20" t="str">
        <f>IF($A43="","",IF(OR($B43="",$C43="",$F43="",$G43=""),"Preencher tudo",IF(IFERROR(INDEX(CatTipo,MATCH($C43,CatNome,0)),"")&lt;&gt;$B43,"Categoria x Tipo?","OK")))</f>
        <v>OK</v>
      </c>
    </row>
    <row r="44" spans="1:11">
      <c r="A44" s="18">
        <v>46088</v>
      </c>
      <c r="B44" s="19" t="s">
        <v>52</v>
      </c>
      <c r="C44" s="15" t="s">
        <v>51</v>
      </c>
      <c r="D44" s="15" t="s">
        <v>99</v>
      </c>
      <c r="E44" s="15" t="s">
        <v>81</v>
      </c>
      <c r="F44" s="17">
        <v>10984.44</v>
      </c>
      <c r="G44" s="19" t="s">
        <v>95</v>
      </c>
      <c r="H44" s="20">
        <f>IF($A44="","",YEAR($A44))</f>
        <v>2026</v>
      </c>
      <c r="I44" s="20">
        <f>IF($A44="","",MONTH($A44))</f>
        <v>3</v>
      </c>
      <c r="J44" s="21">
        <f>IF(OR($A44="",$F44=""),"",IF($B44="Entrada",$F44,-$F44))</f>
        <v>10984.44</v>
      </c>
      <c r="K44" s="20" t="str">
        <f>IF($A44="","",IF(OR($B44="",$C44="",$F44="",$G44=""),"Preencher tudo",IF(IFERROR(INDEX(CatTipo,MATCH($C44,CatNome,0)),"")&lt;&gt;$B44,"Categoria x Tipo?","OK")))</f>
        <v>OK</v>
      </c>
    </row>
    <row r="45" spans="1:11">
      <c r="A45" s="18">
        <v>46089</v>
      </c>
      <c r="B45" s="19" t="s">
        <v>60</v>
      </c>
      <c r="C45" s="15" t="s">
        <v>70</v>
      </c>
      <c r="D45" s="15" t="s">
        <v>100</v>
      </c>
      <c r="E45" s="15" t="s">
        <v>81</v>
      </c>
      <c r="F45" s="17">
        <v>1316.45</v>
      </c>
      <c r="G45" s="19" t="s">
        <v>95</v>
      </c>
      <c r="H45" s="20">
        <f>IF($A45="","",YEAR($A45))</f>
        <v>2026</v>
      </c>
      <c r="I45" s="20">
        <f>IF($A45="","",MONTH($A45))</f>
        <v>3</v>
      </c>
      <c r="J45" s="21">
        <f>IF(OR($A45="",$F45=""),"",IF($B45="Entrada",$F45,-$F45))</f>
        <v>-1316.45</v>
      </c>
      <c r="K45" s="20" t="str">
        <f>IF($A45="","",IF(OR($B45="",$C45="",$F45="",$G45=""),"Preencher tudo",IF(IFERROR(INDEX(CatTipo,MATCH($C45,CatNome,0)),"")&lt;&gt;$B45,"Categoria x Tipo?","OK")))</f>
        <v>OK</v>
      </c>
    </row>
    <row r="46" spans="1:11">
      <c r="A46" s="18">
        <v>46091</v>
      </c>
      <c r="B46" s="19" t="s">
        <v>52</v>
      </c>
      <c r="C46" s="15" t="s">
        <v>55</v>
      </c>
      <c r="D46" s="15" t="s">
        <v>114</v>
      </c>
      <c r="E46" s="15" t="s">
        <v>81</v>
      </c>
      <c r="F46" s="17">
        <v>2400</v>
      </c>
      <c r="G46" s="19" t="s">
        <v>95</v>
      </c>
      <c r="H46" s="20">
        <f>IF($A46="","",YEAR($A46))</f>
        <v>2026</v>
      </c>
      <c r="I46" s="20">
        <f>IF($A46="","",MONTH($A46))</f>
        <v>3</v>
      </c>
      <c r="J46" s="21">
        <f>IF(OR($A46="",$F46=""),"",IF($B46="Entrada",$F46,-$F46))</f>
        <v>2400</v>
      </c>
      <c r="K46" s="20" t="str">
        <f>IF($A46="","",IF(OR($B46="",$C46="",$F46="",$G46=""),"Preencher tudo",IF(IFERROR(INDEX(CatTipo,MATCH($C46,CatNome,0)),"")&lt;&gt;$B46,"Categoria x Tipo?","OK")))</f>
        <v>OK</v>
      </c>
    </row>
    <row r="47" spans="1:11">
      <c r="A47" s="18">
        <v>46091</v>
      </c>
      <c r="B47" s="19" t="s">
        <v>60</v>
      </c>
      <c r="C47" s="15" t="s">
        <v>68</v>
      </c>
      <c r="D47" s="15" t="s">
        <v>101</v>
      </c>
      <c r="E47" s="15" t="s">
        <v>81</v>
      </c>
      <c r="F47" s="17">
        <v>4200</v>
      </c>
      <c r="G47" s="19" t="s">
        <v>95</v>
      </c>
      <c r="H47" s="20">
        <f>IF($A47="","",YEAR($A47))</f>
        <v>2026</v>
      </c>
      <c r="I47" s="20">
        <f>IF($A47="","",MONTH($A47))</f>
        <v>3</v>
      </c>
      <c r="J47" s="21">
        <f>IF(OR($A47="",$F47=""),"",IF($B47="Entrada",$F47,-$F47))</f>
        <v>-4200</v>
      </c>
      <c r="K47" s="20" t="str">
        <f>IF($A47="","",IF(OR($B47="",$C47="",$F47="",$G47=""),"Preencher tudo",IF(IFERROR(INDEX(CatTipo,MATCH($C47,CatNome,0)),"")&lt;&gt;$B47,"Categoria x Tipo?","OK")))</f>
        <v>OK</v>
      </c>
    </row>
    <row r="48" spans="1:11">
      <c r="A48" s="18">
        <v>46091</v>
      </c>
      <c r="B48" s="19" t="s">
        <v>60</v>
      </c>
      <c r="C48" s="15" t="s">
        <v>74</v>
      </c>
      <c r="D48" s="15" t="s">
        <v>102</v>
      </c>
      <c r="E48" s="15" t="s">
        <v>81</v>
      </c>
      <c r="F48" s="17">
        <v>2100</v>
      </c>
      <c r="G48" s="19" t="s">
        <v>95</v>
      </c>
      <c r="H48" s="20">
        <f>IF($A48="","",YEAR($A48))</f>
        <v>2026</v>
      </c>
      <c r="I48" s="20">
        <f>IF($A48="","",MONTH($A48))</f>
        <v>3</v>
      </c>
      <c r="J48" s="21">
        <f>IF(OR($A48="",$F48=""),"",IF($B48="Entrada",$F48,-$F48))</f>
        <v>-2100</v>
      </c>
      <c r="K48" s="20" t="str">
        <f>IF($A48="","",IF(OR($B48="",$C48="",$F48="",$G48=""),"Preencher tudo",IF(IFERROR(INDEX(CatTipo,MATCH($C48,CatNome,0)),"")&lt;&gt;$B48,"Categoria x Tipo?","OK")))</f>
        <v>OK</v>
      </c>
    </row>
    <row r="49" spans="1:11">
      <c r="A49" s="18">
        <v>46093</v>
      </c>
      <c r="B49" s="19" t="s">
        <v>60</v>
      </c>
      <c r="C49" s="15" t="s">
        <v>64</v>
      </c>
      <c r="D49" s="15" t="s">
        <v>103</v>
      </c>
      <c r="E49" s="15" t="s">
        <v>81</v>
      </c>
      <c r="F49" s="17">
        <v>1054.5</v>
      </c>
      <c r="G49" s="19" t="s">
        <v>95</v>
      </c>
      <c r="H49" s="20">
        <f>IF($A49="","",YEAR($A49))</f>
        <v>2026</v>
      </c>
      <c r="I49" s="20">
        <f>IF($A49="","",MONTH($A49))</f>
        <v>3</v>
      </c>
      <c r="J49" s="21">
        <f>IF(OR($A49="",$F49=""),"",IF($B49="Entrada",$F49,-$F49))</f>
        <v>-1054.5</v>
      </c>
      <c r="K49" s="20" t="str">
        <f>IF($A49="","",IF(OR($B49="",$C49="",$F49="",$G49=""),"Preencher tudo",IF(IFERROR(INDEX(CatTipo,MATCH($C49,CatNome,0)),"")&lt;&gt;$B49,"Categoria x Tipo?","OK")))</f>
        <v>OK</v>
      </c>
    </row>
    <row r="50" spans="1:11">
      <c r="A50" s="18">
        <v>46095</v>
      </c>
      <c r="B50" s="19" t="s">
        <v>52</v>
      </c>
      <c r="C50" s="15" t="s">
        <v>51</v>
      </c>
      <c r="D50" s="15" t="s">
        <v>104</v>
      </c>
      <c r="E50" s="15" t="s">
        <v>82</v>
      </c>
      <c r="F50" s="17">
        <v>10035.92</v>
      </c>
      <c r="G50" s="19" t="s">
        <v>95</v>
      </c>
      <c r="H50" s="20">
        <f>IF($A50="","",YEAR($A50))</f>
        <v>2026</v>
      </c>
      <c r="I50" s="20">
        <f>IF($A50="","",MONTH($A50))</f>
        <v>3</v>
      </c>
      <c r="J50" s="21">
        <f>IF(OR($A50="",$F50=""),"",IF($B50="Entrada",$F50,-$F50))</f>
        <v>10035.92</v>
      </c>
      <c r="K50" s="20" t="str">
        <f>IF($A50="","",IF(OR($B50="",$C50="",$F50="",$G50=""),"Preencher tudo",IF(IFERROR(INDEX(CatTipo,MATCH($C50,CatNome,0)),"")&lt;&gt;$B50,"Categoria x Tipo?","OK")))</f>
        <v>OK</v>
      </c>
    </row>
    <row r="51" spans="1:11">
      <c r="A51" s="18">
        <v>46096</v>
      </c>
      <c r="B51" s="19" t="s">
        <v>52</v>
      </c>
      <c r="C51" s="15" t="s">
        <v>54</v>
      </c>
      <c r="D51" s="15" t="s">
        <v>105</v>
      </c>
      <c r="E51" s="15" t="s">
        <v>81</v>
      </c>
      <c r="F51" s="17">
        <v>6252.56</v>
      </c>
      <c r="G51" s="19" t="s">
        <v>95</v>
      </c>
      <c r="H51" s="20">
        <f>IF($A51="","",YEAR($A51))</f>
        <v>2026</v>
      </c>
      <c r="I51" s="20">
        <f>IF($A51="","",MONTH($A51))</f>
        <v>3</v>
      </c>
      <c r="J51" s="21">
        <f>IF(OR($A51="",$F51=""),"",IF($B51="Entrada",$F51,-$F51))</f>
        <v>6252.56</v>
      </c>
      <c r="K51" s="20" t="str">
        <f>IF($A51="","",IF(OR($B51="",$C51="",$F51="",$G51=""),"Preencher tudo",IF(IFERROR(INDEX(CatTipo,MATCH($C51,CatNome,0)),"")&lt;&gt;$B51,"Categoria x Tipo?","OK")))</f>
        <v>OK</v>
      </c>
    </row>
    <row r="52" spans="1:11">
      <c r="A52" s="18">
        <v>46096</v>
      </c>
      <c r="B52" s="19" t="s">
        <v>60</v>
      </c>
      <c r="C52" s="15" t="s">
        <v>69</v>
      </c>
      <c r="D52" s="15" t="s">
        <v>106</v>
      </c>
      <c r="E52" s="15" t="s">
        <v>81</v>
      </c>
      <c r="F52" s="17">
        <v>1299.38</v>
      </c>
      <c r="G52" s="19" t="s">
        <v>95</v>
      </c>
      <c r="H52" s="20">
        <f>IF($A52="","",YEAR($A52))</f>
        <v>2026</v>
      </c>
      <c r="I52" s="20">
        <f>IF($A52="","",MONTH($A52))</f>
        <v>3</v>
      </c>
      <c r="J52" s="21">
        <f>IF(OR($A52="",$F52=""),"",IF($B52="Entrada",$F52,-$F52))</f>
        <v>-1299.38</v>
      </c>
      <c r="K52" s="20" t="str">
        <f>IF($A52="","",IF(OR($B52="",$C52="",$F52="",$G52=""),"Preencher tudo",IF(IFERROR(INDEX(CatTipo,MATCH($C52,CatNome,0)),"")&lt;&gt;$B52,"Categoria x Tipo?","OK")))</f>
        <v>OK</v>
      </c>
    </row>
    <row r="53" spans="1:11">
      <c r="A53" s="18">
        <v>46100</v>
      </c>
      <c r="B53" s="19" t="s">
        <v>60</v>
      </c>
      <c r="C53" s="15" t="s">
        <v>59</v>
      </c>
      <c r="D53" s="15" t="s">
        <v>107</v>
      </c>
      <c r="E53" s="15" t="s">
        <v>81</v>
      </c>
      <c r="F53" s="17">
        <v>4438.88</v>
      </c>
      <c r="G53" s="19" t="s">
        <v>95</v>
      </c>
      <c r="H53" s="20">
        <f>IF($A53="","",YEAR($A53))</f>
        <v>2026</v>
      </c>
      <c r="I53" s="20">
        <f>IF($A53="","",MONTH($A53))</f>
        <v>3</v>
      </c>
      <c r="J53" s="21">
        <f>IF(OR($A53="",$F53=""),"",IF($B53="Entrada",$F53,-$F53))</f>
        <v>-4438.88</v>
      </c>
      <c r="K53" s="20" t="str">
        <f>IF($A53="","",IF(OR($B53="",$C53="",$F53="",$G53=""),"Preencher tudo",IF(IFERROR(INDEX(CatTipo,MATCH($C53,CatNome,0)),"")&lt;&gt;$B53,"Categoria x Tipo?","OK")))</f>
        <v>OK</v>
      </c>
    </row>
    <row r="54" spans="1:11">
      <c r="A54" s="18">
        <v>46101</v>
      </c>
      <c r="B54" s="19" t="s">
        <v>60</v>
      </c>
      <c r="C54" s="15" t="s">
        <v>62</v>
      </c>
      <c r="D54" s="15" t="s">
        <v>108</v>
      </c>
      <c r="E54" s="15" t="s">
        <v>81</v>
      </c>
      <c r="F54" s="17">
        <v>2505.89</v>
      </c>
      <c r="G54" s="19" t="s">
        <v>95</v>
      </c>
      <c r="H54" s="20">
        <f>IF($A54="","",YEAR($A54))</f>
        <v>2026</v>
      </c>
      <c r="I54" s="20">
        <f>IF($A54="","",MONTH($A54))</f>
        <v>3</v>
      </c>
      <c r="J54" s="21">
        <f>IF(OR($A54="",$F54=""),"",IF($B54="Entrada",$F54,-$F54))</f>
        <v>-2505.89</v>
      </c>
      <c r="K54" s="20" t="str">
        <f>IF($A54="","",IF(OR($B54="",$C54="",$F54="",$G54=""),"Preencher tudo",IF(IFERROR(INDEX(CatTipo,MATCH($C54,CatNome,0)),"")&lt;&gt;$B54,"Categoria x Tipo?","OK")))</f>
        <v>OK</v>
      </c>
    </row>
    <row r="55" spans="1:11">
      <c r="A55" s="18">
        <v>46101</v>
      </c>
      <c r="B55" s="19" t="s">
        <v>60</v>
      </c>
      <c r="C55" s="15" t="s">
        <v>71</v>
      </c>
      <c r="D55" s="15" t="s">
        <v>109</v>
      </c>
      <c r="E55" s="15" t="s">
        <v>81</v>
      </c>
      <c r="F55" s="17">
        <v>1350</v>
      </c>
      <c r="G55" s="19" t="s">
        <v>95</v>
      </c>
      <c r="H55" s="20">
        <f>IF($A55="","",YEAR($A55))</f>
        <v>2026</v>
      </c>
      <c r="I55" s="20">
        <f>IF($A55="","",MONTH($A55))</f>
        <v>3</v>
      </c>
      <c r="J55" s="21">
        <f>IF(OR($A55="",$F55=""),"",IF($B55="Entrada",$F55,-$F55))</f>
        <v>-1350</v>
      </c>
      <c r="K55" s="20" t="str">
        <f>IF($A55="","",IF(OR($B55="",$C55="",$F55="",$G55=""),"Preencher tudo",IF(IFERROR(INDEX(CatTipo,MATCH($C55,CatNome,0)),"")&lt;&gt;$B55,"Categoria x Tipo?","OK")))</f>
        <v>OK</v>
      </c>
    </row>
    <row r="56" spans="1:11">
      <c r="A56" s="18">
        <v>46102</v>
      </c>
      <c r="B56" s="19" t="s">
        <v>52</v>
      </c>
      <c r="C56" s="15" t="s">
        <v>51</v>
      </c>
      <c r="D56" s="15" t="s">
        <v>110</v>
      </c>
      <c r="E56" s="15" t="s">
        <v>80</v>
      </c>
      <c r="F56" s="17">
        <v>12105.81</v>
      </c>
      <c r="G56" s="19" t="s">
        <v>95</v>
      </c>
      <c r="H56" s="20">
        <f>IF($A56="","",YEAR($A56))</f>
        <v>2026</v>
      </c>
      <c r="I56" s="20">
        <f>IF($A56="","",MONTH($A56))</f>
        <v>3</v>
      </c>
      <c r="J56" s="21">
        <f>IF(OR($A56="",$F56=""),"",IF($B56="Entrada",$F56,-$F56))</f>
        <v>12105.81</v>
      </c>
      <c r="K56" s="20" t="str">
        <f>IF($A56="","",IF(OR($B56="",$C56="",$F56="",$G56=""),"Preencher tudo",IF(IFERROR(INDEX(CatTipo,MATCH($C56,CatNome,0)),"")&lt;&gt;$B56,"Categoria x Tipo?","OK")))</f>
        <v>OK</v>
      </c>
    </row>
    <row r="57" spans="1:11">
      <c r="A57" s="18">
        <v>46106</v>
      </c>
      <c r="B57" s="19" t="s">
        <v>60</v>
      </c>
      <c r="C57" s="15" t="s">
        <v>63</v>
      </c>
      <c r="D57" s="15" t="s">
        <v>111</v>
      </c>
      <c r="E57" s="15" t="s">
        <v>82</v>
      </c>
      <c r="F57" s="17">
        <v>1082.3</v>
      </c>
      <c r="G57" s="19" t="s">
        <v>95</v>
      </c>
      <c r="H57" s="20">
        <f>IF($A57="","",YEAR($A57))</f>
        <v>2026</v>
      </c>
      <c r="I57" s="20">
        <f>IF($A57="","",MONTH($A57))</f>
        <v>3</v>
      </c>
      <c r="J57" s="21">
        <f>IF(OR($A57="",$F57=""),"",IF($B57="Entrada",$F57,-$F57))</f>
        <v>-1082.3</v>
      </c>
      <c r="K57" s="20" t="str">
        <f>IF($A57="","",IF(OR($B57="",$C57="",$F57="",$G57=""),"Preencher tudo",IF(IFERROR(INDEX(CatTipo,MATCH($C57,CatNome,0)),"")&lt;&gt;$B57,"Categoria x Tipo?","OK")))</f>
        <v>OK</v>
      </c>
    </row>
    <row r="58" spans="1:11">
      <c r="A58" s="18">
        <v>46109</v>
      </c>
      <c r="B58" s="19" t="s">
        <v>52</v>
      </c>
      <c r="C58" s="15" t="s">
        <v>51</v>
      </c>
      <c r="D58" s="15" t="s">
        <v>112</v>
      </c>
      <c r="E58" s="15" t="s">
        <v>81</v>
      </c>
      <c r="F58" s="17">
        <v>11543.2</v>
      </c>
      <c r="G58" s="19" t="s">
        <v>95</v>
      </c>
      <c r="H58" s="20">
        <f>IF($A58="","",YEAR($A58))</f>
        <v>2026</v>
      </c>
      <c r="I58" s="20">
        <f>IF($A58="","",MONTH($A58))</f>
        <v>3</v>
      </c>
      <c r="J58" s="21">
        <f>IF(OR($A58="",$F58=""),"",IF($B58="Entrada",$F58,-$F58))</f>
        <v>11543.2</v>
      </c>
      <c r="K58" s="20" t="str">
        <f>IF($A58="","",IF(OR($B58="",$C58="",$F58="",$G58=""),"Preencher tudo",IF(IFERROR(INDEX(CatTipo,MATCH($C58,CatNome,0)),"")&lt;&gt;$B58,"Categoria x Tipo?","OK")))</f>
        <v>OK</v>
      </c>
    </row>
    <row r="59" spans="1:11">
      <c r="A59" s="18">
        <v>46117</v>
      </c>
      <c r="B59" s="19" t="s">
        <v>60</v>
      </c>
      <c r="C59" s="15" t="s">
        <v>59</v>
      </c>
      <c r="D59" s="15" t="s">
        <v>96</v>
      </c>
      <c r="E59" s="15" t="s">
        <v>81</v>
      </c>
      <c r="F59" s="17">
        <v>10032.82</v>
      </c>
      <c r="G59" s="19" t="s">
        <v>95</v>
      </c>
      <c r="H59" s="20">
        <f>IF($A59="","",YEAR($A59))</f>
        <v>2026</v>
      </c>
      <c r="I59" s="20">
        <f>IF($A59="","",MONTH($A59))</f>
        <v>4</v>
      </c>
      <c r="J59" s="21">
        <f>IF(OR($A59="",$F59=""),"",IF($B59="Entrada",$F59,-$F59))</f>
        <v>-10032.82</v>
      </c>
      <c r="K59" s="20" t="str">
        <f>IF($A59="","",IF(OR($B59="",$C59="",$F59="",$G59=""),"Preencher tudo",IF(IFERROR(INDEX(CatTipo,MATCH($C59,CatNome,0)),"")&lt;&gt;$B59,"Categoria x Tipo?","OK")))</f>
        <v>OK</v>
      </c>
    </row>
    <row r="60" spans="1:11">
      <c r="A60" s="18">
        <v>46117</v>
      </c>
      <c r="B60" s="19" t="s">
        <v>60</v>
      </c>
      <c r="C60" s="15" t="s">
        <v>66</v>
      </c>
      <c r="D60" s="15" t="s">
        <v>97</v>
      </c>
      <c r="E60" s="15" t="s">
        <v>81</v>
      </c>
      <c r="F60" s="17">
        <v>11800</v>
      </c>
      <c r="G60" s="19" t="s">
        <v>95</v>
      </c>
      <c r="H60" s="20">
        <f>IF($A60="","",YEAR($A60))</f>
        <v>2026</v>
      </c>
      <c r="I60" s="20">
        <f>IF($A60="","",MONTH($A60))</f>
        <v>4</v>
      </c>
      <c r="J60" s="21">
        <f>IF(OR($A60="",$F60=""),"",IF($B60="Entrada",$F60,-$F60))</f>
        <v>-11800</v>
      </c>
      <c r="K60" s="20" t="str">
        <f>IF($A60="","",IF(OR($B60="",$C60="",$F60="",$G60=""),"Preencher tudo",IF(IFERROR(INDEX(CatTipo,MATCH($C60,CatNome,0)),"")&lt;&gt;$B60,"Categoria x Tipo?","OK")))</f>
        <v>OK</v>
      </c>
    </row>
    <row r="61" spans="1:11">
      <c r="A61" s="18">
        <v>46118</v>
      </c>
      <c r="B61" s="19" t="s">
        <v>60</v>
      </c>
      <c r="C61" s="15" t="s">
        <v>72</v>
      </c>
      <c r="D61" s="15" t="s">
        <v>98</v>
      </c>
      <c r="E61" s="15" t="s">
        <v>81</v>
      </c>
      <c r="F61" s="17">
        <v>6000</v>
      </c>
      <c r="G61" s="19" t="s">
        <v>95</v>
      </c>
      <c r="H61" s="20">
        <f>IF($A61="","",YEAR($A61))</f>
        <v>2026</v>
      </c>
      <c r="I61" s="20">
        <f>IF($A61="","",MONTH($A61))</f>
        <v>4</v>
      </c>
      <c r="J61" s="21">
        <f>IF(OR($A61="",$F61=""),"",IF($B61="Entrada",$F61,-$F61))</f>
        <v>-6000</v>
      </c>
      <c r="K61" s="20" t="str">
        <f>IF($A61="","",IF(OR($B61="",$C61="",$F61="",$G61=""),"Preencher tudo",IF(IFERROR(INDEX(CatTipo,MATCH($C61,CatNome,0)),"")&lt;&gt;$B61,"Categoria x Tipo?","OK")))</f>
        <v>OK</v>
      </c>
    </row>
    <row r="62" spans="1:11">
      <c r="A62" s="18">
        <v>46119</v>
      </c>
      <c r="B62" s="19" t="s">
        <v>52</v>
      </c>
      <c r="C62" s="15" t="s">
        <v>51</v>
      </c>
      <c r="D62" s="15" t="s">
        <v>99</v>
      </c>
      <c r="E62" s="15" t="s">
        <v>80</v>
      </c>
      <c r="F62" s="17">
        <v>11146.06</v>
      </c>
      <c r="G62" s="19" t="s">
        <v>95</v>
      </c>
      <c r="H62" s="20">
        <f>IF($A62="","",YEAR($A62))</f>
        <v>2026</v>
      </c>
      <c r="I62" s="20">
        <f>IF($A62="","",MONTH($A62))</f>
        <v>4</v>
      </c>
      <c r="J62" s="21">
        <f>IF(OR($A62="",$F62=""),"",IF($B62="Entrada",$F62,-$F62))</f>
        <v>11146.06</v>
      </c>
      <c r="K62" s="20" t="str">
        <f>IF($A62="","",IF(OR($B62="",$C62="",$F62="",$G62=""),"Preencher tudo",IF(IFERROR(INDEX(CatTipo,MATCH($C62,CatNome,0)),"")&lt;&gt;$B62,"Categoria x Tipo?","OK")))</f>
        <v>OK</v>
      </c>
    </row>
    <row r="63" spans="1:11">
      <c r="A63" s="18">
        <v>46120</v>
      </c>
      <c r="B63" s="19" t="s">
        <v>60</v>
      </c>
      <c r="C63" s="15" t="s">
        <v>70</v>
      </c>
      <c r="D63" s="15" t="s">
        <v>100</v>
      </c>
      <c r="E63" s="15" t="s">
        <v>81</v>
      </c>
      <c r="F63" s="17">
        <v>1904.66</v>
      </c>
      <c r="G63" s="19" t="s">
        <v>95</v>
      </c>
      <c r="H63" s="20">
        <f>IF($A63="","",YEAR($A63))</f>
        <v>2026</v>
      </c>
      <c r="I63" s="20">
        <f>IF($A63="","",MONTH($A63))</f>
        <v>4</v>
      </c>
      <c r="J63" s="21">
        <f>IF(OR($A63="",$F63=""),"",IF($B63="Entrada",$F63,-$F63))</f>
        <v>-1904.66</v>
      </c>
      <c r="K63" s="20" t="str">
        <f>IF($A63="","",IF(OR($B63="",$C63="",$F63="",$G63=""),"Preencher tudo",IF(IFERROR(INDEX(CatTipo,MATCH($C63,CatNome,0)),"")&lt;&gt;$B63,"Categoria x Tipo?","OK")))</f>
        <v>OK</v>
      </c>
    </row>
    <row r="64" spans="1:11">
      <c r="A64" s="18">
        <v>46122</v>
      </c>
      <c r="B64" s="19" t="s">
        <v>60</v>
      </c>
      <c r="C64" s="15" t="s">
        <v>68</v>
      </c>
      <c r="D64" s="15" t="s">
        <v>101</v>
      </c>
      <c r="E64" s="15" t="s">
        <v>81</v>
      </c>
      <c r="F64" s="17">
        <v>4200</v>
      </c>
      <c r="G64" s="19" t="s">
        <v>95</v>
      </c>
      <c r="H64" s="20">
        <f>IF($A64="","",YEAR($A64))</f>
        <v>2026</v>
      </c>
      <c r="I64" s="20">
        <f>IF($A64="","",MONTH($A64))</f>
        <v>4</v>
      </c>
      <c r="J64" s="21">
        <f>IF(OR($A64="",$F64=""),"",IF($B64="Entrada",$F64,-$F64))</f>
        <v>-4200</v>
      </c>
      <c r="K64" s="20" t="str">
        <f>IF($A64="","",IF(OR($B64="",$C64="",$F64="",$G64=""),"Preencher tudo",IF(IFERROR(INDEX(CatTipo,MATCH($C64,CatNome,0)),"")&lt;&gt;$B64,"Categoria x Tipo?","OK")))</f>
        <v>OK</v>
      </c>
    </row>
    <row r="65" spans="1:11">
      <c r="A65" s="18">
        <v>46122</v>
      </c>
      <c r="B65" s="19" t="s">
        <v>60</v>
      </c>
      <c r="C65" s="15" t="s">
        <v>74</v>
      </c>
      <c r="D65" s="15" t="s">
        <v>102</v>
      </c>
      <c r="E65" s="15" t="s">
        <v>81</v>
      </c>
      <c r="F65" s="17">
        <v>2100</v>
      </c>
      <c r="G65" s="19" t="s">
        <v>95</v>
      </c>
      <c r="H65" s="20">
        <f>IF($A65="","",YEAR($A65))</f>
        <v>2026</v>
      </c>
      <c r="I65" s="20">
        <f>IF($A65="","",MONTH($A65))</f>
        <v>4</v>
      </c>
      <c r="J65" s="21">
        <f>IF(OR($A65="",$F65=""),"",IF($B65="Entrada",$F65,-$F65))</f>
        <v>-2100</v>
      </c>
      <c r="K65" s="20" t="str">
        <f>IF($A65="","",IF(OR($B65="",$C65="",$F65="",$G65=""),"Preencher tudo",IF(IFERROR(INDEX(CatTipo,MATCH($C65,CatNome,0)),"")&lt;&gt;$B65,"Categoria x Tipo?","OK")))</f>
        <v>OK</v>
      </c>
    </row>
    <row r="66" spans="1:11">
      <c r="A66" s="18">
        <v>46124</v>
      </c>
      <c r="B66" s="19" t="s">
        <v>60</v>
      </c>
      <c r="C66" s="15" t="s">
        <v>64</v>
      </c>
      <c r="D66" s="15" t="s">
        <v>103</v>
      </c>
      <c r="E66" s="15" t="s">
        <v>81</v>
      </c>
      <c r="F66" s="17">
        <v>774.49</v>
      </c>
      <c r="G66" s="19" t="s">
        <v>95</v>
      </c>
      <c r="H66" s="20">
        <f>IF($A66="","",YEAR($A66))</f>
        <v>2026</v>
      </c>
      <c r="I66" s="20">
        <f>IF($A66="","",MONTH($A66))</f>
        <v>4</v>
      </c>
      <c r="J66" s="21">
        <f>IF(OR($A66="",$F66=""),"",IF($B66="Entrada",$F66,-$F66))</f>
        <v>-774.49</v>
      </c>
      <c r="K66" s="20" t="str">
        <f>IF($A66="","",IF(OR($B66="",$C66="",$F66="",$G66=""),"Preencher tudo",IF(IFERROR(INDEX(CatTipo,MATCH($C66,CatNome,0)),"")&lt;&gt;$B66,"Categoria x Tipo?","OK")))</f>
        <v>OK</v>
      </c>
    </row>
    <row r="67" spans="1:11">
      <c r="A67" s="18">
        <v>46126</v>
      </c>
      <c r="B67" s="19" t="s">
        <v>52</v>
      </c>
      <c r="C67" s="15" t="s">
        <v>51</v>
      </c>
      <c r="D67" s="15" t="s">
        <v>104</v>
      </c>
      <c r="E67" s="15" t="s">
        <v>81</v>
      </c>
      <c r="F67" s="17">
        <v>12484.32</v>
      </c>
      <c r="G67" s="19" t="s">
        <v>95</v>
      </c>
      <c r="H67" s="20">
        <f>IF($A67="","",YEAR($A67))</f>
        <v>2026</v>
      </c>
      <c r="I67" s="20">
        <f>IF($A67="","",MONTH($A67))</f>
        <v>4</v>
      </c>
      <c r="J67" s="21">
        <f>IF(OR($A67="",$F67=""),"",IF($B67="Entrada",$F67,-$F67))</f>
        <v>12484.32</v>
      </c>
      <c r="K67" s="20" t="str">
        <f>IF($A67="","",IF(OR($B67="",$C67="",$F67="",$G67=""),"Preencher tudo",IF(IFERROR(INDEX(CatTipo,MATCH($C67,CatNome,0)),"")&lt;&gt;$B67,"Categoria x Tipo?","OK")))</f>
        <v>OK</v>
      </c>
    </row>
    <row r="68" spans="1:11">
      <c r="A68" s="18">
        <v>46126</v>
      </c>
      <c r="B68" s="19" t="s">
        <v>60</v>
      </c>
      <c r="C68" s="15" t="s">
        <v>76</v>
      </c>
      <c r="D68" s="15" t="s">
        <v>115</v>
      </c>
      <c r="E68" s="15" t="s">
        <v>81</v>
      </c>
      <c r="F68" s="17">
        <v>5600</v>
      </c>
      <c r="G68" s="19" t="s">
        <v>95</v>
      </c>
      <c r="H68" s="20">
        <f>IF($A68="","",YEAR($A68))</f>
        <v>2026</v>
      </c>
      <c r="I68" s="20">
        <f>IF($A68="","",MONTH($A68))</f>
        <v>4</v>
      </c>
      <c r="J68" s="21">
        <f>IF(OR($A68="",$F68=""),"",IF($B68="Entrada",$F68,-$F68))</f>
        <v>-5600</v>
      </c>
      <c r="K68" s="20" t="str">
        <f>IF($A68="","",IF(OR($B68="",$C68="",$F68="",$G68=""),"Preencher tudo",IF(IFERROR(INDEX(CatTipo,MATCH($C68,CatNome,0)),"")&lt;&gt;$B68,"Categoria x Tipo?","OK")))</f>
        <v>OK</v>
      </c>
    </row>
    <row r="69" spans="1:11">
      <c r="A69" s="18">
        <v>46127</v>
      </c>
      <c r="B69" s="19" t="s">
        <v>52</v>
      </c>
      <c r="C69" s="15" t="s">
        <v>54</v>
      </c>
      <c r="D69" s="15" t="s">
        <v>105</v>
      </c>
      <c r="E69" s="15" t="s">
        <v>81</v>
      </c>
      <c r="F69" s="17">
        <v>9365.440000000001</v>
      </c>
      <c r="G69" s="19" t="s">
        <v>95</v>
      </c>
      <c r="H69" s="20">
        <f>IF($A69="","",YEAR($A69))</f>
        <v>2026</v>
      </c>
      <c r="I69" s="20">
        <f>IF($A69="","",MONTH($A69))</f>
        <v>4</v>
      </c>
      <c r="J69" s="21">
        <f>IF(OR($A69="",$F69=""),"",IF($B69="Entrada",$F69,-$F69))</f>
        <v>9365.44</v>
      </c>
      <c r="K69" s="20" t="str">
        <f>IF($A69="","",IF(OR($B69="",$C69="",$F69="",$G69=""),"Preencher tudo",IF(IFERROR(INDEX(CatTipo,MATCH($C69,CatNome,0)),"")&lt;&gt;$B69,"Categoria x Tipo?","OK")))</f>
        <v>OK</v>
      </c>
    </row>
    <row r="70" spans="1:11">
      <c r="A70" s="18">
        <v>46127</v>
      </c>
      <c r="B70" s="19" t="s">
        <v>60</v>
      </c>
      <c r="C70" s="15" t="s">
        <v>69</v>
      </c>
      <c r="D70" s="15" t="s">
        <v>106</v>
      </c>
      <c r="E70" s="15" t="s">
        <v>81</v>
      </c>
      <c r="F70" s="17">
        <v>1119.56</v>
      </c>
      <c r="G70" s="19" t="s">
        <v>95</v>
      </c>
      <c r="H70" s="20">
        <f>IF($A70="","",YEAR($A70))</f>
        <v>2026</v>
      </c>
      <c r="I70" s="20">
        <f>IF($A70="","",MONTH($A70))</f>
        <v>4</v>
      </c>
      <c r="J70" s="21">
        <f>IF(OR($A70="",$F70=""),"",IF($B70="Entrada",$F70,-$F70))</f>
        <v>-1119.56</v>
      </c>
      <c r="K70" s="20" t="str">
        <f>IF($A70="","",IF(OR($B70="",$C70="",$F70="",$G70=""),"Preencher tudo",IF(IFERROR(INDEX(CatTipo,MATCH($C70,CatNome,0)),"")&lt;&gt;$B70,"Categoria x Tipo?","OK")))</f>
        <v>OK</v>
      </c>
    </row>
    <row r="71" spans="1:11">
      <c r="A71" s="18">
        <v>46131</v>
      </c>
      <c r="B71" s="19" t="s">
        <v>60</v>
      </c>
      <c r="C71" s="15" t="s">
        <v>59</v>
      </c>
      <c r="D71" s="15" t="s">
        <v>107</v>
      </c>
      <c r="E71" s="15" t="s">
        <v>81</v>
      </c>
      <c r="F71" s="17">
        <v>4942.31</v>
      </c>
      <c r="G71" s="19" t="s">
        <v>95</v>
      </c>
      <c r="H71" s="20">
        <f>IF($A71="","",YEAR($A71))</f>
        <v>2026</v>
      </c>
      <c r="I71" s="20">
        <f>IF($A71="","",MONTH($A71))</f>
        <v>4</v>
      </c>
      <c r="J71" s="21">
        <f>IF(OR($A71="",$F71=""),"",IF($B71="Entrada",$F71,-$F71))</f>
        <v>-4942.31</v>
      </c>
      <c r="K71" s="20" t="str">
        <f>IF($A71="","",IF(OR($B71="",$C71="",$F71="",$G71=""),"Preencher tudo",IF(IFERROR(INDEX(CatTipo,MATCH($C71,CatNome,0)),"")&lt;&gt;$B71,"Categoria x Tipo?","OK")))</f>
        <v>OK</v>
      </c>
    </row>
    <row r="72" spans="1:11">
      <c r="A72" s="18">
        <v>46132</v>
      </c>
      <c r="B72" s="19" t="s">
        <v>60</v>
      </c>
      <c r="C72" s="15" t="s">
        <v>62</v>
      </c>
      <c r="D72" s="15" t="s">
        <v>108</v>
      </c>
      <c r="E72" s="15" t="s">
        <v>81</v>
      </c>
      <c r="F72" s="17">
        <v>2273.89</v>
      </c>
      <c r="G72" s="19" t="s">
        <v>95</v>
      </c>
      <c r="H72" s="20">
        <f>IF($A72="","",YEAR($A72))</f>
        <v>2026</v>
      </c>
      <c r="I72" s="20">
        <f>IF($A72="","",MONTH($A72))</f>
        <v>4</v>
      </c>
      <c r="J72" s="21">
        <f>IF(OR($A72="",$F72=""),"",IF($B72="Entrada",$F72,-$F72))</f>
        <v>-2273.89</v>
      </c>
      <c r="K72" s="20" t="str">
        <f>IF($A72="","",IF(OR($B72="",$C72="",$F72="",$G72=""),"Preencher tudo",IF(IFERROR(INDEX(CatTipo,MATCH($C72,CatNome,0)),"")&lt;&gt;$B72,"Categoria x Tipo?","OK")))</f>
        <v>OK</v>
      </c>
    </row>
    <row r="73" spans="1:11">
      <c r="A73" s="18">
        <v>46132</v>
      </c>
      <c r="B73" s="19" t="s">
        <v>60</v>
      </c>
      <c r="C73" s="15" t="s">
        <v>71</v>
      </c>
      <c r="D73" s="15" t="s">
        <v>109</v>
      </c>
      <c r="E73" s="15" t="s">
        <v>81</v>
      </c>
      <c r="F73" s="17">
        <v>1350</v>
      </c>
      <c r="G73" s="19" t="s">
        <v>95</v>
      </c>
      <c r="H73" s="20">
        <f>IF($A73="","",YEAR($A73))</f>
        <v>2026</v>
      </c>
      <c r="I73" s="20">
        <f>IF($A73="","",MONTH($A73))</f>
        <v>4</v>
      </c>
      <c r="J73" s="21">
        <f>IF(OR($A73="",$F73=""),"",IF($B73="Entrada",$F73,-$F73))</f>
        <v>-1350</v>
      </c>
      <c r="K73" s="20" t="str">
        <f>IF($A73="","",IF(OR($B73="",$C73="",$F73="",$G73=""),"Preencher tudo",IF(IFERROR(INDEX(CatTipo,MATCH($C73,CatNome,0)),"")&lt;&gt;$B73,"Categoria x Tipo?","OK")))</f>
        <v>OK</v>
      </c>
    </row>
    <row r="74" spans="1:11">
      <c r="A74" s="18">
        <v>46133</v>
      </c>
      <c r="B74" s="19" t="s">
        <v>52</v>
      </c>
      <c r="C74" s="15" t="s">
        <v>51</v>
      </c>
      <c r="D74" s="15" t="s">
        <v>110</v>
      </c>
      <c r="E74" s="15" t="s">
        <v>81</v>
      </c>
      <c r="F74" s="17">
        <v>12634.15</v>
      </c>
      <c r="G74" s="19" t="s">
        <v>95</v>
      </c>
      <c r="H74" s="20">
        <f>IF($A74="","",YEAR($A74))</f>
        <v>2026</v>
      </c>
      <c r="I74" s="20">
        <f>IF($A74="","",MONTH($A74))</f>
        <v>4</v>
      </c>
      <c r="J74" s="21">
        <f>IF(OR($A74="",$F74=""),"",IF($B74="Entrada",$F74,-$F74))</f>
        <v>12634.15</v>
      </c>
      <c r="K74" s="20" t="str">
        <f>IF($A74="","",IF(OR($B74="",$C74="",$F74="",$G74=""),"Preencher tudo",IF(IFERROR(INDEX(CatTipo,MATCH($C74,CatNome,0)),"")&lt;&gt;$B74,"Categoria x Tipo?","OK")))</f>
        <v>OK</v>
      </c>
    </row>
    <row r="75" spans="1:11">
      <c r="A75" s="18">
        <v>46137</v>
      </c>
      <c r="B75" s="19" t="s">
        <v>60</v>
      </c>
      <c r="C75" s="15" t="s">
        <v>63</v>
      </c>
      <c r="D75" s="15" t="s">
        <v>111</v>
      </c>
      <c r="E75" s="15" t="s">
        <v>82</v>
      </c>
      <c r="F75" s="17">
        <v>1014.02</v>
      </c>
      <c r="G75" s="19" t="s">
        <v>95</v>
      </c>
      <c r="H75" s="20">
        <f>IF($A75="","",YEAR($A75))</f>
        <v>2026</v>
      </c>
      <c r="I75" s="20">
        <f>IF($A75="","",MONTH($A75))</f>
        <v>4</v>
      </c>
      <c r="J75" s="21">
        <f>IF(OR($A75="",$F75=""),"",IF($B75="Entrada",$F75,-$F75))</f>
        <v>-1014.02</v>
      </c>
      <c r="K75" s="20" t="str">
        <f>IF($A75="","",IF(OR($B75="",$C75="",$F75="",$G75=""),"Preencher tudo",IF(IFERROR(INDEX(CatTipo,MATCH($C75,CatNome,0)),"")&lt;&gt;$B75,"Categoria x Tipo?","OK")))</f>
        <v>OK</v>
      </c>
    </row>
    <row r="76" spans="1:11">
      <c r="A76" s="18">
        <v>46140</v>
      </c>
      <c r="B76" s="19" t="s">
        <v>52</v>
      </c>
      <c r="C76" s="15" t="s">
        <v>51</v>
      </c>
      <c r="D76" s="15" t="s">
        <v>112</v>
      </c>
      <c r="E76" s="15" t="s">
        <v>80</v>
      </c>
      <c r="F76" s="17">
        <v>12372.08</v>
      </c>
      <c r="G76" s="19" t="s">
        <v>95</v>
      </c>
      <c r="H76" s="20">
        <f>IF($A76="","",YEAR($A76))</f>
        <v>2026</v>
      </c>
      <c r="I76" s="20">
        <f>IF($A76="","",MONTH($A76))</f>
        <v>4</v>
      </c>
      <c r="J76" s="21">
        <f>IF(OR($A76="",$F76=""),"",IF($B76="Entrada",$F76,-$F76))</f>
        <v>12372.08</v>
      </c>
      <c r="K76" s="20" t="str">
        <f>IF($A76="","",IF(OR($B76="",$C76="",$F76="",$G76=""),"Preencher tudo",IF(IFERROR(INDEX(CatTipo,MATCH($C76,CatNome,0)),"")&lt;&gt;$B76,"Categoria x Tipo?","OK")))</f>
        <v>OK</v>
      </c>
    </row>
    <row r="77" spans="1:11">
      <c r="A77" s="18">
        <v>46147</v>
      </c>
      <c r="B77" s="19" t="s">
        <v>60</v>
      </c>
      <c r="C77" s="15" t="s">
        <v>59</v>
      </c>
      <c r="D77" s="15" t="s">
        <v>96</v>
      </c>
      <c r="E77" s="15" t="s">
        <v>81</v>
      </c>
      <c r="F77" s="17">
        <v>10678.91</v>
      </c>
      <c r="G77" s="19" t="s">
        <v>95</v>
      </c>
      <c r="H77" s="20">
        <f>IF($A77="","",YEAR($A77))</f>
        <v>2026</v>
      </c>
      <c r="I77" s="20">
        <f>IF($A77="","",MONTH($A77))</f>
        <v>5</v>
      </c>
      <c r="J77" s="21">
        <f>IF(OR($A77="",$F77=""),"",IF($B77="Entrada",$F77,-$F77))</f>
        <v>-10678.91</v>
      </c>
      <c r="K77" s="20" t="str">
        <f>IF($A77="","",IF(OR($B77="",$C77="",$F77="",$G77=""),"Preencher tudo",IF(IFERROR(INDEX(CatTipo,MATCH($C77,CatNome,0)),"")&lt;&gt;$B77,"Categoria x Tipo?","OK")))</f>
        <v>OK</v>
      </c>
    </row>
    <row r="78" spans="1:11">
      <c r="A78" s="18">
        <v>46147</v>
      </c>
      <c r="B78" s="19" t="s">
        <v>60</v>
      </c>
      <c r="C78" s="15" t="s">
        <v>66</v>
      </c>
      <c r="D78" s="15" t="s">
        <v>97</v>
      </c>
      <c r="E78" s="15" t="s">
        <v>81</v>
      </c>
      <c r="F78" s="17">
        <v>11800</v>
      </c>
      <c r="G78" s="19" t="s">
        <v>95</v>
      </c>
      <c r="H78" s="20">
        <f>IF($A78="","",YEAR($A78))</f>
        <v>2026</v>
      </c>
      <c r="I78" s="20">
        <f>IF($A78="","",MONTH($A78))</f>
        <v>5</v>
      </c>
      <c r="J78" s="21">
        <f>IF(OR($A78="",$F78=""),"",IF($B78="Entrada",$F78,-$F78))</f>
        <v>-11800</v>
      </c>
      <c r="K78" s="20" t="str">
        <f>IF($A78="","",IF(OR($B78="",$C78="",$F78="",$G78=""),"Preencher tudo",IF(IFERROR(INDEX(CatTipo,MATCH($C78,CatNome,0)),"")&lt;&gt;$B78,"Categoria x Tipo?","OK")))</f>
        <v>OK</v>
      </c>
    </row>
    <row r="79" spans="1:11">
      <c r="A79" s="18">
        <v>46148</v>
      </c>
      <c r="B79" s="19" t="s">
        <v>60</v>
      </c>
      <c r="C79" s="15" t="s">
        <v>72</v>
      </c>
      <c r="D79" s="15" t="s">
        <v>98</v>
      </c>
      <c r="E79" s="15" t="s">
        <v>81</v>
      </c>
      <c r="F79" s="17">
        <v>6000</v>
      </c>
      <c r="G79" s="19" t="s">
        <v>95</v>
      </c>
      <c r="H79" s="20">
        <f>IF($A79="","",YEAR($A79))</f>
        <v>2026</v>
      </c>
      <c r="I79" s="20">
        <f>IF($A79="","",MONTH($A79))</f>
        <v>5</v>
      </c>
      <c r="J79" s="21">
        <f>IF(OR($A79="",$F79=""),"",IF($B79="Entrada",$F79,-$F79))</f>
        <v>-6000</v>
      </c>
      <c r="K79" s="20" t="str">
        <f>IF($A79="","",IF(OR($B79="",$C79="",$F79="",$G79=""),"Preencher tudo",IF(IFERROR(INDEX(CatTipo,MATCH($C79,CatNome,0)),"")&lt;&gt;$B79,"Categoria x Tipo?","OK")))</f>
        <v>OK</v>
      </c>
    </row>
    <row r="80" spans="1:11">
      <c r="A80" s="18">
        <v>46149</v>
      </c>
      <c r="B80" s="19" t="s">
        <v>52</v>
      </c>
      <c r="C80" s="15" t="s">
        <v>51</v>
      </c>
      <c r="D80" s="15" t="s">
        <v>99</v>
      </c>
      <c r="E80" s="15" t="s">
        <v>82</v>
      </c>
      <c r="F80" s="17">
        <v>13420.31</v>
      </c>
      <c r="G80" s="19" t="s">
        <v>95</v>
      </c>
      <c r="H80" s="20">
        <f>IF($A80="","",YEAR($A80))</f>
        <v>2026</v>
      </c>
      <c r="I80" s="20">
        <f>IF($A80="","",MONTH($A80))</f>
        <v>5</v>
      </c>
      <c r="J80" s="21">
        <f>IF(OR($A80="",$F80=""),"",IF($B80="Entrada",$F80,-$F80))</f>
        <v>13420.31</v>
      </c>
      <c r="K80" s="20" t="str">
        <f>IF($A80="","",IF(OR($B80="",$C80="",$F80="",$G80=""),"Preencher tudo",IF(IFERROR(INDEX(CatTipo,MATCH($C80,CatNome,0)),"")&lt;&gt;$B80,"Categoria x Tipo?","OK")))</f>
        <v>OK</v>
      </c>
    </row>
    <row r="81" spans="1:11">
      <c r="A81" s="18">
        <v>46150</v>
      </c>
      <c r="B81" s="19" t="s">
        <v>60</v>
      </c>
      <c r="C81" s="15" t="s">
        <v>70</v>
      </c>
      <c r="D81" s="15" t="s">
        <v>100</v>
      </c>
      <c r="E81" s="15" t="s">
        <v>81</v>
      </c>
      <c r="F81" s="17">
        <v>1869.75</v>
      </c>
      <c r="G81" s="19" t="s">
        <v>95</v>
      </c>
      <c r="H81" s="20">
        <f>IF($A81="","",YEAR($A81))</f>
        <v>2026</v>
      </c>
      <c r="I81" s="20">
        <f>IF($A81="","",MONTH($A81))</f>
        <v>5</v>
      </c>
      <c r="J81" s="21">
        <f>IF(OR($A81="",$F81=""),"",IF($B81="Entrada",$F81,-$F81))</f>
        <v>-1869.75</v>
      </c>
      <c r="K81" s="20" t="str">
        <f>IF($A81="","",IF(OR($B81="",$C81="",$F81="",$G81=""),"Preencher tudo",IF(IFERROR(INDEX(CatTipo,MATCH($C81,CatNome,0)),"")&lt;&gt;$B81,"Categoria x Tipo?","OK")))</f>
        <v>OK</v>
      </c>
    </row>
    <row r="82" spans="1:11">
      <c r="A82" s="18">
        <v>46152</v>
      </c>
      <c r="B82" s="19" t="s">
        <v>60</v>
      </c>
      <c r="C82" s="15" t="s">
        <v>68</v>
      </c>
      <c r="D82" s="15" t="s">
        <v>101</v>
      </c>
      <c r="E82" s="15" t="s">
        <v>81</v>
      </c>
      <c r="F82" s="17">
        <v>4200</v>
      </c>
      <c r="G82" s="19" t="s">
        <v>95</v>
      </c>
      <c r="H82" s="20">
        <f>IF($A82="","",YEAR($A82))</f>
        <v>2026</v>
      </c>
      <c r="I82" s="20">
        <f>IF($A82="","",MONTH($A82))</f>
        <v>5</v>
      </c>
      <c r="J82" s="21">
        <f>IF(OR($A82="",$F82=""),"",IF($B82="Entrada",$F82,-$F82))</f>
        <v>-4200</v>
      </c>
      <c r="K82" s="20" t="str">
        <f>IF($A82="","",IF(OR($B82="",$C82="",$F82="",$G82=""),"Preencher tudo",IF(IFERROR(INDEX(CatTipo,MATCH($C82,CatNome,0)),"")&lt;&gt;$B82,"Categoria x Tipo?","OK")))</f>
        <v>OK</v>
      </c>
    </row>
    <row r="83" spans="1:11">
      <c r="A83" s="18">
        <v>46152</v>
      </c>
      <c r="B83" s="19" t="s">
        <v>60</v>
      </c>
      <c r="C83" s="15" t="s">
        <v>74</v>
      </c>
      <c r="D83" s="15" t="s">
        <v>102</v>
      </c>
      <c r="E83" s="15" t="s">
        <v>81</v>
      </c>
      <c r="F83" s="17">
        <v>2100</v>
      </c>
      <c r="G83" s="19" t="s">
        <v>95</v>
      </c>
      <c r="H83" s="20">
        <f>IF($A83="","",YEAR($A83))</f>
        <v>2026</v>
      </c>
      <c r="I83" s="20">
        <f>IF($A83="","",MONTH($A83))</f>
        <v>5</v>
      </c>
      <c r="J83" s="21">
        <f>IF(OR($A83="",$F83=""),"",IF($B83="Entrada",$F83,-$F83))</f>
        <v>-2100</v>
      </c>
      <c r="K83" s="20" t="str">
        <f>IF($A83="","",IF(OR($B83="",$C83="",$F83="",$G83=""),"Preencher tudo",IF(IFERROR(INDEX(CatTipo,MATCH($C83,CatNome,0)),"")&lt;&gt;$B83,"Categoria x Tipo?","OK")))</f>
        <v>OK</v>
      </c>
    </row>
    <row r="84" spans="1:11">
      <c r="A84" s="18">
        <v>46154</v>
      </c>
      <c r="B84" s="19" t="s">
        <v>60</v>
      </c>
      <c r="C84" s="15" t="s">
        <v>64</v>
      </c>
      <c r="D84" s="15" t="s">
        <v>103</v>
      </c>
      <c r="E84" s="15" t="s">
        <v>81</v>
      </c>
      <c r="F84" s="17">
        <v>1136.04</v>
      </c>
      <c r="G84" s="19" t="s">
        <v>95</v>
      </c>
      <c r="H84" s="20">
        <f>IF($A84="","",YEAR($A84))</f>
        <v>2026</v>
      </c>
      <c r="I84" s="20">
        <f>IF($A84="","",MONTH($A84))</f>
        <v>5</v>
      </c>
      <c r="J84" s="21">
        <f>IF(OR($A84="",$F84=""),"",IF($B84="Entrada",$F84,-$F84))</f>
        <v>-1136.04</v>
      </c>
      <c r="K84" s="20" t="str">
        <f>IF($A84="","",IF(OR($B84="",$C84="",$F84="",$G84=""),"Preencher tudo",IF(IFERROR(INDEX(CatTipo,MATCH($C84,CatNome,0)),"")&lt;&gt;$B84,"Categoria x Tipo?","OK")))</f>
        <v>OK</v>
      </c>
    </row>
    <row r="85" spans="1:11">
      <c r="A85" s="18">
        <v>46156</v>
      </c>
      <c r="B85" s="19" t="s">
        <v>52</v>
      </c>
      <c r="C85" s="15" t="s">
        <v>51</v>
      </c>
      <c r="D85" s="15" t="s">
        <v>104</v>
      </c>
      <c r="E85" s="15" t="s">
        <v>81</v>
      </c>
      <c r="F85" s="17">
        <v>12761.74</v>
      </c>
      <c r="G85" s="19" t="s">
        <v>95</v>
      </c>
      <c r="H85" s="20">
        <f>IF($A85="","",YEAR($A85))</f>
        <v>2026</v>
      </c>
      <c r="I85" s="20">
        <f>IF($A85="","",MONTH($A85))</f>
        <v>5</v>
      </c>
      <c r="J85" s="21">
        <f>IF(OR($A85="",$F85=""),"",IF($B85="Entrada",$F85,-$F85))</f>
        <v>12761.74</v>
      </c>
      <c r="K85" s="20" t="str">
        <f>IF($A85="","",IF(OR($B85="",$C85="",$F85="",$G85=""),"Preencher tudo",IF(IFERROR(INDEX(CatTipo,MATCH($C85,CatNome,0)),"")&lt;&gt;$B85,"Categoria x Tipo?","OK")))</f>
        <v>OK</v>
      </c>
    </row>
    <row r="86" spans="1:11">
      <c r="A86" s="18">
        <v>46157</v>
      </c>
      <c r="B86" s="19" t="s">
        <v>52</v>
      </c>
      <c r="C86" s="15" t="s">
        <v>54</v>
      </c>
      <c r="D86" s="15" t="s">
        <v>105</v>
      </c>
      <c r="E86" s="15" t="s">
        <v>81</v>
      </c>
      <c r="F86" s="17">
        <v>8996.41</v>
      </c>
      <c r="G86" s="19" t="s">
        <v>95</v>
      </c>
      <c r="H86" s="20">
        <f>IF($A86="","",YEAR($A86))</f>
        <v>2026</v>
      </c>
      <c r="I86" s="20">
        <f>IF($A86="","",MONTH($A86))</f>
        <v>5</v>
      </c>
      <c r="J86" s="21">
        <f>IF(OR($A86="",$F86=""),"",IF($B86="Entrada",$F86,-$F86))</f>
        <v>8996.41</v>
      </c>
      <c r="K86" s="20" t="str">
        <f>IF($A86="","",IF(OR($B86="",$C86="",$F86="",$G86=""),"Preencher tudo",IF(IFERROR(INDEX(CatTipo,MATCH($C86,CatNome,0)),"")&lt;&gt;$B86,"Categoria x Tipo?","OK")))</f>
        <v>OK</v>
      </c>
    </row>
    <row r="87" spans="1:11">
      <c r="A87" s="18">
        <v>46157</v>
      </c>
      <c r="B87" s="19" t="s">
        <v>60</v>
      </c>
      <c r="C87" s="15" t="s">
        <v>69</v>
      </c>
      <c r="D87" s="15" t="s">
        <v>106</v>
      </c>
      <c r="E87" s="15" t="s">
        <v>81</v>
      </c>
      <c r="F87" s="17">
        <v>1323.92</v>
      </c>
      <c r="G87" s="19" t="s">
        <v>95</v>
      </c>
      <c r="H87" s="20">
        <f>IF($A87="","",YEAR($A87))</f>
        <v>2026</v>
      </c>
      <c r="I87" s="20">
        <f>IF($A87="","",MONTH($A87))</f>
        <v>5</v>
      </c>
      <c r="J87" s="21">
        <f>IF(OR($A87="",$F87=""),"",IF($B87="Entrada",$F87,-$F87))</f>
        <v>-1323.92</v>
      </c>
      <c r="K87" s="20" t="str">
        <f>IF($A87="","",IF(OR($B87="",$C87="",$F87="",$G87=""),"Preencher tudo",IF(IFERROR(INDEX(CatTipo,MATCH($C87,CatNome,0)),"")&lt;&gt;$B87,"Categoria x Tipo?","OK")))</f>
        <v>OK</v>
      </c>
    </row>
    <row r="88" spans="1:11">
      <c r="A88" s="18">
        <v>46161</v>
      </c>
      <c r="B88" s="19" t="s">
        <v>60</v>
      </c>
      <c r="C88" s="15" t="s">
        <v>59</v>
      </c>
      <c r="D88" s="15" t="s">
        <v>107</v>
      </c>
      <c r="E88" s="15" t="s">
        <v>81</v>
      </c>
      <c r="F88" s="17">
        <v>5172.9</v>
      </c>
      <c r="G88" s="19" t="s">
        <v>95</v>
      </c>
      <c r="H88" s="20">
        <f>IF($A88="","",YEAR($A88))</f>
        <v>2026</v>
      </c>
      <c r="I88" s="20">
        <f>IF($A88="","",MONTH($A88))</f>
        <v>5</v>
      </c>
      <c r="J88" s="21">
        <f>IF(OR($A88="",$F88=""),"",IF($B88="Entrada",$F88,-$F88))</f>
        <v>-5172.9</v>
      </c>
      <c r="K88" s="20" t="str">
        <f>IF($A88="","",IF(OR($B88="",$C88="",$F88="",$G88=""),"Preencher tudo",IF(IFERROR(INDEX(CatTipo,MATCH($C88,CatNome,0)),"")&lt;&gt;$B88,"Categoria x Tipo?","OK")))</f>
        <v>OK</v>
      </c>
    </row>
    <row r="89" spans="1:11">
      <c r="A89" s="18">
        <v>46162</v>
      </c>
      <c r="B89" s="19" t="s">
        <v>60</v>
      </c>
      <c r="C89" s="15" t="s">
        <v>62</v>
      </c>
      <c r="D89" s="15" t="s">
        <v>108</v>
      </c>
      <c r="E89" s="15" t="s">
        <v>81</v>
      </c>
      <c r="F89" s="17">
        <v>3195.75</v>
      </c>
      <c r="G89" s="19" t="s">
        <v>95</v>
      </c>
      <c r="H89" s="20">
        <f>IF($A89="","",YEAR($A89))</f>
        <v>2026</v>
      </c>
      <c r="I89" s="20">
        <f>IF($A89="","",MONTH($A89))</f>
        <v>5</v>
      </c>
      <c r="J89" s="21">
        <f>IF(OR($A89="",$F89=""),"",IF($B89="Entrada",$F89,-$F89))</f>
        <v>-3195.75</v>
      </c>
      <c r="K89" s="20" t="str">
        <f>IF($A89="","",IF(OR($B89="",$C89="",$F89="",$G89=""),"Preencher tudo",IF(IFERROR(INDEX(CatTipo,MATCH($C89,CatNome,0)),"")&lt;&gt;$B89,"Categoria x Tipo?","OK")))</f>
        <v>OK</v>
      </c>
    </row>
    <row r="90" spans="1:11">
      <c r="A90" s="18">
        <v>46162</v>
      </c>
      <c r="B90" s="19" t="s">
        <v>60</v>
      </c>
      <c r="C90" s="15" t="s">
        <v>71</v>
      </c>
      <c r="D90" s="15" t="s">
        <v>109</v>
      </c>
      <c r="E90" s="15" t="s">
        <v>81</v>
      </c>
      <c r="F90" s="17">
        <v>1350</v>
      </c>
      <c r="G90" s="19" t="s">
        <v>95</v>
      </c>
      <c r="H90" s="20">
        <f>IF($A90="","",YEAR($A90))</f>
        <v>2026</v>
      </c>
      <c r="I90" s="20">
        <f>IF($A90="","",MONTH($A90))</f>
        <v>5</v>
      </c>
      <c r="J90" s="21">
        <f>IF(OR($A90="",$F90=""),"",IF($B90="Entrada",$F90,-$F90))</f>
        <v>-1350</v>
      </c>
      <c r="K90" s="20" t="str">
        <f>IF($A90="","",IF(OR($B90="",$C90="",$F90="",$G90=""),"Preencher tudo",IF(IFERROR(INDEX(CatTipo,MATCH($C90,CatNome,0)),"")&lt;&gt;$B90,"Categoria x Tipo?","OK")))</f>
        <v>OK</v>
      </c>
    </row>
    <row r="91" spans="1:11">
      <c r="A91" s="18">
        <v>46163</v>
      </c>
      <c r="B91" s="19" t="s">
        <v>52</v>
      </c>
      <c r="C91" s="15" t="s">
        <v>51</v>
      </c>
      <c r="D91" s="15" t="s">
        <v>110</v>
      </c>
      <c r="E91" s="15" t="s">
        <v>81</v>
      </c>
      <c r="F91" s="17">
        <v>11801.11</v>
      </c>
      <c r="G91" s="19" t="s">
        <v>95</v>
      </c>
      <c r="H91" s="20">
        <f>IF($A91="","",YEAR($A91))</f>
        <v>2026</v>
      </c>
      <c r="I91" s="20">
        <f>IF($A91="","",MONTH($A91))</f>
        <v>5</v>
      </c>
      <c r="J91" s="21">
        <f>IF(OR($A91="",$F91=""),"",IF($B91="Entrada",$F91,-$F91))</f>
        <v>11801.11</v>
      </c>
      <c r="K91" s="20" t="str">
        <f>IF($A91="","",IF(OR($B91="",$C91="",$F91="",$G91=""),"Preencher tudo",IF(IFERROR(INDEX(CatTipo,MATCH($C91,CatNome,0)),"")&lt;&gt;$B91,"Categoria x Tipo?","OK")))</f>
        <v>OK</v>
      </c>
    </row>
    <row r="92" spans="1:11">
      <c r="A92" s="18">
        <v>46167</v>
      </c>
      <c r="B92" s="19" t="s">
        <v>60</v>
      </c>
      <c r="C92" s="15" t="s">
        <v>63</v>
      </c>
      <c r="D92" s="15" t="s">
        <v>111</v>
      </c>
      <c r="E92" s="15" t="s">
        <v>82</v>
      </c>
      <c r="F92" s="17">
        <v>1566.95</v>
      </c>
      <c r="G92" s="19" t="s">
        <v>95</v>
      </c>
      <c r="H92" s="20">
        <f>IF($A92="","",YEAR($A92))</f>
        <v>2026</v>
      </c>
      <c r="I92" s="20">
        <f>IF($A92="","",MONTH($A92))</f>
        <v>5</v>
      </c>
      <c r="J92" s="21">
        <f>IF(OR($A92="",$F92=""),"",IF($B92="Entrada",$F92,-$F92))</f>
        <v>-1566.95</v>
      </c>
      <c r="K92" s="20" t="str">
        <f>IF($A92="","",IF(OR($B92="",$C92="",$F92="",$G92=""),"Preencher tudo",IF(IFERROR(INDEX(CatTipo,MATCH($C92,CatNome,0)),"")&lt;&gt;$B92,"Categoria x Tipo?","OK")))</f>
        <v>OK</v>
      </c>
    </row>
    <row r="93" spans="1:11">
      <c r="A93" s="18">
        <v>46170</v>
      </c>
      <c r="B93" s="19" t="s">
        <v>52</v>
      </c>
      <c r="C93" s="15" t="s">
        <v>51</v>
      </c>
      <c r="D93" s="15" t="s">
        <v>112</v>
      </c>
      <c r="E93" s="15" t="s">
        <v>82</v>
      </c>
      <c r="F93" s="17">
        <v>13410.53</v>
      </c>
      <c r="G93" s="19" t="s">
        <v>95</v>
      </c>
      <c r="H93" s="20">
        <f>IF($A93="","",YEAR($A93))</f>
        <v>2026</v>
      </c>
      <c r="I93" s="20">
        <f>IF($A93="","",MONTH($A93))</f>
        <v>5</v>
      </c>
      <c r="J93" s="21">
        <f>IF(OR($A93="",$F93=""),"",IF($B93="Entrada",$F93,-$F93))</f>
        <v>13410.53</v>
      </c>
      <c r="K93" s="20" t="str">
        <f>IF($A93="","",IF(OR($B93="",$C93="",$F93="",$G93=""),"Preencher tudo",IF(IFERROR(INDEX(CatTipo,MATCH($C93,CatNome,0)),"")&lt;&gt;$B93,"Categoria x Tipo?","OK")))</f>
        <v>OK</v>
      </c>
    </row>
    <row r="94" spans="1:11">
      <c r="A94" s="18">
        <v>46178</v>
      </c>
      <c r="B94" s="19" t="s">
        <v>60</v>
      </c>
      <c r="C94" s="15" t="s">
        <v>59</v>
      </c>
      <c r="D94" s="15" t="s">
        <v>96</v>
      </c>
      <c r="E94" s="15" t="s">
        <v>81</v>
      </c>
      <c r="F94" s="17">
        <v>8827.83</v>
      </c>
      <c r="G94" s="19" t="s">
        <v>95</v>
      </c>
      <c r="H94" s="20">
        <f>IF($A94="","",YEAR($A94))</f>
        <v>2026</v>
      </c>
      <c r="I94" s="20">
        <f>IF($A94="","",MONTH($A94))</f>
        <v>6</v>
      </c>
      <c r="J94" s="21">
        <f>IF(OR($A94="",$F94=""),"",IF($B94="Entrada",$F94,-$F94))</f>
        <v>-8827.83</v>
      </c>
      <c r="K94" s="20" t="str">
        <f>IF($A94="","",IF(OR($B94="",$C94="",$F94="",$G94=""),"Preencher tudo",IF(IFERROR(INDEX(CatTipo,MATCH($C94,CatNome,0)),"")&lt;&gt;$B94,"Categoria x Tipo?","OK")))</f>
        <v>OK</v>
      </c>
    </row>
    <row r="95" spans="1:11">
      <c r="A95" s="18">
        <v>46178</v>
      </c>
      <c r="B95" s="19" t="s">
        <v>60</v>
      </c>
      <c r="C95" s="15" t="s">
        <v>66</v>
      </c>
      <c r="D95" s="15" t="s">
        <v>97</v>
      </c>
      <c r="E95" s="15" t="s">
        <v>81</v>
      </c>
      <c r="F95" s="17">
        <v>11800</v>
      </c>
      <c r="G95" s="19" t="s">
        <v>95</v>
      </c>
      <c r="H95" s="20">
        <f>IF($A95="","",YEAR($A95))</f>
        <v>2026</v>
      </c>
      <c r="I95" s="20">
        <f>IF($A95="","",MONTH($A95))</f>
        <v>6</v>
      </c>
      <c r="J95" s="21">
        <f>IF(OR($A95="",$F95=""),"",IF($B95="Entrada",$F95,-$F95))</f>
        <v>-11800</v>
      </c>
      <c r="K95" s="20" t="str">
        <f>IF($A95="","",IF(OR($B95="",$C95="",$F95="",$G95=""),"Preencher tudo",IF(IFERROR(INDEX(CatTipo,MATCH($C95,CatNome,0)),"")&lt;&gt;$B95,"Categoria x Tipo?","OK")))</f>
        <v>OK</v>
      </c>
    </row>
    <row r="96" spans="1:11">
      <c r="A96" s="18">
        <v>46179</v>
      </c>
      <c r="B96" s="19" t="s">
        <v>60</v>
      </c>
      <c r="C96" s="15" t="s">
        <v>72</v>
      </c>
      <c r="D96" s="15" t="s">
        <v>98</v>
      </c>
      <c r="E96" s="15" t="s">
        <v>81</v>
      </c>
      <c r="F96" s="17">
        <v>6000</v>
      </c>
      <c r="G96" s="19" t="s">
        <v>95</v>
      </c>
      <c r="H96" s="20">
        <f>IF($A96="","",YEAR($A96))</f>
        <v>2026</v>
      </c>
      <c r="I96" s="20">
        <f>IF($A96="","",MONTH($A96))</f>
        <v>6</v>
      </c>
      <c r="J96" s="21">
        <f>IF(OR($A96="",$F96=""),"",IF($B96="Entrada",$F96,-$F96))</f>
        <v>-6000</v>
      </c>
      <c r="K96" s="20" t="str">
        <f>IF($A96="","",IF(OR($B96="",$C96="",$F96="",$G96=""),"Preencher tudo",IF(IFERROR(INDEX(CatTipo,MATCH($C96,CatNome,0)),"")&lt;&gt;$B96,"Categoria x Tipo?","OK")))</f>
        <v>OK</v>
      </c>
    </row>
    <row r="97" spans="1:11">
      <c r="A97" s="18">
        <v>46180</v>
      </c>
      <c r="B97" s="19" t="s">
        <v>52</v>
      </c>
      <c r="C97" s="15" t="s">
        <v>51</v>
      </c>
      <c r="D97" s="15" t="s">
        <v>99</v>
      </c>
      <c r="E97" s="15" t="s">
        <v>80</v>
      </c>
      <c r="F97" s="17">
        <v>10638.22</v>
      </c>
      <c r="G97" s="19" t="s">
        <v>95</v>
      </c>
      <c r="H97" s="20">
        <f>IF($A97="","",YEAR($A97))</f>
        <v>2026</v>
      </c>
      <c r="I97" s="20">
        <f>IF($A97="","",MONTH($A97))</f>
        <v>6</v>
      </c>
      <c r="J97" s="21">
        <f>IF(OR($A97="",$F97=""),"",IF($B97="Entrada",$F97,-$F97))</f>
        <v>10638.22</v>
      </c>
      <c r="K97" s="20" t="str">
        <f>IF($A97="","",IF(OR($B97="",$C97="",$F97="",$G97=""),"Preencher tudo",IF(IFERROR(INDEX(CatTipo,MATCH($C97,CatNome,0)),"")&lt;&gt;$B97,"Categoria x Tipo?","OK")))</f>
        <v>OK</v>
      </c>
    </row>
    <row r="98" spans="1:11">
      <c r="A98" s="18">
        <v>46181</v>
      </c>
      <c r="B98" s="19" t="s">
        <v>60</v>
      </c>
      <c r="C98" s="15" t="s">
        <v>70</v>
      </c>
      <c r="D98" s="15" t="s">
        <v>100</v>
      </c>
      <c r="E98" s="15" t="s">
        <v>81</v>
      </c>
      <c r="F98" s="17">
        <v>1559.94</v>
      </c>
      <c r="G98" s="19" t="s">
        <v>95</v>
      </c>
      <c r="H98" s="20">
        <f>IF($A98="","",YEAR($A98))</f>
        <v>2026</v>
      </c>
      <c r="I98" s="20">
        <f>IF($A98="","",MONTH($A98))</f>
        <v>6</v>
      </c>
      <c r="J98" s="21">
        <f>IF(OR($A98="",$F98=""),"",IF($B98="Entrada",$F98,-$F98))</f>
        <v>-1559.94</v>
      </c>
      <c r="K98" s="20" t="str">
        <f>IF($A98="","",IF(OR($B98="",$C98="",$F98="",$G98=""),"Preencher tudo",IF(IFERROR(INDEX(CatTipo,MATCH($C98,CatNome,0)),"")&lt;&gt;$B98,"Categoria x Tipo?","OK")))</f>
        <v>OK</v>
      </c>
    </row>
    <row r="99" spans="1:11">
      <c r="A99" s="18">
        <v>46183</v>
      </c>
      <c r="B99" s="19" t="s">
        <v>60</v>
      </c>
      <c r="C99" s="15" t="s">
        <v>68</v>
      </c>
      <c r="D99" s="15" t="s">
        <v>101</v>
      </c>
      <c r="E99" s="15" t="s">
        <v>81</v>
      </c>
      <c r="F99" s="17">
        <v>4200</v>
      </c>
      <c r="G99" s="19" t="s">
        <v>95</v>
      </c>
      <c r="H99" s="20">
        <f>IF($A99="","",YEAR($A99))</f>
        <v>2026</v>
      </c>
      <c r="I99" s="20">
        <f>IF($A99="","",MONTH($A99))</f>
        <v>6</v>
      </c>
      <c r="J99" s="21">
        <f>IF(OR($A99="",$F99=""),"",IF($B99="Entrada",$F99,-$F99))</f>
        <v>-4200</v>
      </c>
      <c r="K99" s="20" t="str">
        <f>IF($A99="","",IF(OR($B99="",$C99="",$F99="",$G99=""),"Preencher tudo",IF(IFERROR(INDEX(CatTipo,MATCH($C99,CatNome,0)),"")&lt;&gt;$B99,"Categoria x Tipo?","OK")))</f>
        <v>OK</v>
      </c>
    </row>
    <row r="100" spans="1:11">
      <c r="A100" s="18">
        <v>46183</v>
      </c>
      <c r="B100" s="19" t="s">
        <v>60</v>
      </c>
      <c r="C100" s="15" t="s">
        <v>74</v>
      </c>
      <c r="D100" s="15" t="s">
        <v>102</v>
      </c>
      <c r="E100" s="15" t="s">
        <v>81</v>
      </c>
      <c r="F100" s="17">
        <v>2100</v>
      </c>
      <c r="G100" s="19" t="s">
        <v>95</v>
      </c>
      <c r="H100" s="20">
        <f>IF($A100="","",YEAR($A100))</f>
        <v>2026</v>
      </c>
      <c r="I100" s="20">
        <f>IF($A100="","",MONTH($A100))</f>
        <v>6</v>
      </c>
      <c r="J100" s="21">
        <f>IF(OR($A100="",$F100=""),"",IF($B100="Entrada",$F100,-$F100))</f>
        <v>-2100</v>
      </c>
      <c r="K100" s="20" t="str">
        <f>IF($A100="","",IF(OR($B100="",$C100="",$F100="",$G100=""),"Preencher tudo",IF(IFERROR(INDEX(CatTipo,MATCH($C100,CatNome,0)),"")&lt;&gt;$B100,"Categoria x Tipo?","OK")))</f>
        <v>OK</v>
      </c>
    </row>
    <row r="101" spans="1:11">
      <c r="A101" s="18">
        <v>46185</v>
      </c>
      <c r="B101" s="19" t="s">
        <v>60</v>
      </c>
      <c r="C101" s="15" t="s">
        <v>64</v>
      </c>
      <c r="D101" s="15" t="s">
        <v>103</v>
      </c>
      <c r="E101" s="15" t="s">
        <v>81</v>
      </c>
      <c r="F101" s="17">
        <v>1262.48</v>
      </c>
      <c r="G101" s="19" t="s">
        <v>95</v>
      </c>
      <c r="H101" s="20">
        <f>IF($A101="","",YEAR($A101))</f>
        <v>2026</v>
      </c>
      <c r="I101" s="20">
        <f>IF($A101="","",MONTH($A101))</f>
        <v>6</v>
      </c>
      <c r="J101" s="21">
        <f>IF(OR($A101="",$F101=""),"",IF($B101="Entrada",$F101,-$F101))</f>
        <v>-1262.48</v>
      </c>
      <c r="K101" s="20" t="str">
        <f>IF($A101="","",IF(OR($B101="",$C101="",$F101="",$G101=""),"Preencher tudo",IF(IFERROR(INDEX(CatTipo,MATCH($C101,CatNome,0)),"")&lt;&gt;$B101,"Categoria x Tipo?","OK")))</f>
        <v>OK</v>
      </c>
    </row>
    <row r="102" spans="1:11">
      <c r="A102" s="18">
        <v>46187</v>
      </c>
      <c r="B102" s="19" t="s">
        <v>52</v>
      </c>
      <c r="C102" s="15" t="s">
        <v>51</v>
      </c>
      <c r="D102" s="15" t="s">
        <v>104</v>
      </c>
      <c r="E102" s="15" t="s">
        <v>81</v>
      </c>
      <c r="F102" s="17">
        <v>11357.03</v>
      </c>
      <c r="G102" s="19" t="s">
        <v>95</v>
      </c>
      <c r="H102" s="20">
        <f>IF($A102="","",YEAR($A102))</f>
        <v>2026</v>
      </c>
      <c r="I102" s="20">
        <f>IF($A102="","",MONTH($A102))</f>
        <v>6</v>
      </c>
      <c r="J102" s="21">
        <f>IF(OR($A102="",$F102=""),"",IF($B102="Entrada",$F102,-$F102))</f>
        <v>11357.03</v>
      </c>
      <c r="K102" s="20" t="str">
        <f>IF($A102="","",IF(OR($B102="",$C102="",$F102="",$G102=""),"Preencher tudo",IF(IFERROR(INDEX(CatTipo,MATCH($C102,CatNome,0)),"")&lt;&gt;$B102,"Categoria x Tipo?","OK")))</f>
        <v>OK</v>
      </c>
    </row>
    <row r="103" spans="1:11">
      <c r="A103" s="18">
        <v>46188</v>
      </c>
      <c r="B103" s="19" t="s">
        <v>52</v>
      </c>
      <c r="C103" s="15" t="s">
        <v>54</v>
      </c>
      <c r="D103" s="15" t="s">
        <v>105</v>
      </c>
      <c r="E103" s="15" t="s">
        <v>81</v>
      </c>
      <c r="F103" s="17">
        <v>9245.08</v>
      </c>
      <c r="G103" s="19" t="s">
        <v>95</v>
      </c>
      <c r="H103" s="20">
        <f>IF($A103="","",YEAR($A103))</f>
        <v>2026</v>
      </c>
      <c r="I103" s="20">
        <f>IF($A103="","",MONTH($A103))</f>
        <v>6</v>
      </c>
      <c r="J103" s="21">
        <f>IF(OR($A103="",$F103=""),"",IF($B103="Entrada",$F103,-$F103))</f>
        <v>9245.08</v>
      </c>
      <c r="K103" s="20" t="str">
        <f>IF($A103="","",IF(OR($B103="",$C103="",$F103="",$G103=""),"Preencher tudo",IF(IFERROR(INDEX(CatTipo,MATCH($C103,CatNome,0)),"")&lt;&gt;$B103,"Categoria x Tipo?","OK")))</f>
        <v>OK</v>
      </c>
    </row>
    <row r="104" spans="1:11">
      <c r="A104" s="18">
        <v>46188</v>
      </c>
      <c r="B104" s="19" t="s">
        <v>60</v>
      </c>
      <c r="C104" s="15" t="s">
        <v>69</v>
      </c>
      <c r="D104" s="15" t="s">
        <v>106</v>
      </c>
      <c r="E104" s="15" t="s">
        <v>81</v>
      </c>
      <c r="F104" s="17">
        <v>1470.78</v>
      </c>
      <c r="G104" s="19" t="s">
        <v>95</v>
      </c>
      <c r="H104" s="20">
        <f>IF($A104="","",YEAR($A104))</f>
        <v>2026</v>
      </c>
      <c r="I104" s="20">
        <f>IF($A104="","",MONTH($A104))</f>
        <v>6</v>
      </c>
      <c r="J104" s="21">
        <f>IF(OR($A104="",$F104=""),"",IF($B104="Entrada",$F104,-$F104))</f>
        <v>-1470.78</v>
      </c>
      <c r="K104" s="20" t="str">
        <f>IF($A104="","",IF(OR($B104="",$C104="",$F104="",$G104=""),"Preencher tudo",IF(IFERROR(INDEX(CatTipo,MATCH($C104,CatNome,0)),"")&lt;&gt;$B104,"Categoria x Tipo?","OK")))</f>
        <v>OK</v>
      </c>
    </row>
    <row r="105" spans="1:11">
      <c r="A105" s="18">
        <v>46192</v>
      </c>
      <c r="B105" s="19" t="s">
        <v>60</v>
      </c>
      <c r="C105" s="15" t="s">
        <v>59</v>
      </c>
      <c r="D105" s="15" t="s">
        <v>107</v>
      </c>
      <c r="E105" s="15" t="s">
        <v>81</v>
      </c>
      <c r="F105" s="17">
        <v>4159.62</v>
      </c>
      <c r="G105" s="19" t="s">
        <v>95</v>
      </c>
      <c r="H105" s="20">
        <f>IF($A105="","",YEAR($A105))</f>
        <v>2026</v>
      </c>
      <c r="I105" s="20">
        <f>IF($A105="","",MONTH($A105))</f>
        <v>6</v>
      </c>
      <c r="J105" s="21">
        <f>IF(OR($A105="",$F105=""),"",IF($B105="Entrada",$F105,-$F105))</f>
        <v>-4159.62</v>
      </c>
      <c r="K105" s="20" t="str">
        <f>IF($A105="","",IF(OR($B105="",$C105="",$F105="",$G105=""),"Preencher tudo",IF(IFERROR(INDEX(CatTipo,MATCH($C105,CatNome,0)),"")&lt;&gt;$B105,"Categoria x Tipo?","OK")))</f>
        <v>OK</v>
      </c>
    </row>
    <row r="106" spans="1:11">
      <c r="A106" s="18">
        <v>46193</v>
      </c>
      <c r="B106" s="19" t="s">
        <v>60</v>
      </c>
      <c r="C106" s="15" t="s">
        <v>62</v>
      </c>
      <c r="D106" s="15" t="s">
        <v>108</v>
      </c>
      <c r="E106" s="15" t="s">
        <v>81</v>
      </c>
      <c r="F106" s="17">
        <v>3005.63</v>
      </c>
      <c r="G106" s="19" t="s">
        <v>95</v>
      </c>
      <c r="H106" s="20">
        <f>IF($A106="","",YEAR($A106))</f>
        <v>2026</v>
      </c>
      <c r="I106" s="20">
        <f>IF($A106="","",MONTH($A106))</f>
        <v>6</v>
      </c>
      <c r="J106" s="21">
        <f>IF(OR($A106="",$F106=""),"",IF($B106="Entrada",$F106,-$F106))</f>
        <v>-3005.63</v>
      </c>
      <c r="K106" s="20" t="str">
        <f>IF($A106="","",IF(OR($B106="",$C106="",$F106="",$G106=""),"Preencher tudo",IF(IFERROR(INDEX(CatTipo,MATCH($C106,CatNome,0)),"")&lt;&gt;$B106,"Categoria x Tipo?","OK")))</f>
        <v>OK</v>
      </c>
    </row>
    <row r="107" spans="1:11">
      <c r="A107" s="18">
        <v>46193</v>
      </c>
      <c r="B107" s="19" t="s">
        <v>60</v>
      </c>
      <c r="C107" s="15" t="s">
        <v>71</v>
      </c>
      <c r="D107" s="15" t="s">
        <v>109</v>
      </c>
      <c r="E107" s="15" t="s">
        <v>81</v>
      </c>
      <c r="F107" s="17">
        <v>1350</v>
      </c>
      <c r="G107" s="19" t="s">
        <v>95</v>
      </c>
      <c r="H107" s="20">
        <f>IF($A107="","",YEAR($A107))</f>
        <v>2026</v>
      </c>
      <c r="I107" s="20">
        <f>IF($A107="","",MONTH($A107))</f>
        <v>6</v>
      </c>
      <c r="J107" s="21">
        <f>IF(OR($A107="",$F107=""),"",IF($B107="Entrada",$F107,-$F107))</f>
        <v>-1350</v>
      </c>
      <c r="K107" s="20" t="str">
        <f>IF($A107="","",IF(OR($B107="",$C107="",$F107="",$G107=""),"Preencher tudo",IF(IFERROR(INDEX(CatTipo,MATCH($C107,CatNome,0)),"")&lt;&gt;$B107,"Categoria x Tipo?","OK")))</f>
        <v>OK</v>
      </c>
    </row>
    <row r="108" spans="1:11">
      <c r="A108" s="18">
        <v>46194</v>
      </c>
      <c r="B108" s="19" t="s">
        <v>52</v>
      </c>
      <c r="C108" s="15" t="s">
        <v>51</v>
      </c>
      <c r="D108" s="15" t="s">
        <v>110</v>
      </c>
      <c r="E108" s="15" t="s">
        <v>81</v>
      </c>
      <c r="F108" s="17">
        <v>12478.11</v>
      </c>
      <c r="G108" s="19" t="s">
        <v>95</v>
      </c>
      <c r="H108" s="20">
        <f>IF($A108="","",YEAR($A108))</f>
        <v>2026</v>
      </c>
      <c r="I108" s="20">
        <f>IF($A108="","",MONTH($A108))</f>
        <v>6</v>
      </c>
      <c r="J108" s="21">
        <f>IF(OR($A108="",$F108=""),"",IF($B108="Entrada",$F108,-$F108))</f>
        <v>12478.11</v>
      </c>
      <c r="K108" s="20" t="str">
        <f>IF($A108="","",IF(OR($B108="",$C108="",$F108="",$G108=""),"Preencher tudo",IF(IFERROR(INDEX(CatTipo,MATCH($C108,CatNome,0)),"")&lt;&gt;$B108,"Categoria x Tipo?","OK")))</f>
        <v>OK</v>
      </c>
    </row>
    <row r="109" spans="1:11">
      <c r="A109" s="18">
        <v>46195</v>
      </c>
      <c r="B109" s="19" t="s">
        <v>60</v>
      </c>
      <c r="C109" s="15" t="s">
        <v>65</v>
      </c>
      <c r="D109" s="15" t="s">
        <v>113</v>
      </c>
      <c r="E109" s="15" t="s">
        <v>80</v>
      </c>
      <c r="F109" s="17">
        <v>839.8099999999999</v>
      </c>
      <c r="G109" s="19" t="s">
        <v>95</v>
      </c>
      <c r="H109" s="20">
        <f>IF($A109="","",YEAR($A109))</f>
        <v>2026</v>
      </c>
      <c r="I109" s="20">
        <f>IF($A109="","",MONTH($A109))</f>
        <v>6</v>
      </c>
      <c r="J109" s="21">
        <f>IF(OR($A109="",$F109=""),"",IF($B109="Entrada",$F109,-$F109))</f>
        <v>-839.81</v>
      </c>
      <c r="K109" s="20" t="str">
        <f>IF($A109="","",IF(OR($B109="",$C109="",$F109="",$G109=""),"Preencher tudo",IF(IFERROR(INDEX(CatTipo,MATCH($C109,CatNome,0)),"")&lt;&gt;$B109,"Categoria x Tipo?","OK")))</f>
        <v>OK</v>
      </c>
    </row>
    <row r="110" spans="1:11">
      <c r="A110" s="18">
        <v>46198</v>
      </c>
      <c r="B110" s="19" t="s">
        <v>60</v>
      </c>
      <c r="C110" s="15" t="s">
        <v>63</v>
      </c>
      <c r="D110" s="15" t="s">
        <v>111</v>
      </c>
      <c r="E110" s="15" t="s">
        <v>82</v>
      </c>
      <c r="F110" s="17">
        <v>1476.4</v>
      </c>
      <c r="G110" s="19" t="s">
        <v>95</v>
      </c>
      <c r="H110" s="20">
        <f>IF($A110="","",YEAR($A110))</f>
        <v>2026</v>
      </c>
      <c r="I110" s="20">
        <f>IF($A110="","",MONTH($A110))</f>
        <v>6</v>
      </c>
      <c r="J110" s="21">
        <f>IF(OR($A110="",$F110=""),"",IF($B110="Entrada",$F110,-$F110))</f>
        <v>-1476.4</v>
      </c>
      <c r="K110" s="20" t="str">
        <f>IF($A110="","",IF(OR($B110="",$C110="",$F110="",$G110=""),"Preencher tudo",IF(IFERROR(INDEX(CatTipo,MATCH($C110,CatNome,0)),"")&lt;&gt;$B110,"Categoria x Tipo?","OK")))</f>
        <v>OK</v>
      </c>
    </row>
    <row r="111" spans="1:11">
      <c r="A111" s="18">
        <v>46201</v>
      </c>
      <c r="B111" s="19" t="s">
        <v>52</v>
      </c>
      <c r="C111" s="15" t="s">
        <v>51</v>
      </c>
      <c r="D111" s="15" t="s">
        <v>112</v>
      </c>
      <c r="E111" s="15" t="s">
        <v>81</v>
      </c>
      <c r="F111" s="17">
        <v>11102.35</v>
      </c>
      <c r="G111" s="19" t="s">
        <v>95</v>
      </c>
      <c r="H111" s="20">
        <f>IF($A111="","",YEAR($A111))</f>
        <v>2026</v>
      </c>
      <c r="I111" s="20">
        <f>IF($A111="","",MONTH($A111))</f>
        <v>6</v>
      </c>
      <c r="J111" s="21">
        <f>IF(OR($A111="",$F111=""),"",IF($B111="Entrada",$F111,-$F111))</f>
        <v>11102.35</v>
      </c>
      <c r="K111" s="20" t="str">
        <f>IF($A111="","",IF(OR($B111="",$C111="",$F111="",$G111=""),"Preencher tudo",IF(IFERROR(INDEX(CatTipo,MATCH($C111,CatNome,0)),"")&lt;&gt;$B111,"Categoria x Tipo?","OK")))</f>
        <v>OK</v>
      </c>
    </row>
    <row r="112" spans="1:11">
      <c r="A112" s="18">
        <v>46208</v>
      </c>
      <c r="B112" s="19" t="s">
        <v>60</v>
      </c>
      <c r="C112" s="15" t="s">
        <v>59</v>
      </c>
      <c r="D112" s="15" t="s">
        <v>96</v>
      </c>
      <c r="E112" s="15" t="s">
        <v>81</v>
      </c>
      <c r="F112" s="17">
        <v>9944.969999999999</v>
      </c>
      <c r="G112" s="19" t="s">
        <v>95</v>
      </c>
      <c r="H112" s="20">
        <f>IF($A112="","",YEAR($A112))</f>
        <v>2026</v>
      </c>
      <c r="I112" s="20">
        <f>IF($A112="","",MONTH($A112))</f>
        <v>7</v>
      </c>
      <c r="J112" s="21">
        <f>IF(OR($A112="",$F112=""),"",IF($B112="Entrada",$F112,-$F112))</f>
        <v>-9944.97</v>
      </c>
      <c r="K112" s="20" t="str">
        <f>IF($A112="","",IF(OR($B112="",$C112="",$F112="",$G112=""),"Preencher tudo",IF(IFERROR(INDEX(CatTipo,MATCH($C112,CatNome,0)),"")&lt;&gt;$B112,"Categoria x Tipo?","OK")))</f>
        <v>OK</v>
      </c>
    </row>
    <row r="113" spans="1:11">
      <c r="A113" s="18">
        <v>46208</v>
      </c>
      <c r="B113" s="19" t="s">
        <v>60</v>
      </c>
      <c r="C113" s="15" t="s">
        <v>66</v>
      </c>
      <c r="D113" s="15" t="s">
        <v>97</v>
      </c>
      <c r="E113" s="15" t="s">
        <v>81</v>
      </c>
      <c r="F113" s="17">
        <v>11800</v>
      </c>
      <c r="G113" s="19" t="s">
        <v>95</v>
      </c>
      <c r="H113" s="20">
        <f>IF($A113="","",YEAR($A113))</f>
        <v>2026</v>
      </c>
      <c r="I113" s="20">
        <f>IF($A113="","",MONTH($A113))</f>
        <v>7</v>
      </c>
      <c r="J113" s="21">
        <f>IF(OR($A113="",$F113=""),"",IF($B113="Entrada",$F113,-$F113))</f>
        <v>-11800</v>
      </c>
      <c r="K113" s="20" t="str">
        <f>IF($A113="","",IF(OR($B113="",$C113="",$F113="",$G113=""),"Preencher tudo",IF(IFERROR(INDEX(CatTipo,MATCH($C113,CatNome,0)),"")&lt;&gt;$B113,"Categoria x Tipo?","OK")))</f>
        <v>OK</v>
      </c>
    </row>
    <row r="114" spans="1:11">
      <c r="A114" s="18">
        <v>46209</v>
      </c>
      <c r="B114" s="19" t="s">
        <v>60</v>
      </c>
      <c r="C114" s="15" t="s">
        <v>72</v>
      </c>
      <c r="D114" s="15" t="s">
        <v>98</v>
      </c>
      <c r="E114" s="15" t="s">
        <v>81</v>
      </c>
      <c r="F114" s="17">
        <v>6000</v>
      </c>
      <c r="G114" s="19" t="s">
        <v>95</v>
      </c>
      <c r="H114" s="20">
        <f>IF($A114="","",YEAR($A114))</f>
        <v>2026</v>
      </c>
      <c r="I114" s="20">
        <f>IF($A114="","",MONTH($A114))</f>
        <v>7</v>
      </c>
      <c r="J114" s="21">
        <f>IF(OR($A114="",$F114=""),"",IF($B114="Entrada",$F114,-$F114))</f>
        <v>-6000</v>
      </c>
      <c r="K114" s="20" t="str">
        <f>IF($A114="","",IF(OR($B114="",$C114="",$F114="",$G114=""),"Preencher tudo",IF(IFERROR(INDEX(CatTipo,MATCH($C114,CatNome,0)),"")&lt;&gt;$B114,"Categoria x Tipo?","OK")))</f>
        <v>OK</v>
      </c>
    </row>
    <row r="115" spans="1:11">
      <c r="A115" s="18">
        <v>46210</v>
      </c>
      <c r="B115" s="19" t="s">
        <v>52</v>
      </c>
      <c r="C115" s="15" t="s">
        <v>51</v>
      </c>
      <c r="D115" s="15" t="s">
        <v>99</v>
      </c>
      <c r="E115" s="15" t="s">
        <v>81</v>
      </c>
      <c r="F115" s="17">
        <v>12304.05</v>
      </c>
      <c r="G115" s="19" t="s">
        <v>95</v>
      </c>
      <c r="H115" s="20">
        <f>IF($A115="","",YEAR($A115))</f>
        <v>2026</v>
      </c>
      <c r="I115" s="20">
        <f>IF($A115="","",MONTH($A115))</f>
        <v>7</v>
      </c>
      <c r="J115" s="21">
        <f>IF(OR($A115="",$F115=""),"",IF($B115="Entrada",$F115,-$F115))</f>
        <v>12304.05</v>
      </c>
      <c r="K115" s="20" t="str">
        <f>IF($A115="","",IF(OR($B115="",$C115="",$F115="",$G115=""),"Preencher tudo",IF(IFERROR(INDEX(CatTipo,MATCH($C115,CatNome,0)),"")&lt;&gt;$B115,"Categoria x Tipo?","OK")))</f>
        <v>OK</v>
      </c>
    </row>
    <row r="116" spans="1:11">
      <c r="A116" s="18">
        <v>46211</v>
      </c>
      <c r="B116" s="19" t="s">
        <v>60</v>
      </c>
      <c r="C116" s="15" t="s">
        <v>70</v>
      </c>
      <c r="D116" s="15" t="s">
        <v>100</v>
      </c>
      <c r="E116" s="15" t="s">
        <v>81</v>
      </c>
      <c r="F116" s="17">
        <v>1652.92</v>
      </c>
      <c r="G116" s="19" t="s">
        <v>95</v>
      </c>
      <c r="H116" s="20">
        <f>IF($A116="","",YEAR($A116))</f>
        <v>2026</v>
      </c>
      <c r="I116" s="20">
        <f>IF($A116="","",MONTH($A116))</f>
        <v>7</v>
      </c>
      <c r="J116" s="21">
        <f>IF(OR($A116="",$F116=""),"",IF($B116="Entrada",$F116,-$F116))</f>
        <v>-1652.92</v>
      </c>
      <c r="K116" s="20" t="str">
        <f>IF($A116="","",IF(OR($B116="",$C116="",$F116="",$G116=""),"Preencher tudo",IF(IFERROR(INDEX(CatTipo,MATCH($C116,CatNome,0)),"")&lt;&gt;$B116,"Categoria x Tipo?","OK")))</f>
        <v>OK</v>
      </c>
    </row>
    <row r="117" spans="1:11">
      <c r="A117" s="18">
        <v>46213</v>
      </c>
      <c r="B117" s="19" t="s">
        <v>60</v>
      </c>
      <c r="C117" s="15" t="s">
        <v>68</v>
      </c>
      <c r="D117" s="15" t="s">
        <v>101</v>
      </c>
      <c r="E117" s="15" t="s">
        <v>81</v>
      </c>
      <c r="F117" s="17">
        <v>4200</v>
      </c>
      <c r="G117" s="19" t="s">
        <v>95</v>
      </c>
      <c r="H117" s="20">
        <f>IF($A117="","",YEAR($A117))</f>
        <v>2026</v>
      </c>
      <c r="I117" s="20">
        <f>IF($A117="","",MONTH($A117))</f>
        <v>7</v>
      </c>
      <c r="J117" s="21">
        <f>IF(OR($A117="",$F117=""),"",IF($B117="Entrada",$F117,-$F117))</f>
        <v>-4200</v>
      </c>
      <c r="K117" s="20" t="str">
        <f>IF($A117="","",IF(OR($B117="",$C117="",$F117="",$G117=""),"Preencher tudo",IF(IFERROR(INDEX(CatTipo,MATCH($C117,CatNome,0)),"")&lt;&gt;$B117,"Categoria x Tipo?","OK")))</f>
        <v>OK</v>
      </c>
    </row>
    <row r="118" spans="1:11">
      <c r="A118" s="18">
        <v>46213</v>
      </c>
      <c r="B118" s="19" t="s">
        <v>60</v>
      </c>
      <c r="C118" s="15" t="s">
        <v>74</v>
      </c>
      <c r="D118" s="15" t="s">
        <v>102</v>
      </c>
      <c r="E118" s="15" t="s">
        <v>81</v>
      </c>
      <c r="F118" s="17">
        <v>2100</v>
      </c>
      <c r="G118" s="19" t="s">
        <v>95</v>
      </c>
      <c r="H118" s="20">
        <f>IF($A118="","",YEAR($A118))</f>
        <v>2026</v>
      </c>
      <c r="I118" s="20">
        <f>IF($A118="","",MONTH($A118))</f>
        <v>7</v>
      </c>
      <c r="J118" s="21">
        <f>IF(OR($A118="",$F118=""),"",IF($B118="Entrada",$F118,-$F118))</f>
        <v>-2100</v>
      </c>
      <c r="K118" s="20" t="str">
        <f>IF($A118="","",IF(OR($B118="",$C118="",$F118="",$G118=""),"Preencher tudo",IF(IFERROR(INDEX(CatTipo,MATCH($C118,CatNome,0)),"")&lt;&gt;$B118,"Categoria x Tipo?","OK")))</f>
        <v>OK</v>
      </c>
    </row>
    <row r="119" spans="1:11">
      <c r="A119" s="18">
        <v>46215</v>
      </c>
      <c r="B119" s="19" t="s">
        <v>60</v>
      </c>
      <c r="C119" s="15" t="s">
        <v>64</v>
      </c>
      <c r="D119" s="15" t="s">
        <v>103</v>
      </c>
      <c r="E119" s="15" t="s">
        <v>81</v>
      </c>
      <c r="F119" s="17">
        <v>1274.55</v>
      </c>
      <c r="G119" s="19" t="s">
        <v>95</v>
      </c>
      <c r="H119" s="20">
        <f>IF($A119="","",YEAR($A119))</f>
        <v>2026</v>
      </c>
      <c r="I119" s="20">
        <f>IF($A119="","",MONTH($A119))</f>
        <v>7</v>
      </c>
      <c r="J119" s="21">
        <f>IF(OR($A119="",$F119=""),"",IF($B119="Entrada",$F119,-$F119))</f>
        <v>-1274.55</v>
      </c>
      <c r="K119" s="20" t="str">
        <f>IF($A119="","",IF(OR($B119="",$C119="",$F119="",$G119=""),"Preencher tudo",IF(IFERROR(INDEX(CatTipo,MATCH($C119,CatNome,0)),"")&lt;&gt;$B119,"Categoria x Tipo?","OK")))</f>
        <v>OK</v>
      </c>
    </row>
    <row r="120" spans="1:11">
      <c r="A120" s="18">
        <v>46217</v>
      </c>
      <c r="B120" s="19" t="s">
        <v>52</v>
      </c>
      <c r="C120" s="15" t="s">
        <v>51</v>
      </c>
      <c r="D120" s="15" t="s">
        <v>104</v>
      </c>
      <c r="E120" s="15" t="s">
        <v>81</v>
      </c>
      <c r="F120" s="17">
        <v>11619.52</v>
      </c>
      <c r="G120" s="19" t="s">
        <v>95</v>
      </c>
      <c r="H120" s="20">
        <f>IF($A120="","",YEAR($A120))</f>
        <v>2026</v>
      </c>
      <c r="I120" s="20">
        <f>IF($A120="","",MONTH($A120))</f>
        <v>7</v>
      </c>
      <c r="J120" s="21">
        <f>IF(OR($A120="",$F120=""),"",IF($B120="Entrada",$F120,-$F120))</f>
        <v>11619.52</v>
      </c>
      <c r="K120" s="20" t="str">
        <f>IF($A120="","",IF(OR($B120="",$C120="",$F120="",$G120=""),"Preencher tudo",IF(IFERROR(INDEX(CatTipo,MATCH($C120,CatNome,0)),"")&lt;&gt;$B120,"Categoria x Tipo?","OK")))</f>
        <v>OK</v>
      </c>
    </row>
    <row r="121" spans="1:11">
      <c r="A121" s="18">
        <v>46218</v>
      </c>
      <c r="B121" s="19" t="s">
        <v>52</v>
      </c>
      <c r="C121" s="15" t="s">
        <v>54</v>
      </c>
      <c r="D121" s="15" t="s">
        <v>105</v>
      </c>
      <c r="E121" s="15" t="s">
        <v>81</v>
      </c>
      <c r="F121" s="17">
        <v>9428.5</v>
      </c>
      <c r="G121" s="19" t="s">
        <v>95</v>
      </c>
      <c r="H121" s="20">
        <f>IF($A121="","",YEAR($A121))</f>
        <v>2026</v>
      </c>
      <c r="I121" s="20">
        <f>IF($A121="","",MONTH($A121))</f>
        <v>7</v>
      </c>
      <c r="J121" s="21">
        <f>IF(OR($A121="",$F121=""),"",IF($B121="Entrada",$F121,-$F121))</f>
        <v>9428.5</v>
      </c>
      <c r="K121" s="20" t="str">
        <f>IF($A121="","",IF(OR($B121="",$C121="",$F121="",$G121=""),"Preencher tudo",IF(IFERROR(INDEX(CatTipo,MATCH($C121,CatNome,0)),"")&lt;&gt;$B121,"Categoria x Tipo?","OK")))</f>
        <v>OK</v>
      </c>
    </row>
    <row r="122" spans="1:11">
      <c r="A122" s="18">
        <v>46218</v>
      </c>
      <c r="B122" s="19" t="s">
        <v>60</v>
      </c>
      <c r="C122" s="15" t="s">
        <v>69</v>
      </c>
      <c r="D122" s="15" t="s">
        <v>106</v>
      </c>
      <c r="E122" s="15" t="s">
        <v>81</v>
      </c>
      <c r="F122" s="17">
        <v>1306.07</v>
      </c>
      <c r="G122" s="19" t="s">
        <v>95</v>
      </c>
      <c r="H122" s="20">
        <f>IF($A122="","",YEAR($A122))</f>
        <v>2026</v>
      </c>
      <c r="I122" s="20">
        <f>IF($A122="","",MONTH($A122))</f>
        <v>7</v>
      </c>
      <c r="J122" s="21">
        <f>IF(OR($A122="",$F122=""),"",IF($B122="Entrada",$F122,-$F122))</f>
        <v>-1306.07</v>
      </c>
      <c r="K122" s="20" t="str">
        <f>IF($A122="","",IF(OR($B122="",$C122="",$F122="",$G122=""),"Preencher tudo",IF(IFERROR(INDEX(CatTipo,MATCH($C122,CatNome,0)),"")&lt;&gt;$B122,"Categoria x Tipo?","OK")))</f>
        <v>OK</v>
      </c>
    </row>
    <row r="123" spans="1:11">
      <c r="A123" s="18">
        <v>46222</v>
      </c>
      <c r="B123" s="19" t="s">
        <v>60</v>
      </c>
      <c r="C123" s="15" t="s">
        <v>59</v>
      </c>
      <c r="D123" s="15" t="s">
        <v>107</v>
      </c>
      <c r="E123" s="15" t="s">
        <v>81</v>
      </c>
      <c r="F123" s="17">
        <v>6120.36</v>
      </c>
      <c r="G123" s="19" t="s">
        <v>95</v>
      </c>
      <c r="H123" s="20">
        <f>IF($A123="","",YEAR($A123))</f>
        <v>2026</v>
      </c>
      <c r="I123" s="20">
        <f>IF($A123="","",MONTH($A123))</f>
        <v>7</v>
      </c>
      <c r="J123" s="21">
        <f>IF(OR($A123="",$F123=""),"",IF($B123="Entrada",$F123,-$F123))</f>
        <v>-6120.36</v>
      </c>
      <c r="K123" s="20" t="str">
        <f>IF($A123="","",IF(OR($B123="",$C123="",$F123="",$G123=""),"Preencher tudo",IF(IFERROR(INDEX(CatTipo,MATCH($C123,CatNome,0)),"")&lt;&gt;$B123,"Categoria x Tipo?","OK")))</f>
        <v>OK</v>
      </c>
    </row>
    <row r="124" spans="1:11">
      <c r="A124" s="18">
        <v>46223</v>
      </c>
      <c r="B124" s="19" t="s">
        <v>60</v>
      </c>
      <c r="C124" s="15" t="s">
        <v>62</v>
      </c>
      <c r="D124" s="15" t="s">
        <v>108</v>
      </c>
      <c r="E124" s="15" t="s">
        <v>81</v>
      </c>
      <c r="F124" s="17">
        <v>2426.27</v>
      </c>
      <c r="G124" s="19" t="s">
        <v>95</v>
      </c>
      <c r="H124" s="20">
        <f>IF($A124="","",YEAR($A124))</f>
        <v>2026</v>
      </c>
      <c r="I124" s="20">
        <f>IF($A124="","",MONTH($A124))</f>
        <v>7</v>
      </c>
      <c r="J124" s="21">
        <f>IF(OR($A124="",$F124=""),"",IF($B124="Entrada",$F124,-$F124))</f>
        <v>-2426.27</v>
      </c>
      <c r="K124" s="20" t="str">
        <f>IF($A124="","",IF(OR($B124="",$C124="",$F124="",$G124=""),"Preencher tudo",IF(IFERROR(INDEX(CatTipo,MATCH($C124,CatNome,0)),"")&lt;&gt;$B124,"Categoria x Tipo?","OK")))</f>
        <v>OK</v>
      </c>
    </row>
    <row r="125" spans="1:11">
      <c r="A125" s="18">
        <v>46223</v>
      </c>
      <c r="B125" s="19" t="s">
        <v>60</v>
      </c>
      <c r="C125" s="15" t="s">
        <v>71</v>
      </c>
      <c r="D125" s="15" t="s">
        <v>109</v>
      </c>
      <c r="E125" s="15" t="s">
        <v>81</v>
      </c>
      <c r="F125" s="17">
        <v>1350</v>
      </c>
      <c r="G125" s="19" t="s">
        <v>95</v>
      </c>
      <c r="H125" s="20">
        <f>IF($A125="","",YEAR($A125))</f>
        <v>2026</v>
      </c>
      <c r="I125" s="20">
        <f>IF($A125="","",MONTH($A125))</f>
        <v>7</v>
      </c>
      <c r="J125" s="21">
        <f>IF(OR($A125="",$F125=""),"",IF($B125="Entrada",$F125,-$F125))</f>
        <v>-1350</v>
      </c>
      <c r="K125" s="20" t="str">
        <f>IF($A125="","",IF(OR($B125="",$C125="",$F125="",$G125=""),"Preencher tudo",IF(IFERROR(INDEX(CatTipo,MATCH($C125,CatNome,0)),"")&lt;&gt;$B125,"Categoria x Tipo?","OK")))</f>
        <v>OK</v>
      </c>
    </row>
    <row r="126" spans="1:11">
      <c r="A126" s="18">
        <v>46224</v>
      </c>
      <c r="B126" s="19" t="s">
        <v>52</v>
      </c>
      <c r="C126" s="15" t="s">
        <v>51</v>
      </c>
      <c r="D126" s="15" t="s">
        <v>110</v>
      </c>
      <c r="E126" s="15" t="s">
        <v>80</v>
      </c>
      <c r="F126" s="17">
        <v>12739.24</v>
      </c>
      <c r="G126" s="19" t="s">
        <v>95</v>
      </c>
      <c r="H126" s="20">
        <f>IF($A126="","",YEAR($A126))</f>
        <v>2026</v>
      </c>
      <c r="I126" s="20">
        <f>IF($A126="","",MONTH($A126))</f>
        <v>7</v>
      </c>
      <c r="J126" s="21">
        <f>IF(OR($A126="",$F126=""),"",IF($B126="Entrada",$F126,-$F126))</f>
        <v>12739.24</v>
      </c>
      <c r="K126" s="20" t="str">
        <f>IF($A126="","",IF(OR($B126="",$C126="",$F126="",$G126=""),"Preencher tudo",IF(IFERROR(INDEX(CatTipo,MATCH($C126,CatNome,0)),"")&lt;&gt;$B126,"Categoria x Tipo?","OK")))</f>
        <v>OK</v>
      </c>
    </row>
    <row r="127" spans="1:11">
      <c r="A127" s="18">
        <v>46228</v>
      </c>
      <c r="B127" s="19" t="s">
        <v>60</v>
      </c>
      <c r="C127" s="15" t="s">
        <v>63</v>
      </c>
      <c r="D127" s="15" t="s">
        <v>111</v>
      </c>
      <c r="E127" s="15" t="s">
        <v>82</v>
      </c>
      <c r="F127" s="17">
        <v>1339.87</v>
      </c>
      <c r="G127" s="19" t="s">
        <v>95</v>
      </c>
      <c r="H127" s="20">
        <f>IF($A127="","",YEAR($A127))</f>
        <v>2026</v>
      </c>
      <c r="I127" s="20">
        <f>IF($A127="","",MONTH($A127))</f>
        <v>7</v>
      </c>
      <c r="J127" s="21">
        <f>IF(OR($A127="",$F127=""),"",IF($B127="Entrada",$F127,-$F127))</f>
        <v>-1339.87</v>
      </c>
      <c r="K127" s="20" t="str">
        <f>IF($A127="","",IF(OR($B127="",$C127="",$F127="",$G127=""),"Preencher tudo",IF(IFERROR(INDEX(CatTipo,MATCH($C127,CatNome,0)),"")&lt;&gt;$B127,"Categoria x Tipo?","OK")))</f>
        <v>OK</v>
      </c>
    </row>
    <row r="128" spans="1:11">
      <c r="A128" s="18">
        <v>46231</v>
      </c>
      <c r="B128" s="19" t="s">
        <v>52</v>
      </c>
      <c r="C128" s="15" t="s">
        <v>51</v>
      </c>
      <c r="D128" s="15" t="s">
        <v>112</v>
      </c>
      <c r="E128" s="15" t="s">
        <v>82</v>
      </c>
      <c r="F128" s="17">
        <v>12195.55</v>
      </c>
      <c r="G128" s="19" t="s">
        <v>95</v>
      </c>
      <c r="H128" s="20">
        <f>IF($A128="","",YEAR($A128))</f>
        <v>2026</v>
      </c>
      <c r="I128" s="20">
        <f>IF($A128="","",MONTH($A128))</f>
        <v>7</v>
      </c>
      <c r="J128" s="21">
        <f>IF(OR($A128="",$F128=""),"",IF($B128="Entrada",$F128,-$F128))</f>
        <v>12195.55</v>
      </c>
      <c r="K128" s="20" t="str">
        <f>IF($A128="","",IF(OR($B128="",$C128="",$F128="",$G128=""),"Preencher tudo",IF(IFERROR(INDEX(CatTipo,MATCH($C128,CatNome,0)),"")&lt;&gt;$B128,"Categoria x Tipo?","OK")))</f>
        <v>OK</v>
      </c>
    </row>
    <row r="129" spans="1:11">
      <c r="A129" s="18">
        <v>46239</v>
      </c>
      <c r="B129" s="19" t="s">
        <v>60</v>
      </c>
      <c r="C129" s="15" t="s">
        <v>59</v>
      </c>
      <c r="D129" s="15" t="s">
        <v>96</v>
      </c>
      <c r="E129" s="15" t="s">
        <v>81</v>
      </c>
      <c r="F129" s="17">
        <v>10134.46</v>
      </c>
      <c r="G129" s="19" t="s">
        <v>95</v>
      </c>
      <c r="H129" s="20">
        <f>IF($A129="","",YEAR($A129))</f>
        <v>2026</v>
      </c>
      <c r="I129" s="20">
        <f>IF($A129="","",MONTH($A129))</f>
        <v>8</v>
      </c>
      <c r="J129" s="21">
        <f>IF(OR($A129="",$F129=""),"",IF($B129="Entrada",$F129,-$F129))</f>
        <v>-10134.46</v>
      </c>
      <c r="K129" s="20" t="str">
        <f>IF($A129="","",IF(OR($B129="",$C129="",$F129="",$G129=""),"Preencher tudo",IF(IFERROR(INDEX(CatTipo,MATCH($C129,CatNome,0)),"")&lt;&gt;$B129,"Categoria x Tipo?","OK")))</f>
        <v>OK</v>
      </c>
    </row>
    <row r="130" spans="1:11">
      <c r="A130" s="18">
        <v>46239</v>
      </c>
      <c r="B130" s="19" t="s">
        <v>60</v>
      </c>
      <c r="C130" s="15" t="s">
        <v>66</v>
      </c>
      <c r="D130" s="15" t="s">
        <v>97</v>
      </c>
      <c r="E130" s="15" t="s">
        <v>81</v>
      </c>
      <c r="F130" s="17">
        <v>11800</v>
      </c>
      <c r="G130" s="19" t="s">
        <v>95</v>
      </c>
      <c r="H130" s="20">
        <f>IF($A130="","",YEAR($A130))</f>
        <v>2026</v>
      </c>
      <c r="I130" s="20">
        <f>IF($A130="","",MONTH($A130))</f>
        <v>8</v>
      </c>
      <c r="J130" s="21">
        <f>IF(OR($A130="",$F130=""),"",IF($B130="Entrada",$F130,-$F130))</f>
        <v>-11800</v>
      </c>
      <c r="K130" s="20" t="str">
        <f>IF($A130="","",IF(OR($B130="",$C130="",$F130="",$G130=""),"Preencher tudo",IF(IFERROR(INDEX(CatTipo,MATCH($C130,CatNome,0)),"")&lt;&gt;$B130,"Categoria x Tipo?","OK")))</f>
        <v>OK</v>
      </c>
    </row>
    <row r="131" spans="1:11">
      <c r="A131" s="18">
        <v>46240</v>
      </c>
      <c r="B131" s="19" t="s">
        <v>60</v>
      </c>
      <c r="C131" s="15" t="s">
        <v>72</v>
      </c>
      <c r="D131" s="15" t="s">
        <v>98</v>
      </c>
      <c r="E131" s="15" t="s">
        <v>81</v>
      </c>
      <c r="F131" s="17">
        <v>6000</v>
      </c>
      <c r="G131" s="19" t="s">
        <v>95</v>
      </c>
      <c r="H131" s="20">
        <f>IF($A131="","",YEAR($A131))</f>
        <v>2026</v>
      </c>
      <c r="I131" s="20">
        <f>IF($A131="","",MONTH($A131))</f>
        <v>8</v>
      </c>
      <c r="J131" s="21">
        <f>IF(OR($A131="",$F131=""),"",IF($B131="Entrada",$F131,-$F131))</f>
        <v>-6000</v>
      </c>
      <c r="K131" s="20" t="str">
        <f>IF($A131="","",IF(OR($B131="",$C131="",$F131="",$G131=""),"Preencher tudo",IF(IFERROR(INDEX(CatTipo,MATCH($C131,CatNome,0)),"")&lt;&gt;$B131,"Categoria x Tipo?","OK")))</f>
        <v>OK</v>
      </c>
    </row>
    <row r="132" spans="1:11">
      <c r="A132" s="18">
        <v>46241</v>
      </c>
      <c r="B132" s="19" t="s">
        <v>52</v>
      </c>
      <c r="C132" s="15" t="s">
        <v>51</v>
      </c>
      <c r="D132" s="15" t="s">
        <v>99</v>
      </c>
      <c r="E132" s="15" t="s">
        <v>81</v>
      </c>
      <c r="F132" s="17">
        <v>14117.21</v>
      </c>
      <c r="G132" s="19" t="s">
        <v>95</v>
      </c>
      <c r="H132" s="20">
        <f>IF($A132="","",YEAR($A132))</f>
        <v>2026</v>
      </c>
      <c r="I132" s="20">
        <f>IF($A132="","",MONTH($A132))</f>
        <v>8</v>
      </c>
      <c r="J132" s="21">
        <f>IF(OR($A132="",$F132=""),"",IF($B132="Entrada",$F132,-$F132))</f>
        <v>14117.21</v>
      </c>
      <c r="K132" s="20" t="str">
        <f>IF($A132="","",IF(OR($B132="",$C132="",$F132="",$G132=""),"Preencher tudo",IF(IFERROR(INDEX(CatTipo,MATCH($C132,CatNome,0)),"")&lt;&gt;$B132,"Categoria x Tipo?","OK")))</f>
        <v>OK</v>
      </c>
    </row>
    <row r="133" spans="1:11">
      <c r="A133" s="18">
        <v>46242</v>
      </c>
      <c r="B133" s="19" t="s">
        <v>60</v>
      </c>
      <c r="C133" s="15" t="s">
        <v>70</v>
      </c>
      <c r="D133" s="15" t="s">
        <v>100</v>
      </c>
      <c r="E133" s="15" t="s">
        <v>81</v>
      </c>
      <c r="F133" s="17">
        <v>1746.59</v>
      </c>
      <c r="G133" s="19" t="s">
        <v>95</v>
      </c>
      <c r="H133" s="20">
        <f>IF($A133="","",YEAR($A133))</f>
        <v>2026</v>
      </c>
      <c r="I133" s="20">
        <f>IF($A133="","",MONTH($A133))</f>
        <v>8</v>
      </c>
      <c r="J133" s="21">
        <f>IF(OR($A133="",$F133=""),"",IF($B133="Entrada",$F133,-$F133))</f>
        <v>-1746.59</v>
      </c>
      <c r="K133" s="20" t="str">
        <f>IF($A133="","",IF(OR($B133="",$C133="",$F133="",$G133=""),"Preencher tudo",IF(IFERROR(INDEX(CatTipo,MATCH($C133,CatNome,0)),"")&lt;&gt;$B133,"Categoria x Tipo?","OK")))</f>
        <v>OK</v>
      </c>
    </row>
    <row r="134" spans="1:11">
      <c r="A134" s="18">
        <v>46244</v>
      </c>
      <c r="B134" s="19" t="s">
        <v>52</v>
      </c>
      <c r="C134" s="15" t="s">
        <v>55</v>
      </c>
      <c r="D134" s="15" t="s">
        <v>114</v>
      </c>
      <c r="E134" s="15" t="s">
        <v>81</v>
      </c>
      <c r="F134" s="17">
        <v>2400</v>
      </c>
      <c r="G134" s="19" t="s">
        <v>95</v>
      </c>
      <c r="H134" s="20">
        <f>IF($A134="","",YEAR($A134))</f>
        <v>2026</v>
      </c>
      <c r="I134" s="20">
        <f>IF($A134="","",MONTH($A134))</f>
        <v>8</v>
      </c>
      <c r="J134" s="21">
        <f>IF(OR($A134="",$F134=""),"",IF($B134="Entrada",$F134,-$F134))</f>
        <v>2400</v>
      </c>
      <c r="K134" s="20" t="str">
        <f>IF($A134="","",IF(OR($B134="",$C134="",$F134="",$G134=""),"Preencher tudo",IF(IFERROR(INDEX(CatTipo,MATCH($C134,CatNome,0)),"")&lt;&gt;$B134,"Categoria x Tipo?","OK")))</f>
        <v>OK</v>
      </c>
    </row>
    <row r="135" spans="1:11">
      <c r="A135" s="18">
        <v>46244</v>
      </c>
      <c r="B135" s="19" t="s">
        <v>60</v>
      </c>
      <c r="C135" s="15" t="s">
        <v>68</v>
      </c>
      <c r="D135" s="15" t="s">
        <v>101</v>
      </c>
      <c r="E135" s="15" t="s">
        <v>81</v>
      </c>
      <c r="F135" s="17">
        <v>4200</v>
      </c>
      <c r="G135" s="19" t="s">
        <v>95</v>
      </c>
      <c r="H135" s="20">
        <f>IF($A135="","",YEAR($A135))</f>
        <v>2026</v>
      </c>
      <c r="I135" s="20">
        <f>IF($A135="","",MONTH($A135))</f>
        <v>8</v>
      </c>
      <c r="J135" s="21">
        <f>IF(OR($A135="",$F135=""),"",IF($B135="Entrada",$F135,-$F135))</f>
        <v>-4200</v>
      </c>
      <c r="K135" s="20" t="str">
        <f>IF($A135="","",IF(OR($B135="",$C135="",$F135="",$G135=""),"Preencher tudo",IF(IFERROR(INDEX(CatTipo,MATCH($C135,CatNome,0)),"")&lt;&gt;$B135,"Categoria x Tipo?","OK")))</f>
        <v>OK</v>
      </c>
    </row>
    <row r="136" spans="1:11">
      <c r="A136" s="18">
        <v>46244</v>
      </c>
      <c r="B136" s="19" t="s">
        <v>60</v>
      </c>
      <c r="C136" s="15" t="s">
        <v>74</v>
      </c>
      <c r="D136" s="15" t="s">
        <v>102</v>
      </c>
      <c r="E136" s="15" t="s">
        <v>81</v>
      </c>
      <c r="F136" s="17">
        <v>2100</v>
      </c>
      <c r="G136" s="19" t="s">
        <v>95</v>
      </c>
      <c r="H136" s="20">
        <f>IF($A136="","",YEAR($A136))</f>
        <v>2026</v>
      </c>
      <c r="I136" s="20">
        <f>IF($A136="","",MONTH($A136))</f>
        <v>8</v>
      </c>
      <c r="J136" s="21">
        <f>IF(OR($A136="",$F136=""),"",IF($B136="Entrada",$F136,-$F136))</f>
        <v>-2100</v>
      </c>
      <c r="K136" s="20" t="str">
        <f>IF($A136="","",IF(OR($B136="",$C136="",$F136="",$G136=""),"Preencher tudo",IF(IFERROR(INDEX(CatTipo,MATCH($C136,CatNome,0)),"")&lt;&gt;$B136,"Categoria x Tipo?","OK")))</f>
        <v>OK</v>
      </c>
    </row>
    <row r="137" spans="1:11">
      <c r="A137" s="18">
        <v>46246</v>
      </c>
      <c r="B137" s="19" t="s">
        <v>60</v>
      </c>
      <c r="C137" s="15" t="s">
        <v>64</v>
      </c>
      <c r="D137" s="15" t="s">
        <v>103</v>
      </c>
      <c r="E137" s="15" t="s">
        <v>81</v>
      </c>
      <c r="F137" s="17">
        <v>825.6799999999999</v>
      </c>
      <c r="G137" s="19" t="s">
        <v>95</v>
      </c>
      <c r="H137" s="20">
        <f>IF($A137="","",YEAR($A137))</f>
        <v>2026</v>
      </c>
      <c r="I137" s="20">
        <f>IF($A137="","",MONTH($A137))</f>
        <v>8</v>
      </c>
      <c r="J137" s="21">
        <f>IF(OR($A137="",$F137=""),"",IF($B137="Entrada",$F137,-$F137))</f>
        <v>-825.68</v>
      </c>
      <c r="K137" s="20" t="str">
        <f>IF($A137="","",IF(OR($B137="",$C137="",$F137="",$G137=""),"Preencher tudo",IF(IFERROR(INDEX(CatTipo,MATCH($C137,CatNome,0)),"")&lt;&gt;$B137,"Categoria x Tipo?","OK")))</f>
        <v>OK</v>
      </c>
    </row>
    <row r="138" spans="1:11">
      <c r="A138" s="18">
        <v>46248</v>
      </c>
      <c r="B138" s="19" t="s">
        <v>52</v>
      </c>
      <c r="C138" s="15" t="s">
        <v>51</v>
      </c>
      <c r="D138" s="15" t="s">
        <v>104</v>
      </c>
      <c r="E138" s="15" t="s">
        <v>81</v>
      </c>
      <c r="F138" s="17">
        <v>13626.39</v>
      </c>
      <c r="G138" s="19" t="s">
        <v>95</v>
      </c>
      <c r="H138" s="20">
        <f>IF($A138="","",YEAR($A138))</f>
        <v>2026</v>
      </c>
      <c r="I138" s="20">
        <f>IF($A138="","",MONTH($A138))</f>
        <v>8</v>
      </c>
      <c r="J138" s="21">
        <f>IF(OR($A138="",$F138=""),"",IF($B138="Entrada",$F138,-$F138))</f>
        <v>13626.39</v>
      </c>
      <c r="K138" s="20" t="str">
        <f>IF($A138="","",IF(OR($B138="",$C138="",$F138="",$G138=""),"Preencher tudo",IF(IFERROR(INDEX(CatTipo,MATCH($C138,CatNome,0)),"")&lt;&gt;$B138,"Categoria x Tipo?","OK")))</f>
        <v>OK</v>
      </c>
    </row>
    <row r="139" spans="1:11">
      <c r="A139" s="18">
        <v>46249</v>
      </c>
      <c r="B139" s="19" t="s">
        <v>52</v>
      </c>
      <c r="C139" s="15" t="s">
        <v>54</v>
      </c>
      <c r="D139" s="15" t="s">
        <v>105</v>
      </c>
      <c r="E139" s="15" t="s">
        <v>81</v>
      </c>
      <c r="F139" s="17">
        <v>8339.139999999999</v>
      </c>
      <c r="G139" s="19" t="s">
        <v>95</v>
      </c>
      <c r="H139" s="20">
        <f>IF($A139="","",YEAR($A139))</f>
        <v>2026</v>
      </c>
      <c r="I139" s="20">
        <f>IF($A139="","",MONTH($A139))</f>
        <v>8</v>
      </c>
      <c r="J139" s="21">
        <f>IF(OR($A139="",$F139=""),"",IF($B139="Entrada",$F139,-$F139))</f>
        <v>8339.14</v>
      </c>
      <c r="K139" s="20" t="str">
        <f>IF($A139="","",IF(OR($B139="",$C139="",$F139="",$G139=""),"Preencher tudo",IF(IFERROR(INDEX(CatTipo,MATCH($C139,CatNome,0)),"")&lt;&gt;$B139,"Categoria x Tipo?","OK")))</f>
        <v>OK</v>
      </c>
    </row>
    <row r="140" spans="1:11">
      <c r="A140" s="18">
        <v>46249</v>
      </c>
      <c r="B140" s="19" t="s">
        <v>60</v>
      </c>
      <c r="C140" s="15" t="s">
        <v>69</v>
      </c>
      <c r="D140" s="15" t="s">
        <v>106</v>
      </c>
      <c r="E140" s="15" t="s">
        <v>81</v>
      </c>
      <c r="F140" s="17">
        <v>1280.49</v>
      </c>
      <c r="G140" s="19" t="s">
        <v>95</v>
      </c>
      <c r="H140" s="20">
        <f>IF($A140="","",YEAR($A140))</f>
        <v>2026</v>
      </c>
      <c r="I140" s="20">
        <f>IF($A140="","",MONTH($A140))</f>
        <v>8</v>
      </c>
      <c r="J140" s="21">
        <f>IF(OR($A140="",$F140=""),"",IF($B140="Entrada",$F140,-$F140))</f>
        <v>-1280.49</v>
      </c>
      <c r="K140" s="20" t="str">
        <f>IF($A140="","",IF(OR($B140="",$C140="",$F140="",$G140=""),"Preencher tudo",IF(IFERROR(INDEX(CatTipo,MATCH($C140,CatNome,0)),"")&lt;&gt;$B140,"Categoria x Tipo?","OK")))</f>
        <v>OK</v>
      </c>
    </row>
    <row r="141" spans="1:11">
      <c r="A141" s="18">
        <v>46253</v>
      </c>
      <c r="B141" s="19" t="s">
        <v>60</v>
      </c>
      <c r="C141" s="15" t="s">
        <v>59</v>
      </c>
      <c r="D141" s="15" t="s">
        <v>107</v>
      </c>
      <c r="E141" s="15" t="s">
        <v>81</v>
      </c>
      <c r="F141" s="17">
        <v>6324.4</v>
      </c>
      <c r="G141" s="19" t="s">
        <v>95</v>
      </c>
      <c r="H141" s="20">
        <f>IF($A141="","",YEAR($A141))</f>
        <v>2026</v>
      </c>
      <c r="I141" s="20">
        <f>IF($A141="","",MONTH($A141))</f>
        <v>8</v>
      </c>
      <c r="J141" s="21">
        <f>IF(OR($A141="",$F141=""),"",IF($B141="Entrada",$F141,-$F141))</f>
        <v>-6324.4</v>
      </c>
      <c r="K141" s="20" t="str">
        <f>IF($A141="","",IF(OR($B141="",$C141="",$F141="",$G141=""),"Preencher tudo",IF(IFERROR(INDEX(CatTipo,MATCH($C141,CatNome,0)),"")&lt;&gt;$B141,"Categoria x Tipo?","OK")))</f>
        <v>OK</v>
      </c>
    </row>
    <row r="142" spans="1:11">
      <c r="A142" s="18">
        <v>46254</v>
      </c>
      <c r="B142" s="19" t="s">
        <v>60</v>
      </c>
      <c r="C142" s="15" t="s">
        <v>62</v>
      </c>
      <c r="D142" s="15" t="s">
        <v>108</v>
      </c>
      <c r="E142" s="15" t="s">
        <v>81</v>
      </c>
      <c r="F142" s="17">
        <v>2610.45</v>
      </c>
      <c r="G142" s="19" t="s">
        <v>95</v>
      </c>
      <c r="H142" s="20">
        <f>IF($A142="","",YEAR($A142))</f>
        <v>2026</v>
      </c>
      <c r="I142" s="20">
        <f>IF($A142="","",MONTH($A142))</f>
        <v>8</v>
      </c>
      <c r="J142" s="21">
        <f>IF(OR($A142="",$F142=""),"",IF($B142="Entrada",$F142,-$F142))</f>
        <v>-2610.45</v>
      </c>
      <c r="K142" s="20" t="str">
        <f>IF($A142="","",IF(OR($B142="",$C142="",$F142="",$G142=""),"Preencher tudo",IF(IFERROR(INDEX(CatTipo,MATCH($C142,CatNome,0)),"")&lt;&gt;$B142,"Categoria x Tipo?","OK")))</f>
        <v>OK</v>
      </c>
    </row>
    <row r="143" spans="1:11">
      <c r="A143" s="18">
        <v>46254</v>
      </c>
      <c r="B143" s="19" t="s">
        <v>60</v>
      </c>
      <c r="C143" s="15" t="s">
        <v>71</v>
      </c>
      <c r="D143" s="15" t="s">
        <v>109</v>
      </c>
      <c r="E143" s="15" t="s">
        <v>81</v>
      </c>
      <c r="F143" s="17">
        <v>1350</v>
      </c>
      <c r="G143" s="19" t="s">
        <v>95</v>
      </c>
      <c r="H143" s="20">
        <f>IF($A143="","",YEAR($A143))</f>
        <v>2026</v>
      </c>
      <c r="I143" s="20">
        <f>IF($A143="","",MONTH($A143))</f>
        <v>8</v>
      </c>
      <c r="J143" s="21">
        <f>IF(OR($A143="",$F143=""),"",IF($B143="Entrada",$F143,-$F143))</f>
        <v>-1350</v>
      </c>
      <c r="K143" s="20" t="str">
        <f>IF($A143="","",IF(OR($B143="",$C143="",$F143="",$G143=""),"Preencher tudo",IF(IFERROR(INDEX(CatTipo,MATCH($C143,CatNome,0)),"")&lt;&gt;$B143,"Categoria x Tipo?","OK")))</f>
        <v>OK</v>
      </c>
    </row>
    <row r="144" spans="1:11">
      <c r="A144" s="18">
        <v>46255</v>
      </c>
      <c r="B144" s="19" t="s">
        <v>52</v>
      </c>
      <c r="C144" s="15" t="s">
        <v>51</v>
      </c>
      <c r="D144" s="15" t="s">
        <v>110</v>
      </c>
      <c r="E144" s="15" t="s">
        <v>80</v>
      </c>
      <c r="F144" s="17">
        <v>14016.79</v>
      </c>
      <c r="G144" s="19" t="s">
        <v>95</v>
      </c>
      <c r="H144" s="20">
        <f>IF($A144="","",YEAR($A144))</f>
        <v>2026</v>
      </c>
      <c r="I144" s="20">
        <f>IF($A144="","",MONTH($A144))</f>
        <v>8</v>
      </c>
      <c r="J144" s="21">
        <f>IF(OR($A144="",$F144=""),"",IF($B144="Entrada",$F144,-$F144))</f>
        <v>14016.79</v>
      </c>
      <c r="K144" s="20" t="str">
        <f>IF($A144="","",IF(OR($B144="",$C144="",$F144="",$G144=""),"Preencher tudo",IF(IFERROR(INDEX(CatTipo,MATCH($C144,CatNome,0)),"")&lt;&gt;$B144,"Categoria x Tipo?","OK")))</f>
        <v>OK</v>
      </c>
    </row>
    <row r="145" spans="1:11">
      <c r="A145" s="18">
        <v>46259</v>
      </c>
      <c r="B145" s="19" t="s">
        <v>60</v>
      </c>
      <c r="C145" s="15" t="s">
        <v>63</v>
      </c>
      <c r="D145" s="15" t="s">
        <v>111</v>
      </c>
      <c r="E145" s="15" t="s">
        <v>82</v>
      </c>
      <c r="F145" s="17">
        <v>1565.88</v>
      </c>
      <c r="G145" s="19" t="s">
        <v>95</v>
      </c>
      <c r="H145" s="20">
        <f>IF($A145="","",YEAR($A145))</f>
        <v>2026</v>
      </c>
      <c r="I145" s="20">
        <f>IF($A145="","",MONTH($A145))</f>
        <v>8</v>
      </c>
      <c r="J145" s="21">
        <f>IF(OR($A145="",$F145=""),"",IF($B145="Entrada",$F145,-$F145))</f>
        <v>-1565.88</v>
      </c>
      <c r="K145" s="20" t="str">
        <f>IF($A145="","",IF(OR($B145="",$C145="",$F145="",$G145=""),"Preencher tudo",IF(IFERROR(INDEX(CatTipo,MATCH($C145,CatNome,0)),"")&lt;&gt;$B145,"Categoria x Tipo?","OK")))</f>
        <v>OK</v>
      </c>
    </row>
    <row r="146" spans="1:11">
      <c r="A146" s="18">
        <v>46262</v>
      </c>
      <c r="B146" s="19" t="s">
        <v>52</v>
      </c>
      <c r="C146" s="15" t="s">
        <v>51</v>
      </c>
      <c r="D146" s="15" t="s">
        <v>112</v>
      </c>
      <c r="E146" s="15" t="s">
        <v>81</v>
      </c>
      <c r="F146" s="17">
        <v>11324.8</v>
      </c>
      <c r="G146" s="19" t="s">
        <v>95</v>
      </c>
      <c r="H146" s="20">
        <f>IF($A146="","",YEAR($A146))</f>
        <v>2026</v>
      </c>
      <c r="I146" s="20">
        <f>IF($A146="","",MONTH($A146))</f>
        <v>8</v>
      </c>
      <c r="J146" s="21">
        <f>IF(OR($A146="",$F146=""),"",IF($B146="Entrada",$F146,-$F146))</f>
        <v>11324.8</v>
      </c>
      <c r="K146" s="20" t="str">
        <f>IF($A146="","",IF(OR($B146="",$C146="",$F146="",$G146=""),"Preencher tudo",IF(IFERROR(INDEX(CatTipo,MATCH($C146,CatNome,0)),"")&lt;&gt;$B146,"Categoria x Tipo?","OK")))</f>
        <v>OK</v>
      </c>
    </row>
    <row r="147" spans="1:11">
      <c r="A147" s="18">
        <v>46270</v>
      </c>
      <c r="B147" s="19" t="s">
        <v>60</v>
      </c>
      <c r="C147" s="15" t="s">
        <v>59</v>
      </c>
      <c r="D147" s="15" t="s">
        <v>96</v>
      </c>
      <c r="E147" s="15" t="s">
        <v>81</v>
      </c>
      <c r="F147" s="17">
        <v>11990.97</v>
      </c>
      <c r="G147" s="19" t="s">
        <v>95</v>
      </c>
      <c r="H147" s="20">
        <f>IF($A147="","",YEAR($A147))</f>
        <v>2026</v>
      </c>
      <c r="I147" s="20">
        <f>IF($A147="","",MONTH($A147))</f>
        <v>9</v>
      </c>
      <c r="J147" s="21">
        <f>IF(OR($A147="",$F147=""),"",IF($B147="Entrada",$F147,-$F147))</f>
        <v>-11990.97</v>
      </c>
      <c r="K147" s="20" t="str">
        <f>IF($A147="","",IF(OR($B147="",$C147="",$F147="",$G147=""),"Preencher tudo",IF(IFERROR(INDEX(CatTipo,MATCH($C147,CatNome,0)),"")&lt;&gt;$B147,"Categoria x Tipo?","OK")))</f>
        <v>OK</v>
      </c>
    </row>
    <row r="148" spans="1:11">
      <c r="A148" s="18">
        <v>46270</v>
      </c>
      <c r="B148" s="19" t="s">
        <v>60</v>
      </c>
      <c r="C148" s="15" t="s">
        <v>66</v>
      </c>
      <c r="D148" s="15" t="s">
        <v>97</v>
      </c>
      <c r="E148" s="15" t="s">
        <v>81</v>
      </c>
      <c r="F148" s="17">
        <v>11800</v>
      </c>
      <c r="G148" s="19" t="s">
        <v>95</v>
      </c>
      <c r="H148" s="20">
        <f>IF($A148="","",YEAR($A148))</f>
        <v>2026</v>
      </c>
      <c r="I148" s="20">
        <f>IF($A148="","",MONTH($A148))</f>
        <v>9</v>
      </c>
      <c r="J148" s="21">
        <f>IF(OR($A148="",$F148=""),"",IF($B148="Entrada",$F148,-$F148))</f>
        <v>-11800</v>
      </c>
      <c r="K148" s="20" t="str">
        <f>IF($A148="","",IF(OR($B148="",$C148="",$F148="",$G148=""),"Preencher tudo",IF(IFERROR(INDEX(CatTipo,MATCH($C148,CatNome,0)),"")&lt;&gt;$B148,"Categoria x Tipo?","OK")))</f>
        <v>OK</v>
      </c>
    </row>
    <row r="149" spans="1:11">
      <c r="A149" s="18">
        <v>46271</v>
      </c>
      <c r="B149" s="19" t="s">
        <v>60</v>
      </c>
      <c r="C149" s="15" t="s">
        <v>72</v>
      </c>
      <c r="D149" s="15" t="s">
        <v>98</v>
      </c>
      <c r="E149" s="15" t="s">
        <v>81</v>
      </c>
      <c r="F149" s="17">
        <v>6000</v>
      </c>
      <c r="G149" s="19" t="s">
        <v>95</v>
      </c>
      <c r="H149" s="20">
        <f>IF($A149="","",YEAR($A149))</f>
        <v>2026</v>
      </c>
      <c r="I149" s="20">
        <f>IF($A149="","",MONTH($A149))</f>
        <v>9</v>
      </c>
      <c r="J149" s="21">
        <f>IF(OR($A149="",$F149=""),"",IF($B149="Entrada",$F149,-$F149))</f>
        <v>-6000</v>
      </c>
      <c r="K149" s="20" t="str">
        <f>IF($A149="","",IF(OR($B149="",$C149="",$F149="",$G149=""),"Preencher tudo",IF(IFERROR(INDEX(CatTipo,MATCH($C149,CatNome,0)),"")&lt;&gt;$B149,"Categoria x Tipo?","OK")))</f>
        <v>OK</v>
      </c>
    </row>
    <row r="150" spans="1:11">
      <c r="A150" s="18">
        <v>46272</v>
      </c>
      <c r="B150" s="19" t="s">
        <v>52</v>
      </c>
      <c r="C150" s="15" t="s">
        <v>51</v>
      </c>
      <c r="D150" s="15" t="s">
        <v>99</v>
      </c>
      <c r="E150" s="15" t="s">
        <v>80</v>
      </c>
      <c r="F150" s="17">
        <v>14105.86</v>
      </c>
      <c r="G150" s="19" t="s">
        <v>95</v>
      </c>
      <c r="H150" s="20">
        <f>IF($A150="","",YEAR($A150))</f>
        <v>2026</v>
      </c>
      <c r="I150" s="20">
        <f>IF($A150="","",MONTH($A150))</f>
        <v>9</v>
      </c>
      <c r="J150" s="21">
        <f>IF(OR($A150="",$F150=""),"",IF($B150="Entrada",$F150,-$F150))</f>
        <v>14105.86</v>
      </c>
      <c r="K150" s="20" t="str">
        <f>IF($A150="","",IF(OR($B150="",$C150="",$F150="",$G150=""),"Preencher tudo",IF(IFERROR(INDEX(CatTipo,MATCH($C150,CatNome,0)),"")&lt;&gt;$B150,"Categoria x Tipo?","OK")))</f>
        <v>OK</v>
      </c>
    </row>
    <row r="151" spans="1:11">
      <c r="A151" s="18">
        <v>46273</v>
      </c>
      <c r="B151" s="19" t="s">
        <v>60</v>
      </c>
      <c r="C151" s="15" t="s">
        <v>70</v>
      </c>
      <c r="D151" s="15" t="s">
        <v>100</v>
      </c>
      <c r="E151" s="15" t="s">
        <v>81</v>
      </c>
      <c r="F151" s="17">
        <v>1691.99</v>
      </c>
      <c r="G151" s="19" t="s">
        <v>95</v>
      </c>
      <c r="H151" s="20">
        <f>IF($A151="","",YEAR($A151))</f>
        <v>2026</v>
      </c>
      <c r="I151" s="20">
        <f>IF($A151="","",MONTH($A151))</f>
        <v>9</v>
      </c>
      <c r="J151" s="21">
        <f>IF(OR($A151="",$F151=""),"",IF($B151="Entrada",$F151,-$F151))</f>
        <v>-1691.99</v>
      </c>
      <c r="K151" s="20" t="str">
        <f>IF($A151="","",IF(OR($B151="",$C151="",$F151="",$G151=""),"Preencher tudo",IF(IFERROR(INDEX(CatTipo,MATCH($C151,CatNome,0)),"")&lt;&gt;$B151,"Categoria x Tipo?","OK")))</f>
        <v>OK</v>
      </c>
    </row>
    <row r="152" spans="1:11">
      <c r="A152" s="18">
        <v>46275</v>
      </c>
      <c r="B152" s="19" t="s">
        <v>60</v>
      </c>
      <c r="C152" s="15" t="s">
        <v>68</v>
      </c>
      <c r="D152" s="15" t="s">
        <v>101</v>
      </c>
      <c r="E152" s="15" t="s">
        <v>81</v>
      </c>
      <c r="F152" s="17">
        <v>4200</v>
      </c>
      <c r="G152" s="19" t="s">
        <v>95</v>
      </c>
      <c r="H152" s="20">
        <f>IF($A152="","",YEAR($A152))</f>
        <v>2026</v>
      </c>
      <c r="I152" s="20">
        <f>IF($A152="","",MONTH($A152))</f>
        <v>9</v>
      </c>
      <c r="J152" s="21">
        <f>IF(OR($A152="",$F152=""),"",IF($B152="Entrada",$F152,-$F152))</f>
        <v>-4200</v>
      </c>
      <c r="K152" s="20" t="str">
        <f>IF($A152="","",IF(OR($B152="",$C152="",$F152="",$G152=""),"Preencher tudo",IF(IFERROR(INDEX(CatTipo,MATCH($C152,CatNome,0)),"")&lt;&gt;$B152,"Categoria x Tipo?","OK")))</f>
        <v>OK</v>
      </c>
    </row>
    <row r="153" spans="1:11">
      <c r="A153" s="18">
        <v>46275</v>
      </c>
      <c r="B153" s="19" t="s">
        <v>60</v>
      </c>
      <c r="C153" s="15" t="s">
        <v>74</v>
      </c>
      <c r="D153" s="15" t="s">
        <v>102</v>
      </c>
      <c r="E153" s="15" t="s">
        <v>81</v>
      </c>
      <c r="F153" s="17">
        <v>2100</v>
      </c>
      <c r="G153" s="19" t="s">
        <v>95</v>
      </c>
      <c r="H153" s="20">
        <f>IF($A153="","",YEAR($A153))</f>
        <v>2026</v>
      </c>
      <c r="I153" s="20">
        <f>IF($A153="","",MONTH($A153))</f>
        <v>9</v>
      </c>
      <c r="J153" s="21">
        <f>IF(OR($A153="",$F153=""),"",IF($B153="Entrada",$F153,-$F153))</f>
        <v>-2100</v>
      </c>
      <c r="K153" s="20" t="str">
        <f>IF($A153="","",IF(OR($B153="",$C153="",$F153="",$G153=""),"Preencher tudo",IF(IFERROR(INDEX(CatTipo,MATCH($C153,CatNome,0)),"")&lt;&gt;$B153,"Categoria x Tipo?","OK")))</f>
        <v>OK</v>
      </c>
    </row>
    <row r="154" spans="1:11">
      <c r="A154" s="18">
        <v>46277</v>
      </c>
      <c r="B154" s="19" t="s">
        <v>60</v>
      </c>
      <c r="C154" s="15" t="s">
        <v>64</v>
      </c>
      <c r="D154" s="15" t="s">
        <v>103</v>
      </c>
      <c r="E154" s="15" t="s">
        <v>81</v>
      </c>
      <c r="F154" s="17">
        <v>1387.31</v>
      </c>
      <c r="G154" s="19" t="s">
        <v>95</v>
      </c>
      <c r="H154" s="20">
        <f>IF($A154="","",YEAR($A154))</f>
        <v>2026</v>
      </c>
      <c r="I154" s="20">
        <f>IF($A154="","",MONTH($A154))</f>
        <v>9</v>
      </c>
      <c r="J154" s="21">
        <f>IF(OR($A154="",$F154=""),"",IF($B154="Entrada",$F154,-$F154))</f>
        <v>-1387.31</v>
      </c>
      <c r="K154" s="20" t="str">
        <f>IF($A154="","",IF(OR($B154="",$C154="",$F154="",$G154=""),"Preencher tudo",IF(IFERROR(INDEX(CatTipo,MATCH($C154,CatNome,0)),"")&lt;&gt;$B154,"Categoria x Tipo?","OK")))</f>
        <v>OK</v>
      </c>
    </row>
    <row r="155" spans="1:11">
      <c r="A155" s="18">
        <v>46279</v>
      </c>
      <c r="B155" s="19" t="s">
        <v>52</v>
      </c>
      <c r="C155" s="15" t="s">
        <v>51</v>
      </c>
      <c r="D155" s="15" t="s">
        <v>104</v>
      </c>
      <c r="E155" s="15" t="s">
        <v>82</v>
      </c>
      <c r="F155" s="17">
        <v>13929.39</v>
      </c>
      <c r="G155" s="19" t="s">
        <v>95</v>
      </c>
      <c r="H155" s="20">
        <f>IF($A155="","",YEAR($A155))</f>
        <v>2026</v>
      </c>
      <c r="I155" s="20">
        <f>IF($A155="","",MONTH($A155))</f>
        <v>9</v>
      </c>
      <c r="J155" s="21">
        <f>IF(OR($A155="",$F155=""),"",IF($B155="Entrada",$F155,-$F155))</f>
        <v>13929.39</v>
      </c>
      <c r="K155" s="20" t="str">
        <f>IF($A155="","",IF(OR($B155="",$C155="",$F155="",$G155=""),"Preencher tudo",IF(IFERROR(INDEX(CatTipo,MATCH($C155,CatNome,0)),"")&lt;&gt;$B155,"Categoria x Tipo?","OK")))</f>
        <v>OK</v>
      </c>
    </row>
    <row r="156" spans="1:11">
      <c r="A156" s="18">
        <v>46280</v>
      </c>
      <c r="B156" s="19" t="s">
        <v>52</v>
      </c>
      <c r="C156" s="15" t="s">
        <v>54</v>
      </c>
      <c r="D156" s="15" t="s">
        <v>105</v>
      </c>
      <c r="E156" s="15" t="s">
        <v>81</v>
      </c>
      <c r="F156" s="17">
        <v>9750.690000000001</v>
      </c>
      <c r="G156" s="19" t="s">
        <v>95</v>
      </c>
      <c r="H156" s="20">
        <f>IF($A156="","",YEAR($A156))</f>
        <v>2026</v>
      </c>
      <c r="I156" s="20">
        <f>IF($A156="","",MONTH($A156))</f>
        <v>9</v>
      </c>
      <c r="J156" s="21">
        <f>IF(OR($A156="",$F156=""),"",IF($B156="Entrada",$F156,-$F156))</f>
        <v>9750.69</v>
      </c>
      <c r="K156" s="20" t="str">
        <f>IF($A156="","",IF(OR($B156="",$C156="",$F156="",$G156=""),"Preencher tudo",IF(IFERROR(INDEX(CatTipo,MATCH($C156,CatNome,0)),"")&lt;&gt;$B156,"Categoria x Tipo?","OK")))</f>
        <v>OK</v>
      </c>
    </row>
    <row r="157" spans="1:11">
      <c r="A157" s="18">
        <v>46280</v>
      </c>
      <c r="B157" s="19" t="s">
        <v>60</v>
      </c>
      <c r="C157" s="15" t="s">
        <v>69</v>
      </c>
      <c r="D157" s="15" t="s">
        <v>106</v>
      </c>
      <c r="E157" s="15" t="s">
        <v>81</v>
      </c>
      <c r="F157" s="17">
        <v>1479.97</v>
      </c>
      <c r="G157" s="19" t="s">
        <v>95</v>
      </c>
      <c r="H157" s="20">
        <f>IF($A157="","",YEAR($A157))</f>
        <v>2026</v>
      </c>
      <c r="I157" s="20">
        <f>IF($A157="","",MONTH($A157))</f>
        <v>9</v>
      </c>
      <c r="J157" s="21">
        <f>IF(OR($A157="",$F157=""),"",IF($B157="Entrada",$F157,-$F157))</f>
        <v>-1479.97</v>
      </c>
      <c r="K157" s="20" t="str">
        <f>IF($A157="","",IF(OR($B157="",$C157="",$F157="",$G157=""),"Preencher tudo",IF(IFERROR(INDEX(CatTipo,MATCH($C157,CatNome,0)),"")&lt;&gt;$B157,"Categoria x Tipo?","OK")))</f>
        <v>OK</v>
      </c>
    </row>
    <row r="158" spans="1:11">
      <c r="A158" s="18">
        <v>46284</v>
      </c>
      <c r="B158" s="19" t="s">
        <v>60</v>
      </c>
      <c r="C158" s="15" t="s">
        <v>59</v>
      </c>
      <c r="D158" s="15" t="s">
        <v>107</v>
      </c>
      <c r="E158" s="15" t="s">
        <v>81</v>
      </c>
      <c r="F158" s="17">
        <v>4672</v>
      </c>
      <c r="G158" s="19" t="s">
        <v>95</v>
      </c>
      <c r="H158" s="20">
        <f>IF($A158="","",YEAR($A158))</f>
        <v>2026</v>
      </c>
      <c r="I158" s="20">
        <f>IF($A158="","",MONTH($A158))</f>
        <v>9</v>
      </c>
      <c r="J158" s="21">
        <f>IF(OR($A158="",$F158=""),"",IF($B158="Entrada",$F158,-$F158))</f>
        <v>-4672</v>
      </c>
      <c r="K158" s="20" t="str">
        <f>IF($A158="","",IF(OR($B158="",$C158="",$F158="",$G158=""),"Preencher tudo",IF(IFERROR(INDEX(CatTipo,MATCH($C158,CatNome,0)),"")&lt;&gt;$B158,"Categoria x Tipo?","OK")))</f>
        <v>OK</v>
      </c>
    </row>
    <row r="159" spans="1:11">
      <c r="A159" s="18">
        <v>46285</v>
      </c>
      <c r="B159" s="19" t="s">
        <v>60</v>
      </c>
      <c r="C159" s="15" t="s">
        <v>62</v>
      </c>
      <c r="D159" s="15" t="s">
        <v>108</v>
      </c>
      <c r="E159" s="15" t="s">
        <v>81</v>
      </c>
      <c r="F159" s="17">
        <v>2856.84</v>
      </c>
      <c r="G159" s="19" t="s">
        <v>95</v>
      </c>
      <c r="H159" s="20">
        <f>IF($A159="","",YEAR($A159))</f>
        <v>2026</v>
      </c>
      <c r="I159" s="20">
        <f>IF($A159="","",MONTH($A159))</f>
        <v>9</v>
      </c>
      <c r="J159" s="21">
        <f>IF(OR($A159="",$F159=""),"",IF($B159="Entrada",$F159,-$F159))</f>
        <v>-2856.84</v>
      </c>
      <c r="K159" s="20" t="str">
        <f>IF($A159="","",IF(OR($B159="",$C159="",$F159="",$G159=""),"Preencher tudo",IF(IFERROR(INDEX(CatTipo,MATCH($C159,CatNome,0)),"")&lt;&gt;$B159,"Categoria x Tipo?","OK")))</f>
        <v>OK</v>
      </c>
    </row>
    <row r="160" spans="1:11">
      <c r="A160" s="18">
        <v>46285</v>
      </c>
      <c r="B160" s="19" t="s">
        <v>60</v>
      </c>
      <c r="C160" s="15" t="s">
        <v>71</v>
      </c>
      <c r="D160" s="15" t="s">
        <v>109</v>
      </c>
      <c r="E160" s="15" t="s">
        <v>81</v>
      </c>
      <c r="F160" s="17">
        <v>1350</v>
      </c>
      <c r="G160" s="19" t="s">
        <v>95</v>
      </c>
      <c r="H160" s="20">
        <f>IF($A160="","",YEAR($A160))</f>
        <v>2026</v>
      </c>
      <c r="I160" s="20">
        <f>IF($A160="","",MONTH($A160))</f>
        <v>9</v>
      </c>
      <c r="J160" s="21">
        <f>IF(OR($A160="",$F160=""),"",IF($B160="Entrada",$F160,-$F160))</f>
        <v>-1350</v>
      </c>
      <c r="K160" s="20" t="str">
        <f>IF($A160="","",IF(OR($B160="",$C160="",$F160="",$G160=""),"Preencher tudo",IF(IFERROR(INDEX(CatTipo,MATCH($C160,CatNome,0)),"")&lt;&gt;$B160,"Categoria x Tipo?","OK")))</f>
        <v>OK</v>
      </c>
    </row>
    <row r="161" spans="1:11">
      <c r="A161" s="18">
        <v>46286</v>
      </c>
      <c r="B161" s="19" t="s">
        <v>52</v>
      </c>
      <c r="C161" s="15" t="s">
        <v>51</v>
      </c>
      <c r="D161" s="15" t="s">
        <v>110</v>
      </c>
      <c r="E161" s="15" t="s">
        <v>82</v>
      </c>
      <c r="F161" s="17">
        <v>11140.67</v>
      </c>
      <c r="G161" s="19" t="s">
        <v>95</v>
      </c>
      <c r="H161" s="20">
        <f>IF($A161="","",YEAR($A161))</f>
        <v>2026</v>
      </c>
      <c r="I161" s="20">
        <f>IF($A161="","",MONTH($A161))</f>
        <v>9</v>
      </c>
      <c r="J161" s="21">
        <f>IF(OR($A161="",$F161=""),"",IF($B161="Entrada",$F161,-$F161))</f>
        <v>11140.67</v>
      </c>
      <c r="K161" s="20" t="str">
        <f>IF($A161="","",IF(OR($B161="",$C161="",$F161="",$G161=""),"Preencher tudo",IF(IFERROR(INDEX(CatTipo,MATCH($C161,CatNome,0)),"")&lt;&gt;$B161,"Categoria x Tipo?","OK")))</f>
        <v>OK</v>
      </c>
    </row>
    <row r="162" spans="1:11">
      <c r="A162" s="18">
        <v>46287</v>
      </c>
      <c r="B162" s="19" t="s">
        <v>60</v>
      </c>
      <c r="C162" s="15" t="s">
        <v>65</v>
      </c>
      <c r="D162" s="15" t="s">
        <v>113</v>
      </c>
      <c r="E162" s="15" t="s">
        <v>80</v>
      </c>
      <c r="F162" s="17">
        <v>1464.57</v>
      </c>
      <c r="G162" s="19" t="s">
        <v>95</v>
      </c>
      <c r="H162" s="20">
        <f>IF($A162="","",YEAR($A162))</f>
        <v>2026</v>
      </c>
      <c r="I162" s="20">
        <f>IF($A162="","",MONTH($A162))</f>
        <v>9</v>
      </c>
      <c r="J162" s="21">
        <f>IF(OR($A162="",$F162=""),"",IF($B162="Entrada",$F162,-$F162))</f>
        <v>-1464.57</v>
      </c>
      <c r="K162" s="20" t="str">
        <f>IF($A162="","",IF(OR($B162="",$C162="",$F162="",$G162=""),"Preencher tudo",IF(IFERROR(INDEX(CatTipo,MATCH($C162,CatNome,0)),"")&lt;&gt;$B162,"Categoria x Tipo?","OK")))</f>
        <v>OK</v>
      </c>
    </row>
    <row r="163" spans="1:11">
      <c r="A163" s="18">
        <v>46290</v>
      </c>
      <c r="B163" s="19" t="s">
        <v>60</v>
      </c>
      <c r="C163" s="15" t="s">
        <v>63</v>
      </c>
      <c r="D163" s="15" t="s">
        <v>111</v>
      </c>
      <c r="E163" s="15" t="s">
        <v>82</v>
      </c>
      <c r="F163" s="17">
        <v>1399.82</v>
      </c>
      <c r="G163" s="19" t="s">
        <v>95</v>
      </c>
      <c r="H163" s="20">
        <f>IF($A163="","",YEAR($A163))</f>
        <v>2026</v>
      </c>
      <c r="I163" s="20">
        <f>IF($A163="","",MONTH($A163))</f>
        <v>9</v>
      </c>
      <c r="J163" s="21">
        <f>IF(OR($A163="",$F163=""),"",IF($B163="Entrada",$F163,-$F163))</f>
        <v>-1399.82</v>
      </c>
      <c r="K163" s="20" t="str">
        <f>IF($A163="","",IF(OR($B163="",$C163="",$F163="",$G163=""),"Preencher tudo",IF(IFERROR(INDEX(CatTipo,MATCH($C163,CatNome,0)),"")&lt;&gt;$B163,"Categoria x Tipo?","OK")))</f>
        <v>OK</v>
      </c>
    </row>
    <row r="164" spans="1:11">
      <c r="A164" s="18">
        <v>46293</v>
      </c>
      <c r="B164" s="19" t="s">
        <v>52</v>
      </c>
      <c r="C164" s="15" t="s">
        <v>51</v>
      </c>
      <c r="D164" s="15" t="s">
        <v>112</v>
      </c>
      <c r="E164" s="15" t="s">
        <v>81</v>
      </c>
      <c r="F164" s="17">
        <v>13755.69</v>
      </c>
      <c r="G164" s="19" t="s">
        <v>95</v>
      </c>
      <c r="H164" s="20">
        <f>IF($A164="","",YEAR($A164))</f>
        <v>2026</v>
      </c>
      <c r="I164" s="20">
        <f>IF($A164="","",MONTH($A164))</f>
        <v>9</v>
      </c>
      <c r="J164" s="21">
        <f>IF(OR($A164="",$F164=""),"",IF($B164="Entrada",$F164,-$F164))</f>
        <v>13755.69</v>
      </c>
      <c r="K164" s="20" t="str">
        <f>IF($A164="","",IF(OR($B164="",$C164="",$F164="",$G164=""),"Preencher tudo",IF(IFERROR(INDEX(CatTipo,MATCH($C164,CatNome,0)),"")&lt;&gt;$B164,"Categoria x Tipo?","OK")))</f>
        <v>OK</v>
      </c>
    </row>
    <row r="165" spans="1:11">
      <c r="A165" s="18">
        <v>46300</v>
      </c>
      <c r="B165" s="19" t="s">
        <v>60</v>
      </c>
      <c r="C165" s="15" t="s">
        <v>59</v>
      </c>
      <c r="D165" s="15" t="s">
        <v>96</v>
      </c>
      <c r="E165" s="15" t="s">
        <v>81</v>
      </c>
      <c r="F165" s="17">
        <v>10672.42</v>
      </c>
      <c r="G165" s="19" t="s">
        <v>95</v>
      </c>
      <c r="H165" s="20">
        <f>IF($A165="","",YEAR($A165))</f>
        <v>2026</v>
      </c>
      <c r="I165" s="20">
        <f>IF($A165="","",MONTH($A165))</f>
        <v>10</v>
      </c>
      <c r="J165" s="21">
        <f>IF(OR($A165="",$F165=""),"",IF($B165="Entrada",$F165,-$F165))</f>
        <v>-10672.42</v>
      </c>
      <c r="K165" s="20" t="str">
        <f>IF($A165="","",IF(OR($B165="",$C165="",$F165="",$G165=""),"Preencher tudo",IF(IFERROR(INDEX(CatTipo,MATCH($C165,CatNome,0)),"")&lt;&gt;$B165,"Categoria x Tipo?","OK")))</f>
        <v>OK</v>
      </c>
    </row>
    <row r="166" spans="1:11">
      <c r="A166" s="18">
        <v>46300</v>
      </c>
      <c r="B166" s="19" t="s">
        <v>60</v>
      </c>
      <c r="C166" s="15" t="s">
        <v>66</v>
      </c>
      <c r="D166" s="15" t="s">
        <v>97</v>
      </c>
      <c r="E166" s="15" t="s">
        <v>81</v>
      </c>
      <c r="F166" s="17">
        <v>11800</v>
      </c>
      <c r="G166" s="19" t="s">
        <v>95</v>
      </c>
      <c r="H166" s="20">
        <f>IF($A166="","",YEAR($A166))</f>
        <v>2026</v>
      </c>
      <c r="I166" s="20">
        <f>IF($A166="","",MONTH($A166))</f>
        <v>10</v>
      </c>
      <c r="J166" s="21">
        <f>IF(OR($A166="",$F166=""),"",IF($B166="Entrada",$F166,-$F166))</f>
        <v>-11800</v>
      </c>
      <c r="K166" s="20" t="str">
        <f>IF($A166="","",IF(OR($B166="",$C166="",$F166="",$G166=""),"Preencher tudo",IF(IFERROR(INDEX(CatTipo,MATCH($C166,CatNome,0)),"")&lt;&gt;$B166,"Categoria x Tipo?","OK")))</f>
        <v>OK</v>
      </c>
    </row>
    <row r="167" spans="1:11">
      <c r="A167" s="18">
        <v>46301</v>
      </c>
      <c r="B167" s="19" t="s">
        <v>60</v>
      </c>
      <c r="C167" s="15" t="s">
        <v>72</v>
      </c>
      <c r="D167" s="15" t="s">
        <v>98</v>
      </c>
      <c r="E167" s="15" t="s">
        <v>81</v>
      </c>
      <c r="F167" s="17">
        <v>6000</v>
      </c>
      <c r="G167" s="19" t="s">
        <v>95</v>
      </c>
      <c r="H167" s="20">
        <f>IF($A167="","",YEAR($A167))</f>
        <v>2026</v>
      </c>
      <c r="I167" s="20">
        <f>IF($A167="","",MONTH($A167))</f>
        <v>10</v>
      </c>
      <c r="J167" s="21">
        <f>IF(OR($A167="",$F167=""),"",IF($B167="Entrada",$F167,-$F167))</f>
        <v>-6000</v>
      </c>
      <c r="K167" s="20" t="str">
        <f>IF($A167="","",IF(OR($B167="",$C167="",$F167="",$G167=""),"Preencher tudo",IF(IFERROR(INDEX(CatTipo,MATCH($C167,CatNome,0)),"")&lt;&gt;$B167,"Categoria x Tipo?","OK")))</f>
        <v>OK</v>
      </c>
    </row>
    <row r="168" spans="1:11">
      <c r="A168" s="18">
        <v>46302</v>
      </c>
      <c r="B168" s="19" t="s">
        <v>52</v>
      </c>
      <c r="C168" s="15" t="s">
        <v>51</v>
      </c>
      <c r="D168" s="15" t="s">
        <v>99</v>
      </c>
      <c r="E168" s="15" t="s">
        <v>82</v>
      </c>
      <c r="F168" s="17">
        <v>11498.85</v>
      </c>
      <c r="G168" s="19" t="s">
        <v>95</v>
      </c>
      <c r="H168" s="20">
        <f>IF($A168="","",YEAR($A168))</f>
        <v>2026</v>
      </c>
      <c r="I168" s="20">
        <f>IF($A168="","",MONTH($A168))</f>
        <v>10</v>
      </c>
      <c r="J168" s="21">
        <f>IF(OR($A168="",$F168=""),"",IF($B168="Entrada",$F168,-$F168))</f>
        <v>11498.85</v>
      </c>
      <c r="K168" s="20" t="str">
        <f>IF($A168="","",IF(OR($B168="",$C168="",$F168="",$G168=""),"Preencher tudo",IF(IFERROR(INDEX(CatTipo,MATCH($C168,CatNome,0)),"")&lt;&gt;$B168,"Categoria x Tipo?","OK")))</f>
        <v>OK</v>
      </c>
    </row>
    <row r="169" spans="1:11">
      <c r="A169" s="18">
        <v>46303</v>
      </c>
      <c r="B169" s="19" t="s">
        <v>60</v>
      </c>
      <c r="C169" s="15" t="s">
        <v>70</v>
      </c>
      <c r="D169" s="15" t="s">
        <v>100</v>
      </c>
      <c r="E169" s="15" t="s">
        <v>81</v>
      </c>
      <c r="F169" s="17">
        <v>1348.54</v>
      </c>
      <c r="G169" s="19" t="s">
        <v>95</v>
      </c>
      <c r="H169" s="20">
        <f>IF($A169="","",YEAR($A169))</f>
        <v>2026</v>
      </c>
      <c r="I169" s="20">
        <f>IF($A169="","",MONTH($A169))</f>
        <v>10</v>
      </c>
      <c r="J169" s="21">
        <f>IF(OR($A169="",$F169=""),"",IF($B169="Entrada",$F169,-$F169))</f>
        <v>-1348.54</v>
      </c>
      <c r="K169" s="20" t="str">
        <f>IF($A169="","",IF(OR($B169="",$C169="",$F169="",$G169=""),"Preencher tudo",IF(IFERROR(INDEX(CatTipo,MATCH($C169,CatNome,0)),"")&lt;&gt;$B169,"Categoria x Tipo?","OK")))</f>
        <v>OK</v>
      </c>
    </row>
    <row r="170" spans="1:11">
      <c r="A170" s="18">
        <v>46305</v>
      </c>
      <c r="B170" s="19" t="s">
        <v>60</v>
      </c>
      <c r="C170" s="15" t="s">
        <v>68</v>
      </c>
      <c r="D170" s="15" t="s">
        <v>101</v>
      </c>
      <c r="E170" s="15" t="s">
        <v>81</v>
      </c>
      <c r="F170" s="17">
        <v>4200</v>
      </c>
      <c r="G170" s="19" t="s">
        <v>116</v>
      </c>
      <c r="H170" s="20">
        <f>IF($A170="","",YEAR($A170))</f>
        <v>2026</v>
      </c>
      <c r="I170" s="20">
        <f>IF($A170="","",MONTH($A170))</f>
        <v>10</v>
      </c>
      <c r="J170" s="21">
        <f>IF(OR($A170="",$F170=""),"",IF($B170="Entrada",$F170,-$F170))</f>
        <v>-4200</v>
      </c>
      <c r="K170" s="20" t="str">
        <f>IF($A170="","",IF(OR($B170="",$C170="",$F170="",$G170=""),"Preencher tudo",IF(IFERROR(INDEX(CatTipo,MATCH($C170,CatNome,0)),"")&lt;&gt;$B170,"Categoria x Tipo?","OK")))</f>
        <v>OK</v>
      </c>
    </row>
    <row r="171" spans="1:11">
      <c r="A171" s="18">
        <v>46305</v>
      </c>
      <c r="B171" s="19" t="s">
        <v>60</v>
      </c>
      <c r="C171" s="15" t="s">
        <v>74</v>
      </c>
      <c r="D171" s="15" t="s">
        <v>102</v>
      </c>
      <c r="E171" s="15" t="s">
        <v>81</v>
      </c>
      <c r="F171" s="17">
        <v>2100</v>
      </c>
      <c r="G171" s="19" t="s">
        <v>116</v>
      </c>
      <c r="H171" s="20">
        <f>IF($A171="","",YEAR($A171))</f>
        <v>2026</v>
      </c>
      <c r="I171" s="20">
        <f>IF($A171="","",MONTH($A171))</f>
        <v>10</v>
      </c>
      <c r="J171" s="21">
        <f>IF(OR($A171="",$F171=""),"",IF($B171="Entrada",$F171,-$F171))</f>
        <v>-2100</v>
      </c>
      <c r="K171" s="20" t="str">
        <f>IF($A171="","",IF(OR($B171="",$C171="",$F171="",$G171=""),"Preencher tudo",IF(IFERROR(INDEX(CatTipo,MATCH($C171,CatNome,0)),"")&lt;&gt;$B171,"Categoria x Tipo?","OK")))</f>
        <v>OK</v>
      </c>
    </row>
    <row r="172" spans="1:11">
      <c r="A172" s="18">
        <v>46307</v>
      </c>
      <c r="B172" s="19" t="s">
        <v>60</v>
      </c>
      <c r="C172" s="15" t="s">
        <v>64</v>
      </c>
      <c r="D172" s="15" t="s">
        <v>103</v>
      </c>
      <c r="E172" s="15" t="s">
        <v>81</v>
      </c>
      <c r="F172" s="17">
        <v>1213.7</v>
      </c>
      <c r="G172" s="19" t="s">
        <v>116</v>
      </c>
      <c r="H172" s="20">
        <f>IF($A172="","",YEAR($A172))</f>
        <v>2026</v>
      </c>
      <c r="I172" s="20">
        <f>IF($A172="","",MONTH($A172))</f>
        <v>10</v>
      </c>
      <c r="J172" s="21">
        <f>IF(OR($A172="",$F172=""),"",IF($B172="Entrada",$F172,-$F172))</f>
        <v>-1213.7</v>
      </c>
      <c r="K172" s="20" t="str">
        <f>IF($A172="","",IF(OR($B172="",$C172="",$F172="",$G172=""),"Preencher tudo",IF(IFERROR(INDEX(CatTipo,MATCH($C172,CatNome,0)),"")&lt;&gt;$B172,"Categoria x Tipo?","OK")))</f>
        <v>OK</v>
      </c>
    </row>
    <row r="173" spans="1:11">
      <c r="A173" s="18">
        <v>46309</v>
      </c>
      <c r="B173" s="19" t="s">
        <v>52</v>
      </c>
      <c r="C173" s="15" t="s">
        <v>51</v>
      </c>
      <c r="D173" s="15" t="s">
        <v>104</v>
      </c>
      <c r="E173" s="15" t="s">
        <v>82</v>
      </c>
      <c r="F173" s="17">
        <v>12937.54</v>
      </c>
      <c r="G173" s="19" t="s">
        <v>116</v>
      </c>
      <c r="H173" s="20">
        <f>IF($A173="","",YEAR($A173))</f>
        <v>2026</v>
      </c>
      <c r="I173" s="20">
        <f>IF($A173="","",MONTH($A173))</f>
        <v>10</v>
      </c>
      <c r="J173" s="21">
        <f>IF(OR($A173="",$F173=""),"",IF($B173="Entrada",$F173,-$F173))</f>
        <v>12937.54</v>
      </c>
      <c r="K173" s="20" t="str">
        <f>IF($A173="","",IF(OR($B173="",$C173="",$F173="",$G173=""),"Preencher tudo",IF(IFERROR(INDEX(CatTipo,MATCH($C173,CatNome,0)),"")&lt;&gt;$B173,"Categoria x Tipo?","OK")))</f>
        <v>OK</v>
      </c>
    </row>
    <row r="174" spans="1:11">
      <c r="A174" s="18">
        <v>46310</v>
      </c>
      <c r="B174" s="19" t="s">
        <v>52</v>
      </c>
      <c r="C174" s="15" t="s">
        <v>54</v>
      </c>
      <c r="D174" s="15" t="s">
        <v>105</v>
      </c>
      <c r="E174" s="15" t="s">
        <v>81</v>
      </c>
      <c r="F174" s="17">
        <v>9060.469999999999</v>
      </c>
      <c r="G174" s="19" t="s">
        <v>116</v>
      </c>
      <c r="H174" s="20">
        <f>IF($A174="","",YEAR($A174))</f>
        <v>2026</v>
      </c>
      <c r="I174" s="20">
        <f>IF($A174="","",MONTH($A174))</f>
        <v>10</v>
      </c>
      <c r="J174" s="21">
        <f>IF(OR($A174="",$F174=""),"",IF($B174="Entrada",$F174,-$F174))</f>
        <v>9060.47</v>
      </c>
      <c r="K174" s="20" t="str">
        <f>IF($A174="","",IF(OR($B174="",$C174="",$F174="",$G174=""),"Preencher tudo",IF(IFERROR(INDEX(CatTipo,MATCH($C174,CatNome,0)),"")&lt;&gt;$B174,"Categoria x Tipo?","OK")))</f>
        <v>OK</v>
      </c>
    </row>
    <row r="175" spans="1:11">
      <c r="A175" s="18">
        <v>46310</v>
      </c>
      <c r="B175" s="19" t="s">
        <v>60</v>
      </c>
      <c r="C175" s="15" t="s">
        <v>69</v>
      </c>
      <c r="D175" s="15" t="s">
        <v>106</v>
      </c>
      <c r="E175" s="15" t="s">
        <v>81</v>
      </c>
      <c r="F175" s="17">
        <v>1256.16</v>
      </c>
      <c r="G175" s="19" t="s">
        <v>116</v>
      </c>
      <c r="H175" s="20">
        <f>IF($A175="","",YEAR($A175))</f>
        <v>2026</v>
      </c>
      <c r="I175" s="20">
        <f>IF($A175="","",MONTH($A175))</f>
        <v>10</v>
      </c>
      <c r="J175" s="21">
        <f>IF(OR($A175="",$F175=""),"",IF($B175="Entrada",$F175,-$F175))</f>
        <v>-1256.16</v>
      </c>
      <c r="K175" s="20" t="str">
        <f>IF($A175="","",IF(OR($B175="",$C175="",$F175="",$G175=""),"Preencher tudo",IF(IFERROR(INDEX(CatTipo,MATCH($C175,CatNome,0)),"")&lt;&gt;$B175,"Categoria x Tipo?","OK")))</f>
        <v>OK</v>
      </c>
    </row>
    <row r="176" spans="1:11">
      <c r="A176" s="18">
        <v>46314</v>
      </c>
      <c r="B176" s="19" t="s">
        <v>60</v>
      </c>
      <c r="C176" s="15" t="s">
        <v>59</v>
      </c>
      <c r="D176" s="15" t="s">
        <v>107</v>
      </c>
      <c r="E176" s="15" t="s">
        <v>81</v>
      </c>
      <c r="F176" s="17">
        <v>4743.56</v>
      </c>
      <c r="G176" s="19" t="s">
        <v>116</v>
      </c>
      <c r="H176" s="20">
        <f>IF($A176="","",YEAR($A176))</f>
        <v>2026</v>
      </c>
      <c r="I176" s="20">
        <f>IF($A176="","",MONTH($A176))</f>
        <v>10</v>
      </c>
      <c r="J176" s="21">
        <f>IF(OR($A176="",$F176=""),"",IF($B176="Entrada",$F176,-$F176))</f>
        <v>-4743.56</v>
      </c>
      <c r="K176" s="20" t="str">
        <f>IF($A176="","",IF(OR($B176="",$C176="",$F176="",$G176=""),"Preencher tudo",IF(IFERROR(INDEX(CatTipo,MATCH($C176,CatNome,0)),"")&lt;&gt;$B176,"Categoria x Tipo?","OK")))</f>
        <v>OK</v>
      </c>
    </row>
    <row r="177" spans="1:11">
      <c r="A177" s="18">
        <v>46315</v>
      </c>
      <c r="B177" s="19" t="s">
        <v>60</v>
      </c>
      <c r="C177" s="15" t="s">
        <v>62</v>
      </c>
      <c r="D177" s="15" t="s">
        <v>108</v>
      </c>
      <c r="E177" s="15" t="s">
        <v>81</v>
      </c>
      <c r="F177" s="17">
        <v>3364.82</v>
      </c>
      <c r="G177" s="19" t="s">
        <v>116</v>
      </c>
      <c r="H177" s="20">
        <f>IF($A177="","",YEAR($A177))</f>
        <v>2026</v>
      </c>
      <c r="I177" s="20">
        <f>IF($A177="","",MONTH($A177))</f>
        <v>10</v>
      </c>
      <c r="J177" s="21">
        <f>IF(OR($A177="",$F177=""),"",IF($B177="Entrada",$F177,-$F177))</f>
        <v>-3364.82</v>
      </c>
      <c r="K177" s="20" t="str">
        <f>IF($A177="","",IF(OR($B177="",$C177="",$F177="",$G177=""),"Preencher tudo",IF(IFERROR(INDEX(CatTipo,MATCH($C177,CatNome,0)),"")&lt;&gt;$B177,"Categoria x Tipo?","OK")))</f>
        <v>OK</v>
      </c>
    </row>
    <row r="178" spans="1:11">
      <c r="A178" s="18">
        <v>46315</v>
      </c>
      <c r="B178" s="19" t="s">
        <v>60</v>
      </c>
      <c r="C178" s="15" t="s">
        <v>71</v>
      </c>
      <c r="D178" s="15" t="s">
        <v>109</v>
      </c>
      <c r="E178" s="15" t="s">
        <v>81</v>
      </c>
      <c r="F178" s="17">
        <v>1350</v>
      </c>
      <c r="G178" s="19" t="s">
        <v>116</v>
      </c>
      <c r="H178" s="20">
        <f>IF($A178="","",YEAR($A178))</f>
        <v>2026</v>
      </c>
      <c r="I178" s="20">
        <f>IF($A178="","",MONTH($A178))</f>
        <v>10</v>
      </c>
      <c r="J178" s="21">
        <f>IF(OR($A178="",$F178=""),"",IF($B178="Entrada",$F178,-$F178))</f>
        <v>-1350</v>
      </c>
      <c r="K178" s="20" t="str">
        <f>IF($A178="","",IF(OR($B178="",$C178="",$F178="",$G178=""),"Preencher tudo",IF(IFERROR(INDEX(CatTipo,MATCH($C178,CatNome,0)),"")&lt;&gt;$B178,"Categoria x Tipo?","OK")))</f>
        <v>OK</v>
      </c>
    </row>
    <row r="179" spans="1:11">
      <c r="A179" s="18">
        <v>46316</v>
      </c>
      <c r="B179" s="19" t="s">
        <v>52</v>
      </c>
      <c r="C179" s="15" t="s">
        <v>51</v>
      </c>
      <c r="D179" s="15" t="s">
        <v>110</v>
      </c>
      <c r="E179" s="15" t="s">
        <v>80</v>
      </c>
      <c r="F179" s="17">
        <v>15002.47</v>
      </c>
      <c r="G179" s="19" t="s">
        <v>116</v>
      </c>
      <c r="H179" s="20">
        <f>IF($A179="","",YEAR($A179))</f>
        <v>2026</v>
      </c>
      <c r="I179" s="20">
        <f>IF($A179="","",MONTH($A179))</f>
        <v>10</v>
      </c>
      <c r="J179" s="21">
        <f>IF(OR($A179="",$F179=""),"",IF($B179="Entrada",$F179,-$F179))</f>
        <v>15002.47</v>
      </c>
      <c r="K179" s="20" t="str">
        <f>IF($A179="","",IF(OR($B179="",$C179="",$F179="",$G179=""),"Preencher tudo",IF(IFERROR(INDEX(CatTipo,MATCH($C179,CatNome,0)),"")&lt;&gt;$B179,"Categoria x Tipo?","OK")))</f>
        <v>OK</v>
      </c>
    </row>
    <row r="180" spans="1:11">
      <c r="A180" s="18">
        <v>46320</v>
      </c>
      <c r="B180" s="19" t="s">
        <v>60</v>
      </c>
      <c r="C180" s="15" t="s">
        <v>63</v>
      </c>
      <c r="D180" s="15" t="s">
        <v>111</v>
      </c>
      <c r="E180" s="15" t="s">
        <v>82</v>
      </c>
      <c r="F180" s="17">
        <v>1439.36</v>
      </c>
      <c r="G180" s="19" t="s">
        <v>116</v>
      </c>
      <c r="H180" s="20">
        <f>IF($A180="","",YEAR($A180))</f>
        <v>2026</v>
      </c>
      <c r="I180" s="20">
        <f>IF($A180="","",MONTH($A180))</f>
        <v>10</v>
      </c>
      <c r="J180" s="21">
        <f>IF(OR($A180="",$F180=""),"",IF($B180="Entrada",$F180,-$F180))</f>
        <v>-1439.36</v>
      </c>
      <c r="K180" s="20" t="str">
        <f>IF($A180="","",IF(OR($B180="",$C180="",$F180="",$G180=""),"Preencher tudo",IF(IFERROR(INDEX(CatTipo,MATCH($C180,CatNome,0)),"")&lt;&gt;$B180,"Categoria x Tipo?","OK")))</f>
        <v>OK</v>
      </c>
    </row>
    <row r="181" spans="1:11">
      <c r="A181" s="18">
        <v>46323</v>
      </c>
      <c r="B181" s="19" t="s">
        <v>52</v>
      </c>
      <c r="C181" s="15" t="s">
        <v>51</v>
      </c>
      <c r="D181" s="15" t="s">
        <v>112</v>
      </c>
      <c r="E181" s="15" t="s">
        <v>82</v>
      </c>
      <c r="F181" s="17">
        <v>13072.59</v>
      </c>
      <c r="G181" s="19" t="s">
        <v>116</v>
      </c>
      <c r="H181" s="20">
        <f>IF($A181="","",YEAR($A181))</f>
        <v>2026</v>
      </c>
      <c r="I181" s="20">
        <f>IF($A181="","",MONTH($A181))</f>
        <v>10</v>
      </c>
      <c r="J181" s="21">
        <f>IF(OR($A181="",$F181=""),"",IF($B181="Entrada",$F181,-$F181))</f>
        <v>13072.59</v>
      </c>
      <c r="K181" s="20" t="str">
        <f>IF($A181="","",IF(OR($B181="",$C181="",$F181="",$G181=""),"Preencher tudo",IF(IFERROR(INDEX(CatTipo,MATCH($C181,CatNome,0)),"")&lt;&gt;$B181,"Categoria x Tipo?","OK")))</f>
        <v>OK</v>
      </c>
    </row>
    <row r="182" spans="1:11">
      <c r="A182" s="18">
        <v>46331</v>
      </c>
      <c r="B182" s="19" t="s">
        <v>60</v>
      </c>
      <c r="C182" s="15" t="s">
        <v>59</v>
      </c>
      <c r="D182" s="15" t="s">
        <v>96</v>
      </c>
      <c r="E182" s="15" t="s">
        <v>81</v>
      </c>
      <c r="F182" s="17">
        <v>15084.72</v>
      </c>
      <c r="G182" s="19" t="s">
        <v>116</v>
      </c>
      <c r="H182" s="20">
        <f>IF($A182="","",YEAR($A182))</f>
        <v>2026</v>
      </c>
      <c r="I182" s="20">
        <f>IF($A182="","",MONTH($A182))</f>
        <v>11</v>
      </c>
      <c r="J182" s="21">
        <f>IF(OR($A182="",$F182=""),"",IF($B182="Entrada",$F182,-$F182))</f>
        <v>-15084.72</v>
      </c>
      <c r="K182" s="20" t="str">
        <f>IF($A182="","",IF(OR($B182="",$C182="",$F182="",$G182=""),"Preencher tudo",IF(IFERROR(INDEX(CatTipo,MATCH($C182,CatNome,0)),"")&lt;&gt;$B182,"Categoria x Tipo?","OK")))</f>
        <v>OK</v>
      </c>
    </row>
    <row r="183" spans="1:11">
      <c r="A183" s="18">
        <v>46331</v>
      </c>
      <c r="B183" s="19" t="s">
        <v>60</v>
      </c>
      <c r="C183" s="15" t="s">
        <v>66</v>
      </c>
      <c r="D183" s="15" t="s">
        <v>97</v>
      </c>
      <c r="E183" s="15" t="s">
        <v>81</v>
      </c>
      <c r="F183" s="17">
        <v>11800</v>
      </c>
      <c r="G183" s="19" t="s">
        <v>116</v>
      </c>
      <c r="H183" s="20">
        <f>IF($A183="","",YEAR($A183))</f>
        <v>2026</v>
      </c>
      <c r="I183" s="20">
        <f>IF($A183="","",MONTH($A183))</f>
        <v>11</v>
      </c>
      <c r="J183" s="21">
        <f>IF(OR($A183="",$F183=""),"",IF($B183="Entrada",$F183,-$F183))</f>
        <v>-11800</v>
      </c>
      <c r="K183" s="20" t="str">
        <f>IF($A183="","",IF(OR($B183="",$C183="",$F183="",$G183=""),"Preencher tudo",IF(IFERROR(INDEX(CatTipo,MATCH($C183,CatNome,0)),"")&lt;&gt;$B183,"Categoria x Tipo?","OK")))</f>
        <v>OK</v>
      </c>
    </row>
    <row r="184" spans="1:11">
      <c r="A184" s="18">
        <v>46332</v>
      </c>
      <c r="B184" s="19" t="s">
        <v>60</v>
      </c>
      <c r="C184" s="15" t="s">
        <v>72</v>
      </c>
      <c r="D184" s="15" t="s">
        <v>98</v>
      </c>
      <c r="E184" s="15" t="s">
        <v>81</v>
      </c>
      <c r="F184" s="17">
        <v>6000</v>
      </c>
      <c r="G184" s="19" t="s">
        <v>116</v>
      </c>
      <c r="H184" s="20">
        <f>IF($A184="","",YEAR($A184))</f>
        <v>2026</v>
      </c>
      <c r="I184" s="20">
        <f>IF($A184="","",MONTH($A184))</f>
        <v>11</v>
      </c>
      <c r="J184" s="21">
        <f>IF(OR($A184="",$F184=""),"",IF($B184="Entrada",$F184,-$F184))</f>
        <v>-6000</v>
      </c>
      <c r="K184" s="20" t="str">
        <f>IF($A184="","",IF(OR($B184="",$C184="",$F184="",$G184=""),"Preencher tudo",IF(IFERROR(INDEX(CatTipo,MATCH($C184,CatNome,0)),"")&lt;&gt;$B184,"Categoria x Tipo?","OK")))</f>
        <v>OK</v>
      </c>
    </row>
    <row r="185" spans="1:11">
      <c r="A185" s="18">
        <v>46333</v>
      </c>
      <c r="B185" s="19" t="s">
        <v>52</v>
      </c>
      <c r="C185" s="15" t="s">
        <v>51</v>
      </c>
      <c r="D185" s="15" t="s">
        <v>99</v>
      </c>
      <c r="E185" s="15" t="s">
        <v>81</v>
      </c>
      <c r="F185" s="17">
        <v>16231.23</v>
      </c>
      <c r="G185" s="19" t="s">
        <v>116</v>
      </c>
      <c r="H185" s="20">
        <f>IF($A185="","",YEAR($A185))</f>
        <v>2026</v>
      </c>
      <c r="I185" s="20">
        <f>IF($A185="","",MONTH($A185))</f>
        <v>11</v>
      </c>
      <c r="J185" s="21">
        <f>IF(OR($A185="",$F185=""),"",IF($B185="Entrada",$F185,-$F185))</f>
        <v>16231.23</v>
      </c>
      <c r="K185" s="20" t="str">
        <f>IF($A185="","",IF(OR($B185="",$C185="",$F185="",$G185=""),"Preencher tudo",IF(IFERROR(INDEX(CatTipo,MATCH($C185,CatNome,0)),"")&lt;&gt;$B185,"Categoria x Tipo?","OK")))</f>
        <v>OK</v>
      </c>
    </row>
    <row r="186" spans="1:11">
      <c r="A186" s="18">
        <v>46334</v>
      </c>
      <c r="B186" s="19" t="s">
        <v>60</v>
      </c>
      <c r="C186" s="15" t="s">
        <v>70</v>
      </c>
      <c r="D186" s="15" t="s">
        <v>100</v>
      </c>
      <c r="E186" s="15" t="s">
        <v>81</v>
      </c>
      <c r="F186" s="17">
        <v>2113.96</v>
      </c>
      <c r="G186" s="19" t="s">
        <v>116</v>
      </c>
      <c r="H186" s="20">
        <f>IF($A186="","",YEAR($A186))</f>
        <v>2026</v>
      </c>
      <c r="I186" s="20">
        <f>IF($A186="","",MONTH($A186))</f>
        <v>11</v>
      </c>
      <c r="J186" s="21">
        <f>IF(OR($A186="",$F186=""),"",IF($B186="Entrada",$F186,-$F186))</f>
        <v>-2113.96</v>
      </c>
      <c r="K186" s="20" t="str">
        <f>IF($A186="","",IF(OR($B186="",$C186="",$F186="",$G186=""),"Preencher tudo",IF(IFERROR(INDEX(CatTipo,MATCH($C186,CatNome,0)),"")&lt;&gt;$B186,"Categoria x Tipo?","OK")))</f>
        <v>OK</v>
      </c>
    </row>
    <row r="187" spans="1:11">
      <c r="A187" s="18">
        <v>46336</v>
      </c>
      <c r="B187" s="19" t="s">
        <v>60</v>
      </c>
      <c r="C187" s="15" t="s">
        <v>68</v>
      </c>
      <c r="D187" s="15" t="s">
        <v>101</v>
      </c>
      <c r="E187" s="15" t="s">
        <v>81</v>
      </c>
      <c r="F187" s="17">
        <v>4200</v>
      </c>
      <c r="G187" s="19" t="s">
        <v>116</v>
      </c>
      <c r="H187" s="20">
        <f>IF($A187="","",YEAR($A187))</f>
        <v>2026</v>
      </c>
      <c r="I187" s="20">
        <f>IF($A187="","",MONTH($A187))</f>
        <v>11</v>
      </c>
      <c r="J187" s="21">
        <f>IF(OR($A187="",$F187=""),"",IF($B187="Entrada",$F187,-$F187))</f>
        <v>-4200</v>
      </c>
      <c r="K187" s="20" t="str">
        <f>IF($A187="","",IF(OR($B187="",$C187="",$F187="",$G187=""),"Preencher tudo",IF(IFERROR(INDEX(CatTipo,MATCH($C187,CatNome,0)),"")&lt;&gt;$B187,"Categoria x Tipo?","OK")))</f>
        <v>OK</v>
      </c>
    </row>
    <row r="188" spans="1:11">
      <c r="A188" s="18">
        <v>46336</v>
      </c>
      <c r="B188" s="19" t="s">
        <v>60</v>
      </c>
      <c r="C188" s="15" t="s">
        <v>74</v>
      </c>
      <c r="D188" s="15" t="s">
        <v>102</v>
      </c>
      <c r="E188" s="15" t="s">
        <v>81</v>
      </c>
      <c r="F188" s="17">
        <v>2100</v>
      </c>
      <c r="G188" s="19" t="s">
        <v>116</v>
      </c>
      <c r="H188" s="20">
        <f>IF($A188="","",YEAR($A188))</f>
        <v>2026</v>
      </c>
      <c r="I188" s="20">
        <f>IF($A188="","",MONTH($A188))</f>
        <v>11</v>
      </c>
      <c r="J188" s="21">
        <f>IF(OR($A188="",$F188=""),"",IF($B188="Entrada",$F188,-$F188))</f>
        <v>-2100</v>
      </c>
      <c r="K188" s="20" t="str">
        <f>IF($A188="","",IF(OR($B188="",$C188="",$F188="",$G188=""),"Preencher tudo",IF(IFERROR(INDEX(CatTipo,MATCH($C188,CatNome,0)),"")&lt;&gt;$B188,"Categoria x Tipo?","OK")))</f>
        <v>OK</v>
      </c>
    </row>
    <row r="189" spans="1:11">
      <c r="A189" s="18">
        <v>46338</v>
      </c>
      <c r="B189" s="19" t="s">
        <v>60</v>
      </c>
      <c r="C189" s="15" t="s">
        <v>64</v>
      </c>
      <c r="D189" s="15" t="s">
        <v>103</v>
      </c>
      <c r="E189" s="15" t="s">
        <v>81</v>
      </c>
      <c r="F189" s="17">
        <v>1531.34</v>
      </c>
      <c r="G189" s="19" t="s">
        <v>116</v>
      </c>
      <c r="H189" s="20">
        <f>IF($A189="","",YEAR($A189))</f>
        <v>2026</v>
      </c>
      <c r="I189" s="20">
        <f>IF($A189="","",MONTH($A189))</f>
        <v>11</v>
      </c>
      <c r="J189" s="21">
        <f>IF(OR($A189="",$F189=""),"",IF($B189="Entrada",$F189,-$F189))</f>
        <v>-1531.34</v>
      </c>
      <c r="K189" s="20" t="str">
        <f>IF($A189="","",IF(OR($B189="",$C189="",$F189="",$G189=""),"Preencher tudo",IF(IFERROR(INDEX(CatTipo,MATCH($C189,CatNome,0)),"")&lt;&gt;$B189,"Categoria x Tipo?","OK")))</f>
        <v>OK</v>
      </c>
    </row>
    <row r="190" spans="1:11">
      <c r="A190" s="18">
        <v>46340</v>
      </c>
      <c r="B190" s="19" t="s">
        <v>52</v>
      </c>
      <c r="C190" s="15" t="s">
        <v>51</v>
      </c>
      <c r="D190" s="15" t="s">
        <v>104</v>
      </c>
      <c r="E190" s="15" t="s">
        <v>82</v>
      </c>
      <c r="F190" s="17">
        <v>12417.97</v>
      </c>
      <c r="G190" s="19" t="s">
        <v>116</v>
      </c>
      <c r="H190" s="20">
        <f>IF($A190="","",YEAR($A190))</f>
        <v>2026</v>
      </c>
      <c r="I190" s="20">
        <f>IF($A190="","",MONTH($A190))</f>
        <v>11</v>
      </c>
      <c r="J190" s="21">
        <f>IF(OR($A190="",$F190=""),"",IF($B190="Entrada",$F190,-$F190))</f>
        <v>12417.97</v>
      </c>
      <c r="K190" s="20" t="str">
        <f>IF($A190="","",IF(OR($B190="",$C190="",$F190="",$G190=""),"Preencher tudo",IF(IFERROR(INDEX(CatTipo,MATCH($C190,CatNome,0)),"")&lt;&gt;$B190,"Categoria x Tipo?","OK")))</f>
        <v>OK</v>
      </c>
    </row>
    <row r="191" spans="1:11">
      <c r="A191" s="18">
        <v>46341</v>
      </c>
      <c r="B191" s="19" t="s">
        <v>52</v>
      </c>
      <c r="C191" s="15" t="s">
        <v>54</v>
      </c>
      <c r="D191" s="15" t="s">
        <v>105</v>
      </c>
      <c r="E191" s="15" t="s">
        <v>81</v>
      </c>
      <c r="F191" s="17">
        <v>11222.51</v>
      </c>
      <c r="G191" s="19" t="s">
        <v>116</v>
      </c>
      <c r="H191" s="20">
        <f>IF($A191="","",YEAR($A191))</f>
        <v>2026</v>
      </c>
      <c r="I191" s="20">
        <f>IF($A191="","",MONTH($A191))</f>
        <v>11</v>
      </c>
      <c r="J191" s="21">
        <f>IF(OR($A191="",$F191=""),"",IF($B191="Entrada",$F191,-$F191))</f>
        <v>11222.51</v>
      </c>
      <c r="K191" s="20" t="str">
        <f>IF($A191="","",IF(OR($B191="",$C191="",$F191="",$G191=""),"Preencher tudo",IF(IFERROR(INDEX(CatTipo,MATCH($C191,CatNome,0)),"")&lt;&gt;$B191,"Categoria x Tipo?","OK")))</f>
        <v>OK</v>
      </c>
    </row>
    <row r="192" spans="1:11">
      <c r="A192" s="18">
        <v>46341</v>
      </c>
      <c r="B192" s="19" t="s">
        <v>60</v>
      </c>
      <c r="C192" s="15" t="s">
        <v>69</v>
      </c>
      <c r="D192" s="15" t="s">
        <v>106</v>
      </c>
      <c r="E192" s="15" t="s">
        <v>81</v>
      </c>
      <c r="F192" s="17">
        <v>1280.06</v>
      </c>
      <c r="G192" s="19" t="s">
        <v>116</v>
      </c>
      <c r="H192" s="20">
        <f>IF($A192="","",YEAR($A192))</f>
        <v>2026</v>
      </c>
      <c r="I192" s="20">
        <f>IF($A192="","",MONTH($A192))</f>
        <v>11</v>
      </c>
      <c r="J192" s="21">
        <f>IF(OR($A192="",$F192=""),"",IF($B192="Entrada",$F192,-$F192))</f>
        <v>-1280.06</v>
      </c>
      <c r="K192" s="20" t="str">
        <f>IF($A192="","",IF(OR($B192="",$C192="",$F192="",$G192=""),"Preencher tudo",IF(IFERROR(INDEX(CatTipo,MATCH($C192,CatNome,0)),"")&lt;&gt;$B192,"Categoria x Tipo?","OK")))</f>
        <v>OK</v>
      </c>
    </row>
    <row r="193" spans="1:11">
      <c r="A193" s="18">
        <v>46345</v>
      </c>
      <c r="B193" s="19" t="s">
        <v>60</v>
      </c>
      <c r="C193" s="15" t="s">
        <v>59</v>
      </c>
      <c r="D193" s="15" t="s">
        <v>107</v>
      </c>
      <c r="E193" s="15" t="s">
        <v>81</v>
      </c>
      <c r="F193" s="17">
        <v>7888.62</v>
      </c>
      <c r="G193" s="19" t="s">
        <v>116</v>
      </c>
      <c r="H193" s="20">
        <f>IF($A193="","",YEAR($A193))</f>
        <v>2026</v>
      </c>
      <c r="I193" s="20">
        <f>IF($A193="","",MONTH($A193))</f>
        <v>11</v>
      </c>
      <c r="J193" s="21">
        <f>IF(OR($A193="",$F193=""),"",IF($B193="Entrada",$F193,-$F193))</f>
        <v>-7888.62</v>
      </c>
      <c r="K193" s="20" t="str">
        <f>IF($A193="","",IF(OR($B193="",$C193="",$F193="",$G193=""),"Preencher tudo",IF(IFERROR(INDEX(CatTipo,MATCH($C193,CatNome,0)),"")&lt;&gt;$B193,"Categoria x Tipo?","OK")))</f>
        <v>OK</v>
      </c>
    </row>
    <row r="194" spans="1:11">
      <c r="A194" s="18">
        <v>46346</v>
      </c>
      <c r="B194" s="19" t="s">
        <v>60</v>
      </c>
      <c r="C194" s="15" t="s">
        <v>62</v>
      </c>
      <c r="D194" s="15" t="s">
        <v>108</v>
      </c>
      <c r="E194" s="15" t="s">
        <v>81</v>
      </c>
      <c r="F194" s="17">
        <v>3016.61</v>
      </c>
      <c r="G194" s="19" t="s">
        <v>116</v>
      </c>
      <c r="H194" s="20">
        <f>IF($A194="","",YEAR($A194))</f>
        <v>2026</v>
      </c>
      <c r="I194" s="20">
        <f>IF($A194="","",MONTH($A194))</f>
        <v>11</v>
      </c>
      <c r="J194" s="21">
        <f>IF(OR($A194="",$F194=""),"",IF($B194="Entrada",$F194,-$F194))</f>
        <v>-3016.61</v>
      </c>
      <c r="K194" s="20" t="str">
        <f>IF($A194="","",IF(OR($B194="",$C194="",$F194="",$G194=""),"Preencher tudo",IF(IFERROR(INDEX(CatTipo,MATCH($C194,CatNome,0)),"")&lt;&gt;$B194,"Categoria x Tipo?","OK")))</f>
        <v>OK</v>
      </c>
    </row>
    <row r="195" spans="1:11">
      <c r="A195" s="18">
        <v>46346</v>
      </c>
      <c r="B195" s="19" t="s">
        <v>60</v>
      </c>
      <c r="C195" s="15" t="s">
        <v>71</v>
      </c>
      <c r="D195" s="15" t="s">
        <v>109</v>
      </c>
      <c r="E195" s="15" t="s">
        <v>81</v>
      </c>
      <c r="F195" s="17">
        <v>1350</v>
      </c>
      <c r="G195" s="19" t="s">
        <v>116</v>
      </c>
      <c r="H195" s="20">
        <f>IF($A195="","",YEAR($A195))</f>
        <v>2026</v>
      </c>
      <c r="I195" s="20">
        <f>IF($A195="","",MONTH($A195))</f>
        <v>11</v>
      </c>
      <c r="J195" s="21">
        <f>IF(OR($A195="",$F195=""),"",IF($B195="Entrada",$F195,-$F195))</f>
        <v>-1350</v>
      </c>
      <c r="K195" s="20" t="str">
        <f>IF($A195="","",IF(OR($B195="",$C195="",$F195="",$G195=""),"Preencher tudo",IF(IFERROR(INDEX(CatTipo,MATCH($C195,CatNome,0)),"")&lt;&gt;$B195,"Categoria x Tipo?","OK")))</f>
        <v>OK</v>
      </c>
    </row>
    <row r="196" spans="1:11">
      <c r="A196" s="18">
        <v>46347</v>
      </c>
      <c r="B196" s="19" t="s">
        <v>52</v>
      </c>
      <c r="C196" s="15" t="s">
        <v>51</v>
      </c>
      <c r="D196" s="15" t="s">
        <v>110</v>
      </c>
      <c r="E196" s="15" t="s">
        <v>82</v>
      </c>
      <c r="F196" s="17">
        <v>14222.76</v>
      </c>
      <c r="G196" s="19" t="s">
        <v>116</v>
      </c>
      <c r="H196" s="20">
        <f>IF($A196="","",YEAR($A196))</f>
        <v>2026</v>
      </c>
      <c r="I196" s="20">
        <f>IF($A196="","",MONTH($A196))</f>
        <v>11</v>
      </c>
      <c r="J196" s="21">
        <f>IF(OR($A196="",$F196=""),"",IF($B196="Entrada",$F196,-$F196))</f>
        <v>14222.76</v>
      </c>
      <c r="K196" s="20" t="str">
        <f>IF($A196="","",IF(OR($B196="",$C196="",$F196="",$G196=""),"Preencher tudo",IF(IFERROR(INDEX(CatTipo,MATCH($C196,CatNome,0)),"")&lt;&gt;$B196,"Categoria x Tipo?","OK")))</f>
        <v>OK</v>
      </c>
    </row>
    <row r="197" spans="1:11">
      <c r="A197" s="18">
        <v>46351</v>
      </c>
      <c r="B197" s="19" t="s">
        <v>60</v>
      </c>
      <c r="C197" s="15" t="s">
        <v>63</v>
      </c>
      <c r="D197" s="15" t="s">
        <v>111</v>
      </c>
      <c r="E197" s="15" t="s">
        <v>82</v>
      </c>
      <c r="F197" s="17">
        <v>1541.3</v>
      </c>
      <c r="G197" s="19" t="s">
        <v>116</v>
      </c>
      <c r="H197" s="20">
        <f>IF($A197="","",YEAR($A197))</f>
        <v>2026</v>
      </c>
      <c r="I197" s="20">
        <f>IF($A197="","",MONTH($A197))</f>
        <v>11</v>
      </c>
      <c r="J197" s="21">
        <f>IF(OR($A197="",$F197=""),"",IF($B197="Entrada",$F197,-$F197))</f>
        <v>-1541.3</v>
      </c>
      <c r="K197" s="20" t="str">
        <f>IF($A197="","",IF(OR($B197="",$C197="",$F197="",$G197=""),"Preencher tudo",IF(IFERROR(INDEX(CatTipo,MATCH($C197,CatNome,0)),"")&lt;&gt;$B197,"Categoria x Tipo?","OK")))</f>
        <v>OK</v>
      </c>
    </row>
    <row r="198" spans="1:11">
      <c r="A198" s="18">
        <v>46354</v>
      </c>
      <c r="B198" s="19" t="s">
        <v>52</v>
      </c>
      <c r="C198" s="15" t="s">
        <v>51</v>
      </c>
      <c r="D198" s="15" t="s">
        <v>112</v>
      </c>
      <c r="E198" s="15" t="s">
        <v>81</v>
      </c>
      <c r="F198" s="17">
        <v>12597.12</v>
      </c>
      <c r="G198" s="19" t="s">
        <v>116</v>
      </c>
      <c r="H198" s="20">
        <f>IF($A198="","",YEAR($A198))</f>
        <v>2026</v>
      </c>
      <c r="I198" s="20">
        <f>IF($A198="","",MONTH($A198))</f>
        <v>11</v>
      </c>
      <c r="J198" s="21">
        <f>IF(OR($A198="",$F198=""),"",IF($B198="Entrada",$F198,-$F198))</f>
        <v>12597.12</v>
      </c>
      <c r="K198" s="20" t="str">
        <f>IF($A198="","",IF(OR($B198="",$C198="",$F198="",$G198=""),"Preencher tudo",IF(IFERROR(INDEX(CatTipo,MATCH($C198,CatNome,0)),"")&lt;&gt;$B198,"Categoria x Tipo?","OK")))</f>
        <v>OK</v>
      </c>
    </row>
    <row r="199" spans="1:11">
      <c r="A199" s="18">
        <v>46361</v>
      </c>
      <c r="B199" s="19" t="s">
        <v>60</v>
      </c>
      <c r="C199" s="15" t="s">
        <v>59</v>
      </c>
      <c r="D199" s="15" t="s">
        <v>96</v>
      </c>
      <c r="E199" s="15" t="s">
        <v>81</v>
      </c>
      <c r="F199" s="17">
        <v>14832.52</v>
      </c>
      <c r="G199" s="19" t="s">
        <v>116</v>
      </c>
      <c r="H199" s="20">
        <f>IF($A199="","",YEAR($A199))</f>
        <v>2026</v>
      </c>
      <c r="I199" s="20">
        <f>IF($A199="","",MONTH($A199))</f>
        <v>12</v>
      </c>
      <c r="J199" s="21">
        <f>IF(OR($A199="",$F199=""),"",IF($B199="Entrada",$F199,-$F199))</f>
        <v>-14832.52</v>
      </c>
      <c r="K199" s="20" t="str">
        <f>IF($A199="","",IF(OR($B199="",$C199="",$F199="",$G199=""),"Preencher tudo",IF(IFERROR(INDEX(CatTipo,MATCH($C199,CatNome,0)),"")&lt;&gt;$B199,"Categoria x Tipo?","OK")))</f>
        <v>OK</v>
      </c>
    </row>
    <row r="200" spans="1:11">
      <c r="A200" s="18">
        <v>46361</v>
      </c>
      <c r="B200" s="19" t="s">
        <v>60</v>
      </c>
      <c r="C200" s="15" t="s">
        <v>66</v>
      </c>
      <c r="D200" s="15" t="s">
        <v>97</v>
      </c>
      <c r="E200" s="15" t="s">
        <v>81</v>
      </c>
      <c r="F200" s="17">
        <v>11800</v>
      </c>
      <c r="G200" s="19" t="s">
        <v>116</v>
      </c>
      <c r="H200" s="20">
        <f>IF($A200="","",YEAR($A200))</f>
        <v>2026</v>
      </c>
      <c r="I200" s="20">
        <f>IF($A200="","",MONTH($A200))</f>
        <v>12</v>
      </c>
      <c r="J200" s="21">
        <f>IF(OR($A200="",$F200=""),"",IF($B200="Entrada",$F200,-$F200))</f>
        <v>-11800</v>
      </c>
      <c r="K200" s="20" t="str">
        <f>IF($A200="","",IF(OR($B200="",$C200="",$F200="",$G200=""),"Preencher tudo",IF(IFERROR(INDEX(CatTipo,MATCH($C200,CatNome,0)),"")&lt;&gt;$B200,"Categoria x Tipo?","OK")))</f>
        <v>OK</v>
      </c>
    </row>
    <row r="201" spans="1:11">
      <c r="A201" s="18">
        <v>46362</v>
      </c>
      <c r="B201" s="19" t="s">
        <v>60</v>
      </c>
      <c r="C201" s="15" t="s">
        <v>72</v>
      </c>
      <c r="D201" s="15" t="s">
        <v>98</v>
      </c>
      <c r="E201" s="15" t="s">
        <v>81</v>
      </c>
      <c r="F201" s="17">
        <v>6000</v>
      </c>
      <c r="G201" s="19" t="s">
        <v>116</v>
      </c>
      <c r="H201" s="20">
        <f>IF($A201="","",YEAR($A201))</f>
        <v>2026</v>
      </c>
      <c r="I201" s="20">
        <f>IF($A201="","",MONTH($A201))</f>
        <v>12</v>
      </c>
      <c r="J201" s="21">
        <f>IF(OR($A201="",$F201=""),"",IF($B201="Entrada",$F201,-$F201))</f>
        <v>-6000</v>
      </c>
      <c r="K201" s="20" t="str">
        <f>IF($A201="","",IF(OR($B201="",$C201="",$F201="",$G201=""),"Preencher tudo",IF(IFERROR(INDEX(CatTipo,MATCH($C201,CatNome,0)),"")&lt;&gt;$B201,"Categoria x Tipo?","OK")))</f>
        <v>OK</v>
      </c>
    </row>
    <row r="202" spans="1:11">
      <c r="A202" s="18">
        <v>46363</v>
      </c>
      <c r="B202" s="19" t="s">
        <v>52</v>
      </c>
      <c r="C202" s="15" t="s">
        <v>51</v>
      </c>
      <c r="D202" s="15" t="s">
        <v>99</v>
      </c>
      <c r="E202" s="15" t="s">
        <v>81</v>
      </c>
      <c r="F202" s="17">
        <v>15877.41</v>
      </c>
      <c r="G202" s="19" t="s">
        <v>116</v>
      </c>
      <c r="H202" s="20">
        <f>IF($A202="","",YEAR($A202))</f>
        <v>2026</v>
      </c>
      <c r="I202" s="20">
        <f>IF($A202="","",MONTH($A202))</f>
        <v>12</v>
      </c>
      <c r="J202" s="21">
        <f>IF(OR($A202="",$F202=""),"",IF($B202="Entrada",$F202,-$F202))</f>
        <v>15877.41</v>
      </c>
      <c r="K202" s="20" t="str">
        <f>IF($A202="","",IF(OR($B202="",$C202="",$F202="",$G202=""),"Preencher tudo",IF(IFERROR(INDEX(CatTipo,MATCH($C202,CatNome,0)),"")&lt;&gt;$B202,"Categoria x Tipo?","OK")))</f>
        <v>OK</v>
      </c>
    </row>
    <row r="203" spans="1:11">
      <c r="A203" s="18">
        <v>46364</v>
      </c>
      <c r="B203" s="19" t="s">
        <v>60</v>
      </c>
      <c r="C203" s="15" t="s">
        <v>70</v>
      </c>
      <c r="D203" s="15" t="s">
        <v>100</v>
      </c>
      <c r="E203" s="15" t="s">
        <v>81</v>
      </c>
      <c r="F203" s="17">
        <v>1245.24</v>
      </c>
      <c r="G203" s="19" t="s">
        <v>116</v>
      </c>
      <c r="H203" s="20">
        <f>IF($A203="","",YEAR($A203))</f>
        <v>2026</v>
      </c>
      <c r="I203" s="20">
        <f>IF($A203="","",MONTH($A203))</f>
        <v>12</v>
      </c>
      <c r="J203" s="21">
        <f>IF(OR($A203="",$F203=""),"",IF($B203="Entrada",$F203,-$F203))</f>
        <v>-1245.24</v>
      </c>
      <c r="K203" s="20" t="str">
        <f>IF($A203="","",IF(OR($B203="",$C203="",$F203="",$G203=""),"Preencher tudo",IF(IFERROR(INDEX(CatTipo,MATCH($C203,CatNome,0)),"")&lt;&gt;$B203,"Categoria x Tipo?","OK")))</f>
        <v>OK</v>
      </c>
    </row>
    <row r="204" spans="1:11">
      <c r="A204" s="18">
        <v>46366</v>
      </c>
      <c r="B204" s="19" t="s">
        <v>60</v>
      </c>
      <c r="C204" s="15" t="s">
        <v>68</v>
      </c>
      <c r="D204" s="15" t="s">
        <v>101</v>
      </c>
      <c r="E204" s="15" t="s">
        <v>81</v>
      </c>
      <c r="F204" s="17">
        <v>4200</v>
      </c>
      <c r="G204" s="19" t="s">
        <v>116</v>
      </c>
      <c r="H204" s="20">
        <f>IF($A204="","",YEAR($A204))</f>
        <v>2026</v>
      </c>
      <c r="I204" s="20">
        <f>IF($A204="","",MONTH($A204))</f>
        <v>12</v>
      </c>
      <c r="J204" s="21">
        <f>IF(OR($A204="",$F204=""),"",IF($B204="Entrada",$F204,-$F204))</f>
        <v>-4200</v>
      </c>
      <c r="K204" s="20" t="str">
        <f>IF($A204="","",IF(OR($B204="",$C204="",$F204="",$G204=""),"Preencher tudo",IF(IFERROR(INDEX(CatTipo,MATCH($C204,CatNome,0)),"")&lt;&gt;$B204,"Categoria x Tipo?","OK")))</f>
        <v>OK</v>
      </c>
    </row>
    <row r="205" spans="1:11">
      <c r="A205" s="18">
        <v>46366</v>
      </c>
      <c r="B205" s="19" t="s">
        <v>60</v>
      </c>
      <c r="C205" s="15" t="s">
        <v>74</v>
      </c>
      <c r="D205" s="15" t="s">
        <v>102</v>
      </c>
      <c r="E205" s="15" t="s">
        <v>81</v>
      </c>
      <c r="F205" s="17">
        <v>2100</v>
      </c>
      <c r="G205" s="19" t="s">
        <v>116</v>
      </c>
      <c r="H205" s="20">
        <f>IF($A205="","",YEAR($A205))</f>
        <v>2026</v>
      </c>
      <c r="I205" s="20">
        <f>IF($A205="","",MONTH($A205))</f>
        <v>12</v>
      </c>
      <c r="J205" s="21">
        <f>IF(OR($A205="",$F205=""),"",IF($B205="Entrada",$F205,-$F205))</f>
        <v>-2100</v>
      </c>
      <c r="K205" s="20" t="str">
        <f>IF($A205="","",IF(OR($B205="",$C205="",$F205="",$G205=""),"Preencher tudo",IF(IFERROR(INDEX(CatTipo,MATCH($C205,CatNome,0)),"")&lt;&gt;$B205,"Categoria x Tipo?","OK")))</f>
        <v>OK</v>
      </c>
    </row>
    <row r="206" spans="1:11">
      <c r="A206" s="18">
        <v>46368</v>
      </c>
      <c r="B206" s="19" t="s">
        <v>60</v>
      </c>
      <c r="C206" s="15" t="s">
        <v>64</v>
      </c>
      <c r="D206" s="15" t="s">
        <v>103</v>
      </c>
      <c r="E206" s="15" t="s">
        <v>81</v>
      </c>
      <c r="F206" s="17">
        <v>1171.58</v>
      </c>
      <c r="G206" s="19" t="s">
        <v>116</v>
      </c>
      <c r="H206" s="20">
        <f>IF($A206="","",YEAR($A206))</f>
        <v>2026</v>
      </c>
      <c r="I206" s="20">
        <f>IF($A206="","",MONTH($A206))</f>
        <v>12</v>
      </c>
      <c r="J206" s="21">
        <f>IF(OR($A206="",$F206=""),"",IF($B206="Entrada",$F206,-$F206))</f>
        <v>-1171.58</v>
      </c>
      <c r="K206" s="20" t="str">
        <f>IF($A206="","",IF(OR($B206="",$C206="",$F206="",$G206=""),"Preencher tudo",IF(IFERROR(INDEX(CatTipo,MATCH($C206,CatNome,0)),"")&lt;&gt;$B206,"Categoria x Tipo?","OK")))</f>
        <v>OK</v>
      </c>
    </row>
    <row r="207" spans="1:11">
      <c r="A207" s="18">
        <v>46370</v>
      </c>
      <c r="B207" s="19" t="s">
        <v>52</v>
      </c>
      <c r="C207" s="15" t="s">
        <v>51</v>
      </c>
      <c r="D207" s="15" t="s">
        <v>104</v>
      </c>
      <c r="E207" s="15" t="s">
        <v>82</v>
      </c>
      <c r="F207" s="17">
        <v>16260.98</v>
      </c>
      <c r="G207" s="19" t="s">
        <v>116</v>
      </c>
      <c r="H207" s="20">
        <f>IF($A207="","",YEAR($A207))</f>
        <v>2026</v>
      </c>
      <c r="I207" s="20">
        <f>IF($A207="","",MONTH($A207))</f>
        <v>12</v>
      </c>
      <c r="J207" s="21">
        <f>IF(OR($A207="",$F207=""),"",IF($B207="Entrada",$F207,-$F207))</f>
        <v>16260.98</v>
      </c>
      <c r="K207" s="20" t="str">
        <f>IF($A207="","",IF(OR($B207="",$C207="",$F207="",$G207=""),"Preencher tudo",IF(IFERROR(INDEX(CatTipo,MATCH($C207,CatNome,0)),"")&lt;&gt;$B207,"Categoria x Tipo?","OK")))</f>
        <v>OK</v>
      </c>
    </row>
    <row r="208" spans="1:11">
      <c r="A208" s="18">
        <v>46371</v>
      </c>
      <c r="B208" s="19" t="s">
        <v>52</v>
      </c>
      <c r="C208" s="15" t="s">
        <v>54</v>
      </c>
      <c r="D208" s="15" t="s">
        <v>105</v>
      </c>
      <c r="E208" s="15" t="s">
        <v>81</v>
      </c>
      <c r="F208" s="17">
        <v>10654.26</v>
      </c>
      <c r="G208" s="19" t="s">
        <v>116</v>
      </c>
      <c r="H208" s="20">
        <f>IF($A208="","",YEAR($A208))</f>
        <v>2026</v>
      </c>
      <c r="I208" s="20">
        <f>IF($A208="","",MONTH($A208))</f>
        <v>12</v>
      </c>
      <c r="J208" s="21">
        <f>IF(OR($A208="",$F208=""),"",IF($B208="Entrada",$F208,-$F208))</f>
        <v>10654.26</v>
      </c>
      <c r="K208" s="20" t="str">
        <f>IF($A208="","",IF(OR($B208="",$C208="",$F208="",$G208=""),"Preencher tudo",IF(IFERROR(INDEX(CatTipo,MATCH($C208,CatNome,0)),"")&lt;&gt;$B208,"Categoria x Tipo?","OK")))</f>
        <v>OK</v>
      </c>
    </row>
    <row r="209" spans="1:11">
      <c r="A209" s="18">
        <v>46371</v>
      </c>
      <c r="B209" s="19" t="s">
        <v>60</v>
      </c>
      <c r="C209" s="15" t="s">
        <v>69</v>
      </c>
      <c r="D209" s="15" t="s">
        <v>106</v>
      </c>
      <c r="E209" s="15" t="s">
        <v>81</v>
      </c>
      <c r="F209" s="17">
        <v>1468.58</v>
      </c>
      <c r="G209" s="19" t="s">
        <v>116</v>
      </c>
      <c r="H209" s="20">
        <f>IF($A209="","",YEAR($A209))</f>
        <v>2026</v>
      </c>
      <c r="I209" s="20">
        <f>IF($A209="","",MONTH($A209))</f>
        <v>12</v>
      </c>
      <c r="J209" s="21">
        <f>IF(OR($A209="",$F209=""),"",IF($B209="Entrada",$F209,-$F209))</f>
        <v>-1468.58</v>
      </c>
      <c r="K209" s="20" t="str">
        <f>IF($A209="","",IF(OR($B209="",$C209="",$F209="",$G209=""),"Preencher tudo",IF(IFERROR(INDEX(CatTipo,MATCH($C209,CatNome,0)),"")&lt;&gt;$B209,"Categoria x Tipo?","OK")))</f>
        <v>OK</v>
      </c>
    </row>
    <row r="210" spans="1:11">
      <c r="A210" s="18">
        <v>46375</v>
      </c>
      <c r="B210" s="19" t="s">
        <v>60</v>
      </c>
      <c r="C210" s="15" t="s">
        <v>59</v>
      </c>
      <c r="D210" s="15" t="s">
        <v>107</v>
      </c>
      <c r="E210" s="15" t="s">
        <v>81</v>
      </c>
      <c r="F210" s="17">
        <v>7599.75</v>
      </c>
      <c r="G210" s="19" t="s">
        <v>116</v>
      </c>
      <c r="H210" s="20">
        <f>IF($A210="","",YEAR($A210))</f>
        <v>2026</v>
      </c>
      <c r="I210" s="20">
        <f>IF($A210="","",MONTH($A210))</f>
        <v>12</v>
      </c>
      <c r="J210" s="21">
        <f>IF(OR($A210="",$F210=""),"",IF($B210="Entrada",$F210,-$F210))</f>
        <v>-7599.75</v>
      </c>
      <c r="K210" s="20" t="str">
        <f>IF($A210="","",IF(OR($B210="",$C210="",$F210="",$G210=""),"Preencher tudo",IF(IFERROR(INDEX(CatTipo,MATCH($C210,CatNome,0)),"")&lt;&gt;$B210,"Categoria x Tipo?","OK")))</f>
        <v>OK</v>
      </c>
    </row>
    <row r="211" spans="1:11">
      <c r="A211" s="18">
        <v>46376</v>
      </c>
      <c r="B211" s="19" t="s">
        <v>60</v>
      </c>
      <c r="C211" s="15" t="s">
        <v>62</v>
      </c>
      <c r="D211" s="15" t="s">
        <v>108</v>
      </c>
      <c r="E211" s="15" t="s">
        <v>81</v>
      </c>
      <c r="F211" s="17">
        <v>3297.85</v>
      </c>
      <c r="G211" s="19" t="s">
        <v>116</v>
      </c>
      <c r="H211" s="20">
        <f>IF($A211="","",YEAR($A211))</f>
        <v>2026</v>
      </c>
      <c r="I211" s="20">
        <f>IF($A211="","",MONTH($A211))</f>
        <v>12</v>
      </c>
      <c r="J211" s="21">
        <f>IF(OR($A211="",$F211=""),"",IF($B211="Entrada",$F211,-$F211))</f>
        <v>-3297.85</v>
      </c>
      <c r="K211" s="20" t="str">
        <f>IF($A211="","",IF(OR($B211="",$C211="",$F211="",$G211=""),"Preencher tudo",IF(IFERROR(INDEX(CatTipo,MATCH($C211,CatNome,0)),"")&lt;&gt;$B211,"Categoria x Tipo?","OK")))</f>
        <v>OK</v>
      </c>
    </row>
    <row r="212" spans="1:11">
      <c r="A212" s="18">
        <v>46376</v>
      </c>
      <c r="B212" s="19" t="s">
        <v>60</v>
      </c>
      <c r="C212" s="15" t="s">
        <v>71</v>
      </c>
      <c r="D212" s="15" t="s">
        <v>109</v>
      </c>
      <c r="E212" s="15" t="s">
        <v>81</v>
      </c>
      <c r="F212" s="17">
        <v>1350</v>
      </c>
      <c r="G212" s="19" t="s">
        <v>116</v>
      </c>
      <c r="H212" s="20">
        <f>IF($A212="","",YEAR($A212))</f>
        <v>2026</v>
      </c>
      <c r="I212" s="20">
        <f>IF($A212="","",MONTH($A212))</f>
        <v>12</v>
      </c>
      <c r="J212" s="21">
        <f>IF(OR($A212="",$F212=""),"",IF($B212="Entrada",$F212,-$F212))</f>
        <v>-1350</v>
      </c>
      <c r="K212" s="20" t="str">
        <f>IF($A212="","",IF(OR($B212="",$C212="",$F212="",$G212=""),"Preencher tudo",IF(IFERROR(INDEX(CatTipo,MATCH($C212,CatNome,0)),"")&lt;&gt;$B212,"Categoria x Tipo?","OK")))</f>
        <v>OK</v>
      </c>
    </row>
    <row r="213" spans="1:11">
      <c r="A213" s="18">
        <v>46377</v>
      </c>
      <c r="B213" s="19" t="s">
        <v>52</v>
      </c>
      <c r="C213" s="15" t="s">
        <v>51</v>
      </c>
      <c r="D213" s="15" t="s">
        <v>110</v>
      </c>
      <c r="E213" s="15" t="s">
        <v>80</v>
      </c>
      <c r="F213" s="17">
        <v>14097.15</v>
      </c>
      <c r="G213" s="19" t="s">
        <v>116</v>
      </c>
      <c r="H213" s="20">
        <f>IF($A213="","",YEAR($A213))</f>
        <v>2026</v>
      </c>
      <c r="I213" s="20">
        <f>IF($A213="","",MONTH($A213))</f>
        <v>12</v>
      </c>
      <c r="J213" s="21">
        <f>IF(OR($A213="",$F213=""),"",IF($B213="Entrada",$F213,-$F213))</f>
        <v>14097.15</v>
      </c>
      <c r="K213" s="20" t="str">
        <f>IF($A213="","",IF(OR($B213="",$C213="",$F213="",$G213=""),"Preencher tudo",IF(IFERROR(INDEX(CatTipo,MATCH($C213,CatNome,0)),"")&lt;&gt;$B213,"Categoria x Tipo?","OK")))</f>
        <v>OK</v>
      </c>
    </row>
    <row r="214" spans="1:11">
      <c r="A214" s="18">
        <v>46381</v>
      </c>
      <c r="B214" s="19" t="s">
        <v>60</v>
      </c>
      <c r="C214" s="15" t="s">
        <v>63</v>
      </c>
      <c r="D214" s="15" t="s">
        <v>111</v>
      </c>
      <c r="E214" s="15" t="s">
        <v>82</v>
      </c>
      <c r="F214" s="17">
        <v>1595.29</v>
      </c>
      <c r="G214" s="19" t="s">
        <v>116</v>
      </c>
      <c r="H214" s="20">
        <f>IF($A214="","",YEAR($A214))</f>
        <v>2026</v>
      </c>
      <c r="I214" s="20">
        <f>IF($A214="","",MONTH($A214))</f>
        <v>12</v>
      </c>
      <c r="J214" s="21">
        <f>IF(OR($A214="",$F214=""),"",IF($B214="Entrada",$F214,-$F214))</f>
        <v>-1595.29</v>
      </c>
      <c r="K214" s="20" t="str">
        <f>IF($A214="","",IF(OR($B214="",$C214="",$F214="",$G214=""),"Preencher tudo",IF(IFERROR(INDEX(CatTipo,MATCH($C214,CatNome,0)),"")&lt;&gt;$B214,"Categoria x Tipo?","OK")))</f>
        <v>OK</v>
      </c>
    </row>
    <row r="215" spans="1:11">
      <c r="A215" s="18">
        <v>46384</v>
      </c>
      <c r="B215" s="19" t="s">
        <v>52</v>
      </c>
      <c r="C215" s="15" t="s">
        <v>51</v>
      </c>
      <c r="D215" s="15" t="s">
        <v>112</v>
      </c>
      <c r="E215" s="15" t="s">
        <v>80</v>
      </c>
      <c r="F215" s="17">
        <v>14372.19</v>
      </c>
      <c r="G215" s="19" t="s">
        <v>116</v>
      </c>
      <c r="H215" s="20">
        <f>IF($A215="","",YEAR($A215))</f>
        <v>2026</v>
      </c>
      <c r="I215" s="20">
        <f>IF($A215="","",MONTH($A215))</f>
        <v>12</v>
      </c>
      <c r="J215" s="21">
        <f>IF(OR($A215="",$F215=""),"",IF($B215="Entrada",$F215,-$F215))</f>
        <v>14372.19</v>
      </c>
      <c r="K215" s="20" t="str">
        <f>IF($A215="","",IF(OR($B215="",$C215="",$F215="",$G215=""),"Preencher tudo",IF(IFERROR(INDEX(CatTipo,MATCH($C215,CatNome,0)),"")&lt;&gt;$B215,"Categoria x Tipo?","OK")))</f>
        <v>OK</v>
      </c>
    </row>
    <row r="216" spans="1:11">
      <c r="A216" s="18"/>
      <c r="B216" s="19"/>
      <c r="C216" s="15"/>
      <c r="D216" s="15"/>
      <c r="E216" s="15"/>
      <c r="F216" s="17"/>
      <c r="G216" s="19"/>
      <c r="H216" s="20">
        <f>IF($A216="","",YEAR($A216))</f>
        <v>0</v>
      </c>
      <c r="I216" s="20">
        <f>IF($A216="","",MONTH($A216))</f>
        <v>0</v>
      </c>
      <c r="J216" s="21">
        <f>IF(OR($A216="",$F216=""),"",IF($B216="Entrada",$F216,-$F216))</f>
        <v>0</v>
      </c>
      <c r="K216" s="20">
        <f>IF($A216="","",IF(OR($B216="",$C216="",$F216="",$G216=""),"Preencher tudo",IF(IFERROR(INDEX(CatTipo,MATCH($C216,CatNome,0)),"")&lt;&gt;$B216,"Categoria x Tipo?","OK")))</f>
        <v>0</v>
      </c>
    </row>
    <row r="217" spans="1:11">
      <c r="A217" s="18"/>
      <c r="B217" s="19"/>
      <c r="C217" s="15"/>
      <c r="D217" s="15"/>
      <c r="E217" s="15"/>
      <c r="F217" s="17"/>
      <c r="G217" s="19"/>
      <c r="H217" s="20">
        <f>IF($A217="","",YEAR($A217))</f>
        <v>0</v>
      </c>
      <c r="I217" s="20">
        <f>IF($A217="","",MONTH($A217))</f>
        <v>0</v>
      </c>
      <c r="J217" s="21">
        <f>IF(OR($A217="",$F217=""),"",IF($B217="Entrada",$F217,-$F217))</f>
        <v>0</v>
      </c>
      <c r="K217" s="20">
        <f>IF($A217="","",IF(OR($B217="",$C217="",$F217="",$G217=""),"Preencher tudo",IF(IFERROR(INDEX(CatTipo,MATCH($C217,CatNome,0)),"")&lt;&gt;$B217,"Categoria x Tipo?","OK")))</f>
        <v>0</v>
      </c>
    </row>
    <row r="218" spans="1:11">
      <c r="A218" s="18"/>
      <c r="B218" s="19"/>
      <c r="C218" s="15"/>
      <c r="D218" s="15"/>
      <c r="E218" s="15"/>
      <c r="F218" s="17"/>
      <c r="G218" s="19"/>
      <c r="H218" s="20">
        <f>IF($A218="","",YEAR($A218))</f>
        <v>0</v>
      </c>
      <c r="I218" s="20">
        <f>IF($A218="","",MONTH($A218))</f>
        <v>0</v>
      </c>
      <c r="J218" s="21">
        <f>IF(OR($A218="",$F218=""),"",IF($B218="Entrada",$F218,-$F218))</f>
        <v>0</v>
      </c>
      <c r="K218" s="20">
        <f>IF($A218="","",IF(OR($B218="",$C218="",$F218="",$G218=""),"Preencher tudo",IF(IFERROR(INDEX(CatTipo,MATCH($C218,CatNome,0)),"")&lt;&gt;$B218,"Categoria x Tipo?","OK")))</f>
        <v>0</v>
      </c>
    </row>
    <row r="219" spans="1:11">
      <c r="A219" s="18"/>
      <c r="B219" s="19"/>
      <c r="C219" s="15"/>
      <c r="D219" s="15"/>
      <c r="E219" s="15"/>
      <c r="F219" s="17"/>
      <c r="G219" s="19"/>
      <c r="H219" s="20">
        <f>IF($A219="","",YEAR($A219))</f>
        <v>0</v>
      </c>
      <c r="I219" s="20">
        <f>IF($A219="","",MONTH($A219))</f>
        <v>0</v>
      </c>
      <c r="J219" s="21">
        <f>IF(OR($A219="",$F219=""),"",IF($B219="Entrada",$F219,-$F219))</f>
        <v>0</v>
      </c>
      <c r="K219" s="20">
        <f>IF($A219="","",IF(OR($B219="",$C219="",$F219="",$G219=""),"Preencher tudo",IF(IFERROR(INDEX(CatTipo,MATCH($C219,CatNome,0)),"")&lt;&gt;$B219,"Categoria x Tipo?","OK")))</f>
        <v>0</v>
      </c>
    </row>
    <row r="220" spans="1:11">
      <c r="A220" s="18"/>
      <c r="B220" s="19"/>
      <c r="C220" s="15"/>
      <c r="D220" s="15"/>
      <c r="E220" s="15"/>
      <c r="F220" s="17"/>
      <c r="G220" s="19"/>
      <c r="H220" s="20">
        <f>IF($A220="","",YEAR($A220))</f>
        <v>0</v>
      </c>
      <c r="I220" s="20">
        <f>IF($A220="","",MONTH($A220))</f>
        <v>0</v>
      </c>
      <c r="J220" s="21">
        <f>IF(OR($A220="",$F220=""),"",IF($B220="Entrada",$F220,-$F220))</f>
        <v>0</v>
      </c>
      <c r="K220" s="20">
        <f>IF($A220="","",IF(OR($B220="",$C220="",$F220="",$G220=""),"Preencher tudo",IF(IFERROR(INDEX(CatTipo,MATCH($C220,CatNome,0)),"")&lt;&gt;$B220,"Categoria x Tipo?","OK")))</f>
        <v>0</v>
      </c>
    </row>
    <row r="221" spans="1:11">
      <c r="A221" s="18"/>
      <c r="B221" s="19"/>
      <c r="C221" s="15"/>
      <c r="D221" s="15"/>
      <c r="E221" s="15"/>
      <c r="F221" s="17"/>
      <c r="G221" s="19"/>
      <c r="H221" s="20">
        <f>IF($A221="","",YEAR($A221))</f>
        <v>0</v>
      </c>
      <c r="I221" s="20">
        <f>IF($A221="","",MONTH($A221))</f>
        <v>0</v>
      </c>
      <c r="J221" s="21">
        <f>IF(OR($A221="",$F221=""),"",IF($B221="Entrada",$F221,-$F221))</f>
        <v>0</v>
      </c>
      <c r="K221" s="20">
        <f>IF($A221="","",IF(OR($B221="",$C221="",$F221="",$G221=""),"Preencher tudo",IF(IFERROR(INDEX(CatTipo,MATCH($C221,CatNome,0)),"")&lt;&gt;$B221,"Categoria x Tipo?","OK")))</f>
        <v>0</v>
      </c>
    </row>
    <row r="222" spans="1:11">
      <c r="A222" s="18"/>
      <c r="B222" s="19"/>
      <c r="C222" s="15"/>
      <c r="D222" s="15"/>
      <c r="E222" s="15"/>
      <c r="F222" s="17"/>
      <c r="G222" s="19"/>
      <c r="H222" s="20">
        <f>IF($A222="","",YEAR($A222))</f>
        <v>0</v>
      </c>
      <c r="I222" s="20">
        <f>IF($A222="","",MONTH($A222))</f>
        <v>0</v>
      </c>
      <c r="J222" s="21">
        <f>IF(OR($A222="",$F222=""),"",IF($B222="Entrada",$F222,-$F222))</f>
        <v>0</v>
      </c>
      <c r="K222" s="20">
        <f>IF($A222="","",IF(OR($B222="",$C222="",$F222="",$G222=""),"Preencher tudo",IF(IFERROR(INDEX(CatTipo,MATCH($C222,CatNome,0)),"")&lt;&gt;$B222,"Categoria x Tipo?","OK")))</f>
        <v>0</v>
      </c>
    </row>
    <row r="223" spans="1:11">
      <c r="A223" s="18"/>
      <c r="B223" s="19"/>
      <c r="C223" s="15"/>
      <c r="D223" s="15"/>
      <c r="E223" s="15"/>
      <c r="F223" s="17"/>
      <c r="G223" s="19"/>
      <c r="H223" s="20">
        <f>IF($A223="","",YEAR($A223))</f>
        <v>0</v>
      </c>
      <c r="I223" s="20">
        <f>IF($A223="","",MONTH($A223))</f>
        <v>0</v>
      </c>
      <c r="J223" s="21">
        <f>IF(OR($A223="",$F223=""),"",IF($B223="Entrada",$F223,-$F223))</f>
        <v>0</v>
      </c>
      <c r="K223" s="20">
        <f>IF($A223="","",IF(OR($B223="",$C223="",$F223="",$G223=""),"Preencher tudo",IF(IFERROR(INDEX(CatTipo,MATCH($C223,CatNome,0)),"")&lt;&gt;$B223,"Categoria x Tipo?","OK")))</f>
        <v>0</v>
      </c>
    </row>
    <row r="224" spans="1:11">
      <c r="A224" s="18"/>
      <c r="B224" s="19"/>
      <c r="C224" s="15"/>
      <c r="D224" s="15"/>
      <c r="E224" s="15"/>
      <c r="F224" s="17"/>
      <c r="G224" s="19"/>
      <c r="H224" s="20">
        <f>IF($A224="","",YEAR($A224))</f>
        <v>0</v>
      </c>
      <c r="I224" s="20">
        <f>IF($A224="","",MONTH($A224))</f>
        <v>0</v>
      </c>
      <c r="J224" s="21">
        <f>IF(OR($A224="",$F224=""),"",IF($B224="Entrada",$F224,-$F224))</f>
        <v>0</v>
      </c>
      <c r="K224" s="20">
        <f>IF($A224="","",IF(OR($B224="",$C224="",$F224="",$G224=""),"Preencher tudo",IF(IFERROR(INDEX(CatTipo,MATCH($C224,CatNome,0)),"")&lt;&gt;$B224,"Categoria x Tipo?","OK")))</f>
        <v>0</v>
      </c>
    </row>
    <row r="225" spans="1:11">
      <c r="A225" s="18"/>
      <c r="B225" s="19"/>
      <c r="C225" s="15"/>
      <c r="D225" s="15"/>
      <c r="E225" s="15"/>
      <c r="F225" s="17"/>
      <c r="G225" s="19"/>
      <c r="H225" s="20">
        <f>IF($A225="","",YEAR($A225))</f>
        <v>0</v>
      </c>
      <c r="I225" s="20">
        <f>IF($A225="","",MONTH($A225))</f>
        <v>0</v>
      </c>
      <c r="J225" s="21">
        <f>IF(OR($A225="",$F225=""),"",IF($B225="Entrada",$F225,-$F225))</f>
        <v>0</v>
      </c>
      <c r="K225" s="20">
        <f>IF($A225="","",IF(OR($B225="",$C225="",$F225="",$G225=""),"Preencher tudo",IF(IFERROR(INDEX(CatTipo,MATCH($C225,CatNome,0)),"")&lt;&gt;$B225,"Categoria x Tipo?","OK")))</f>
        <v>0</v>
      </c>
    </row>
    <row r="226" spans="1:11">
      <c r="A226" s="18"/>
      <c r="B226" s="19"/>
      <c r="C226" s="15"/>
      <c r="D226" s="15"/>
      <c r="E226" s="15"/>
      <c r="F226" s="17"/>
      <c r="G226" s="19"/>
      <c r="H226" s="20">
        <f>IF($A226="","",YEAR($A226))</f>
        <v>0</v>
      </c>
      <c r="I226" s="20">
        <f>IF($A226="","",MONTH($A226))</f>
        <v>0</v>
      </c>
      <c r="J226" s="21">
        <f>IF(OR($A226="",$F226=""),"",IF($B226="Entrada",$F226,-$F226))</f>
        <v>0</v>
      </c>
      <c r="K226" s="20">
        <f>IF($A226="","",IF(OR($B226="",$C226="",$F226="",$G226=""),"Preencher tudo",IF(IFERROR(INDEX(CatTipo,MATCH($C226,CatNome,0)),"")&lt;&gt;$B226,"Categoria x Tipo?","OK")))</f>
        <v>0</v>
      </c>
    </row>
    <row r="227" spans="1:11">
      <c r="A227" s="18"/>
      <c r="B227" s="19"/>
      <c r="C227" s="15"/>
      <c r="D227" s="15"/>
      <c r="E227" s="15"/>
      <c r="F227" s="17"/>
      <c r="G227" s="19"/>
      <c r="H227" s="20">
        <f>IF($A227="","",YEAR($A227))</f>
        <v>0</v>
      </c>
      <c r="I227" s="20">
        <f>IF($A227="","",MONTH($A227))</f>
        <v>0</v>
      </c>
      <c r="J227" s="21">
        <f>IF(OR($A227="",$F227=""),"",IF($B227="Entrada",$F227,-$F227))</f>
        <v>0</v>
      </c>
      <c r="K227" s="20">
        <f>IF($A227="","",IF(OR($B227="",$C227="",$F227="",$G227=""),"Preencher tudo",IF(IFERROR(INDEX(CatTipo,MATCH($C227,CatNome,0)),"")&lt;&gt;$B227,"Categoria x Tipo?","OK")))</f>
        <v>0</v>
      </c>
    </row>
    <row r="228" spans="1:11">
      <c r="A228" s="18"/>
      <c r="B228" s="19"/>
      <c r="C228" s="15"/>
      <c r="D228" s="15"/>
      <c r="E228" s="15"/>
      <c r="F228" s="17"/>
      <c r="G228" s="19"/>
      <c r="H228" s="20">
        <f>IF($A228="","",YEAR($A228))</f>
        <v>0</v>
      </c>
      <c r="I228" s="20">
        <f>IF($A228="","",MONTH($A228))</f>
        <v>0</v>
      </c>
      <c r="J228" s="21">
        <f>IF(OR($A228="",$F228=""),"",IF($B228="Entrada",$F228,-$F228))</f>
        <v>0</v>
      </c>
      <c r="K228" s="20">
        <f>IF($A228="","",IF(OR($B228="",$C228="",$F228="",$G228=""),"Preencher tudo",IF(IFERROR(INDEX(CatTipo,MATCH($C228,CatNome,0)),"")&lt;&gt;$B228,"Categoria x Tipo?","OK")))</f>
        <v>0</v>
      </c>
    </row>
    <row r="229" spans="1:11">
      <c r="A229" s="18"/>
      <c r="B229" s="19"/>
      <c r="C229" s="15"/>
      <c r="D229" s="15"/>
      <c r="E229" s="15"/>
      <c r="F229" s="17"/>
      <c r="G229" s="19"/>
      <c r="H229" s="20">
        <f>IF($A229="","",YEAR($A229))</f>
        <v>0</v>
      </c>
      <c r="I229" s="20">
        <f>IF($A229="","",MONTH($A229))</f>
        <v>0</v>
      </c>
      <c r="J229" s="21">
        <f>IF(OR($A229="",$F229=""),"",IF($B229="Entrada",$F229,-$F229))</f>
        <v>0</v>
      </c>
      <c r="K229" s="20">
        <f>IF($A229="","",IF(OR($B229="",$C229="",$F229="",$G229=""),"Preencher tudo",IF(IFERROR(INDEX(CatTipo,MATCH($C229,CatNome,0)),"")&lt;&gt;$B229,"Categoria x Tipo?","OK")))</f>
        <v>0</v>
      </c>
    </row>
    <row r="230" spans="1:11">
      <c r="A230" s="18"/>
      <c r="B230" s="19"/>
      <c r="C230" s="15"/>
      <c r="D230" s="15"/>
      <c r="E230" s="15"/>
      <c r="F230" s="17"/>
      <c r="G230" s="19"/>
      <c r="H230" s="20">
        <f>IF($A230="","",YEAR($A230))</f>
        <v>0</v>
      </c>
      <c r="I230" s="20">
        <f>IF($A230="","",MONTH($A230))</f>
        <v>0</v>
      </c>
      <c r="J230" s="21">
        <f>IF(OR($A230="",$F230=""),"",IF($B230="Entrada",$F230,-$F230))</f>
        <v>0</v>
      </c>
      <c r="K230" s="20">
        <f>IF($A230="","",IF(OR($B230="",$C230="",$F230="",$G230=""),"Preencher tudo",IF(IFERROR(INDEX(CatTipo,MATCH($C230,CatNome,0)),"")&lt;&gt;$B230,"Categoria x Tipo?","OK")))</f>
        <v>0</v>
      </c>
    </row>
    <row r="231" spans="1:11">
      <c r="A231" s="18"/>
      <c r="B231" s="19"/>
      <c r="C231" s="15"/>
      <c r="D231" s="15"/>
      <c r="E231" s="15"/>
      <c r="F231" s="17"/>
      <c r="G231" s="19"/>
      <c r="H231" s="20">
        <f>IF($A231="","",YEAR($A231))</f>
        <v>0</v>
      </c>
      <c r="I231" s="20">
        <f>IF($A231="","",MONTH($A231))</f>
        <v>0</v>
      </c>
      <c r="J231" s="21">
        <f>IF(OR($A231="",$F231=""),"",IF($B231="Entrada",$F231,-$F231))</f>
        <v>0</v>
      </c>
      <c r="K231" s="20">
        <f>IF($A231="","",IF(OR($B231="",$C231="",$F231="",$G231=""),"Preencher tudo",IF(IFERROR(INDEX(CatTipo,MATCH($C231,CatNome,0)),"")&lt;&gt;$B231,"Categoria x Tipo?","OK")))</f>
        <v>0</v>
      </c>
    </row>
    <row r="232" spans="1:11">
      <c r="A232" s="18"/>
      <c r="B232" s="19"/>
      <c r="C232" s="15"/>
      <c r="D232" s="15"/>
      <c r="E232" s="15"/>
      <c r="F232" s="17"/>
      <c r="G232" s="19"/>
      <c r="H232" s="20">
        <f>IF($A232="","",YEAR($A232))</f>
        <v>0</v>
      </c>
      <c r="I232" s="20">
        <f>IF($A232="","",MONTH($A232))</f>
        <v>0</v>
      </c>
      <c r="J232" s="21">
        <f>IF(OR($A232="",$F232=""),"",IF($B232="Entrada",$F232,-$F232))</f>
        <v>0</v>
      </c>
      <c r="K232" s="20">
        <f>IF($A232="","",IF(OR($B232="",$C232="",$F232="",$G232=""),"Preencher tudo",IF(IFERROR(INDEX(CatTipo,MATCH($C232,CatNome,0)),"")&lt;&gt;$B232,"Categoria x Tipo?","OK")))</f>
        <v>0</v>
      </c>
    </row>
    <row r="233" spans="1:11">
      <c r="A233" s="18"/>
      <c r="B233" s="19"/>
      <c r="C233" s="15"/>
      <c r="D233" s="15"/>
      <c r="E233" s="15"/>
      <c r="F233" s="17"/>
      <c r="G233" s="19"/>
      <c r="H233" s="20">
        <f>IF($A233="","",YEAR($A233))</f>
        <v>0</v>
      </c>
      <c r="I233" s="20">
        <f>IF($A233="","",MONTH($A233))</f>
        <v>0</v>
      </c>
      <c r="J233" s="21">
        <f>IF(OR($A233="",$F233=""),"",IF($B233="Entrada",$F233,-$F233))</f>
        <v>0</v>
      </c>
      <c r="K233" s="20">
        <f>IF($A233="","",IF(OR($B233="",$C233="",$F233="",$G233=""),"Preencher tudo",IF(IFERROR(INDEX(CatTipo,MATCH($C233,CatNome,0)),"")&lt;&gt;$B233,"Categoria x Tipo?","OK")))</f>
        <v>0</v>
      </c>
    </row>
    <row r="234" spans="1:11">
      <c r="A234" s="18"/>
      <c r="B234" s="19"/>
      <c r="C234" s="15"/>
      <c r="D234" s="15"/>
      <c r="E234" s="15"/>
      <c r="F234" s="17"/>
      <c r="G234" s="19"/>
      <c r="H234" s="20">
        <f>IF($A234="","",YEAR($A234))</f>
        <v>0</v>
      </c>
      <c r="I234" s="20">
        <f>IF($A234="","",MONTH($A234))</f>
        <v>0</v>
      </c>
      <c r="J234" s="21">
        <f>IF(OR($A234="",$F234=""),"",IF($B234="Entrada",$F234,-$F234))</f>
        <v>0</v>
      </c>
      <c r="K234" s="20">
        <f>IF($A234="","",IF(OR($B234="",$C234="",$F234="",$G234=""),"Preencher tudo",IF(IFERROR(INDEX(CatTipo,MATCH($C234,CatNome,0)),"")&lt;&gt;$B234,"Categoria x Tipo?","OK")))</f>
        <v>0</v>
      </c>
    </row>
    <row r="235" spans="1:11">
      <c r="A235" s="18"/>
      <c r="B235" s="19"/>
      <c r="C235" s="15"/>
      <c r="D235" s="15"/>
      <c r="E235" s="15"/>
      <c r="F235" s="17"/>
      <c r="G235" s="19"/>
      <c r="H235" s="20">
        <f>IF($A235="","",YEAR($A235))</f>
        <v>0</v>
      </c>
      <c r="I235" s="20">
        <f>IF($A235="","",MONTH($A235))</f>
        <v>0</v>
      </c>
      <c r="J235" s="21">
        <f>IF(OR($A235="",$F235=""),"",IF($B235="Entrada",$F235,-$F235))</f>
        <v>0</v>
      </c>
      <c r="K235" s="20">
        <f>IF($A235="","",IF(OR($B235="",$C235="",$F235="",$G235=""),"Preencher tudo",IF(IFERROR(INDEX(CatTipo,MATCH($C235,CatNome,0)),"")&lt;&gt;$B235,"Categoria x Tipo?","OK")))</f>
        <v>0</v>
      </c>
    </row>
    <row r="236" spans="1:11">
      <c r="A236" s="18"/>
      <c r="B236" s="19"/>
      <c r="C236" s="15"/>
      <c r="D236" s="15"/>
      <c r="E236" s="15"/>
      <c r="F236" s="17"/>
      <c r="G236" s="19"/>
      <c r="H236" s="20">
        <f>IF($A236="","",YEAR($A236))</f>
        <v>0</v>
      </c>
      <c r="I236" s="20">
        <f>IF($A236="","",MONTH($A236))</f>
        <v>0</v>
      </c>
      <c r="J236" s="21">
        <f>IF(OR($A236="",$F236=""),"",IF($B236="Entrada",$F236,-$F236))</f>
        <v>0</v>
      </c>
      <c r="K236" s="20">
        <f>IF($A236="","",IF(OR($B236="",$C236="",$F236="",$G236=""),"Preencher tudo",IF(IFERROR(INDEX(CatTipo,MATCH($C236,CatNome,0)),"")&lt;&gt;$B236,"Categoria x Tipo?","OK")))</f>
        <v>0</v>
      </c>
    </row>
    <row r="237" spans="1:11">
      <c r="A237" s="18"/>
      <c r="B237" s="19"/>
      <c r="C237" s="15"/>
      <c r="D237" s="15"/>
      <c r="E237" s="15"/>
      <c r="F237" s="17"/>
      <c r="G237" s="19"/>
      <c r="H237" s="20">
        <f>IF($A237="","",YEAR($A237))</f>
        <v>0</v>
      </c>
      <c r="I237" s="20">
        <f>IF($A237="","",MONTH($A237))</f>
        <v>0</v>
      </c>
      <c r="J237" s="21">
        <f>IF(OR($A237="",$F237=""),"",IF($B237="Entrada",$F237,-$F237))</f>
        <v>0</v>
      </c>
      <c r="K237" s="20">
        <f>IF($A237="","",IF(OR($B237="",$C237="",$F237="",$G237=""),"Preencher tudo",IF(IFERROR(INDEX(CatTipo,MATCH($C237,CatNome,0)),"")&lt;&gt;$B237,"Categoria x Tipo?","OK")))</f>
        <v>0</v>
      </c>
    </row>
    <row r="238" spans="1:11">
      <c r="A238" s="18"/>
      <c r="B238" s="19"/>
      <c r="C238" s="15"/>
      <c r="D238" s="15"/>
      <c r="E238" s="15"/>
      <c r="F238" s="17"/>
      <c r="G238" s="19"/>
      <c r="H238" s="20">
        <f>IF($A238="","",YEAR($A238))</f>
        <v>0</v>
      </c>
      <c r="I238" s="20">
        <f>IF($A238="","",MONTH($A238))</f>
        <v>0</v>
      </c>
      <c r="J238" s="21">
        <f>IF(OR($A238="",$F238=""),"",IF($B238="Entrada",$F238,-$F238))</f>
        <v>0</v>
      </c>
      <c r="K238" s="20">
        <f>IF($A238="","",IF(OR($B238="",$C238="",$F238="",$G238=""),"Preencher tudo",IF(IFERROR(INDEX(CatTipo,MATCH($C238,CatNome,0)),"")&lt;&gt;$B238,"Categoria x Tipo?","OK")))</f>
        <v>0</v>
      </c>
    </row>
    <row r="239" spans="1:11">
      <c r="A239" s="18"/>
      <c r="B239" s="19"/>
      <c r="C239" s="15"/>
      <c r="D239" s="15"/>
      <c r="E239" s="15"/>
      <c r="F239" s="17"/>
      <c r="G239" s="19"/>
      <c r="H239" s="20">
        <f>IF($A239="","",YEAR($A239))</f>
        <v>0</v>
      </c>
      <c r="I239" s="20">
        <f>IF($A239="","",MONTH($A239))</f>
        <v>0</v>
      </c>
      <c r="J239" s="21">
        <f>IF(OR($A239="",$F239=""),"",IF($B239="Entrada",$F239,-$F239))</f>
        <v>0</v>
      </c>
      <c r="K239" s="20">
        <f>IF($A239="","",IF(OR($B239="",$C239="",$F239="",$G239=""),"Preencher tudo",IF(IFERROR(INDEX(CatTipo,MATCH($C239,CatNome,0)),"")&lt;&gt;$B239,"Categoria x Tipo?","OK")))</f>
        <v>0</v>
      </c>
    </row>
    <row r="240" spans="1:11">
      <c r="A240" s="18"/>
      <c r="B240" s="19"/>
      <c r="C240" s="15"/>
      <c r="D240" s="15"/>
      <c r="E240" s="15"/>
      <c r="F240" s="17"/>
      <c r="G240" s="19"/>
      <c r="H240" s="20">
        <f>IF($A240="","",YEAR($A240))</f>
        <v>0</v>
      </c>
      <c r="I240" s="20">
        <f>IF($A240="","",MONTH($A240))</f>
        <v>0</v>
      </c>
      <c r="J240" s="21">
        <f>IF(OR($A240="",$F240=""),"",IF($B240="Entrada",$F240,-$F240))</f>
        <v>0</v>
      </c>
      <c r="K240" s="20">
        <f>IF($A240="","",IF(OR($B240="",$C240="",$F240="",$G240=""),"Preencher tudo",IF(IFERROR(INDEX(CatTipo,MATCH($C240,CatNome,0)),"")&lt;&gt;$B240,"Categoria x Tipo?","OK")))</f>
        <v>0</v>
      </c>
    </row>
    <row r="241" spans="1:11">
      <c r="A241" s="18"/>
      <c r="B241" s="19"/>
      <c r="C241" s="15"/>
      <c r="D241" s="15"/>
      <c r="E241" s="15"/>
      <c r="F241" s="17"/>
      <c r="G241" s="19"/>
      <c r="H241" s="20">
        <f>IF($A241="","",YEAR($A241))</f>
        <v>0</v>
      </c>
      <c r="I241" s="20">
        <f>IF($A241="","",MONTH($A241))</f>
        <v>0</v>
      </c>
      <c r="J241" s="21">
        <f>IF(OR($A241="",$F241=""),"",IF($B241="Entrada",$F241,-$F241))</f>
        <v>0</v>
      </c>
      <c r="K241" s="20">
        <f>IF($A241="","",IF(OR($B241="",$C241="",$F241="",$G241=""),"Preencher tudo",IF(IFERROR(INDEX(CatTipo,MATCH($C241,CatNome,0)),"")&lt;&gt;$B241,"Categoria x Tipo?","OK")))</f>
        <v>0</v>
      </c>
    </row>
    <row r="242" spans="1:11">
      <c r="A242" s="18"/>
      <c r="B242" s="19"/>
      <c r="C242" s="15"/>
      <c r="D242" s="15"/>
      <c r="E242" s="15"/>
      <c r="F242" s="17"/>
      <c r="G242" s="19"/>
      <c r="H242" s="20">
        <f>IF($A242="","",YEAR($A242))</f>
        <v>0</v>
      </c>
      <c r="I242" s="20">
        <f>IF($A242="","",MONTH($A242))</f>
        <v>0</v>
      </c>
      <c r="J242" s="21">
        <f>IF(OR($A242="",$F242=""),"",IF($B242="Entrada",$F242,-$F242))</f>
        <v>0</v>
      </c>
      <c r="K242" s="20">
        <f>IF($A242="","",IF(OR($B242="",$C242="",$F242="",$G242=""),"Preencher tudo",IF(IFERROR(INDEX(CatTipo,MATCH($C242,CatNome,0)),"")&lt;&gt;$B242,"Categoria x Tipo?","OK")))</f>
        <v>0</v>
      </c>
    </row>
    <row r="243" spans="1:11">
      <c r="A243" s="18"/>
      <c r="B243" s="19"/>
      <c r="C243" s="15"/>
      <c r="D243" s="15"/>
      <c r="E243" s="15"/>
      <c r="F243" s="17"/>
      <c r="G243" s="19"/>
      <c r="H243" s="20">
        <f>IF($A243="","",YEAR($A243))</f>
        <v>0</v>
      </c>
      <c r="I243" s="20">
        <f>IF($A243="","",MONTH($A243))</f>
        <v>0</v>
      </c>
      <c r="J243" s="21">
        <f>IF(OR($A243="",$F243=""),"",IF($B243="Entrada",$F243,-$F243))</f>
        <v>0</v>
      </c>
      <c r="K243" s="20">
        <f>IF($A243="","",IF(OR($B243="",$C243="",$F243="",$G243=""),"Preencher tudo",IF(IFERROR(INDEX(CatTipo,MATCH($C243,CatNome,0)),"")&lt;&gt;$B243,"Categoria x Tipo?","OK")))</f>
        <v>0</v>
      </c>
    </row>
    <row r="244" spans="1:11">
      <c r="A244" s="18"/>
      <c r="B244" s="19"/>
      <c r="C244" s="15"/>
      <c r="D244" s="15"/>
      <c r="E244" s="15"/>
      <c r="F244" s="17"/>
      <c r="G244" s="19"/>
      <c r="H244" s="20">
        <f>IF($A244="","",YEAR($A244))</f>
        <v>0</v>
      </c>
      <c r="I244" s="20">
        <f>IF($A244="","",MONTH($A244))</f>
        <v>0</v>
      </c>
      <c r="J244" s="21">
        <f>IF(OR($A244="",$F244=""),"",IF($B244="Entrada",$F244,-$F244))</f>
        <v>0</v>
      </c>
      <c r="K244" s="20">
        <f>IF($A244="","",IF(OR($B244="",$C244="",$F244="",$G244=""),"Preencher tudo",IF(IFERROR(INDEX(CatTipo,MATCH($C244,CatNome,0)),"")&lt;&gt;$B244,"Categoria x Tipo?","OK")))</f>
        <v>0</v>
      </c>
    </row>
    <row r="245" spans="1:11">
      <c r="A245" s="18"/>
      <c r="B245" s="19"/>
      <c r="C245" s="15"/>
      <c r="D245" s="15"/>
      <c r="E245" s="15"/>
      <c r="F245" s="17"/>
      <c r="G245" s="19"/>
      <c r="H245" s="20">
        <f>IF($A245="","",YEAR($A245))</f>
        <v>0</v>
      </c>
      <c r="I245" s="20">
        <f>IF($A245="","",MONTH($A245))</f>
        <v>0</v>
      </c>
      <c r="J245" s="21">
        <f>IF(OR($A245="",$F245=""),"",IF($B245="Entrada",$F245,-$F245))</f>
        <v>0</v>
      </c>
      <c r="K245" s="20">
        <f>IF($A245="","",IF(OR($B245="",$C245="",$F245="",$G245=""),"Preencher tudo",IF(IFERROR(INDEX(CatTipo,MATCH($C245,CatNome,0)),"")&lt;&gt;$B245,"Categoria x Tipo?","OK")))</f>
        <v>0</v>
      </c>
    </row>
    <row r="246" spans="1:11">
      <c r="A246" s="18"/>
      <c r="B246" s="19"/>
      <c r="C246" s="15"/>
      <c r="D246" s="15"/>
      <c r="E246" s="15"/>
      <c r="F246" s="17"/>
      <c r="G246" s="19"/>
      <c r="H246" s="20">
        <f>IF($A246="","",YEAR($A246))</f>
        <v>0</v>
      </c>
      <c r="I246" s="20">
        <f>IF($A246="","",MONTH($A246))</f>
        <v>0</v>
      </c>
      <c r="J246" s="21">
        <f>IF(OR($A246="",$F246=""),"",IF($B246="Entrada",$F246,-$F246))</f>
        <v>0</v>
      </c>
      <c r="K246" s="20">
        <f>IF($A246="","",IF(OR($B246="",$C246="",$F246="",$G246=""),"Preencher tudo",IF(IFERROR(INDEX(CatTipo,MATCH($C246,CatNome,0)),"")&lt;&gt;$B246,"Categoria x Tipo?","OK")))</f>
        <v>0</v>
      </c>
    </row>
    <row r="247" spans="1:11">
      <c r="A247" s="18"/>
      <c r="B247" s="19"/>
      <c r="C247" s="15"/>
      <c r="D247" s="15"/>
      <c r="E247" s="15"/>
      <c r="F247" s="17"/>
      <c r="G247" s="19"/>
      <c r="H247" s="20">
        <f>IF($A247="","",YEAR($A247))</f>
        <v>0</v>
      </c>
      <c r="I247" s="20">
        <f>IF($A247="","",MONTH($A247))</f>
        <v>0</v>
      </c>
      <c r="J247" s="21">
        <f>IF(OR($A247="",$F247=""),"",IF($B247="Entrada",$F247,-$F247))</f>
        <v>0</v>
      </c>
      <c r="K247" s="20">
        <f>IF($A247="","",IF(OR($B247="",$C247="",$F247="",$G247=""),"Preencher tudo",IF(IFERROR(INDEX(CatTipo,MATCH($C247,CatNome,0)),"")&lt;&gt;$B247,"Categoria x Tipo?","OK")))</f>
        <v>0</v>
      </c>
    </row>
    <row r="248" spans="1:11">
      <c r="A248" s="18"/>
      <c r="B248" s="19"/>
      <c r="C248" s="15"/>
      <c r="D248" s="15"/>
      <c r="E248" s="15"/>
      <c r="F248" s="17"/>
      <c r="G248" s="19"/>
      <c r="H248" s="20">
        <f>IF($A248="","",YEAR($A248))</f>
        <v>0</v>
      </c>
      <c r="I248" s="20">
        <f>IF($A248="","",MONTH($A248))</f>
        <v>0</v>
      </c>
      <c r="J248" s="21">
        <f>IF(OR($A248="",$F248=""),"",IF($B248="Entrada",$F248,-$F248))</f>
        <v>0</v>
      </c>
      <c r="K248" s="20">
        <f>IF($A248="","",IF(OR($B248="",$C248="",$F248="",$G248=""),"Preencher tudo",IF(IFERROR(INDEX(CatTipo,MATCH($C248,CatNome,0)),"")&lt;&gt;$B248,"Categoria x Tipo?","OK")))</f>
        <v>0</v>
      </c>
    </row>
    <row r="249" spans="1:11">
      <c r="A249" s="18"/>
      <c r="B249" s="19"/>
      <c r="C249" s="15"/>
      <c r="D249" s="15"/>
      <c r="E249" s="15"/>
      <c r="F249" s="17"/>
      <c r="G249" s="19"/>
      <c r="H249" s="20">
        <f>IF($A249="","",YEAR($A249))</f>
        <v>0</v>
      </c>
      <c r="I249" s="20">
        <f>IF($A249="","",MONTH($A249))</f>
        <v>0</v>
      </c>
      <c r="J249" s="21">
        <f>IF(OR($A249="",$F249=""),"",IF($B249="Entrada",$F249,-$F249))</f>
        <v>0</v>
      </c>
      <c r="K249" s="20">
        <f>IF($A249="","",IF(OR($B249="",$C249="",$F249="",$G249=""),"Preencher tudo",IF(IFERROR(INDEX(CatTipo,MATCH($C249,CatNome,0)),"")&lt;&gt;$B249,"Categoria x Tipo?","OK")))</f>
        <v>0</v>
      </c>
    </row>
    <row r="250" spans="1:11">
      <c r="A250" s="18"/>
      <c r="B250" s="19"/>
      <c r="C250" s="15"/>
      <c r="D250" s="15"/>
      <c r="E250" s="15"/>
      <c r="F250" s="17"/>
      <c r="G250" s="19"/>
      <c r="H250" s="20">
        <f>IF($A250="","",YEAR($A250))</f>
        <v>0</v>
      </c>
      <c r="I250" s="20">
        <f>IF($A250="","",MONTH($A250))</f>
        <v>0</v>
      </c>
      <c r="J250" s="21">
        <f>IF(OR($A250="",$F250=""),"",IF($B250="Entrada",$F250,-$F250))</f>
        <v>0</v>
      </c>
      <c r="K250" s="20">
        <f>IF($A250="","",IF(OR($B250="",$C250="",$F250="",$G250=""),"Preencher tudo",IF(IFERROR(INDEX(CatTipo,MATCH($C250,CatNome,0)),"")&lt;&gt;$B250,"Categoria x Tipo?","OK")))</f>
        <v>0</v>
      </c>
    </row>
    <row r="251" spans="1:11">
      <c r="A251" s="18"/>
      <c r="B251" s="19"/>
      <c r="C251" s="15"/>
      <c r="D251" s="15"/>
      <c r="E251" s="15"/>
      <c r="F251" s="17"/>
      <c r="G251" s="19"/>
      <c r="H251" s="20">
        <f>IF($A251="","",YEAR($A251))</f>
        <v>0</v>
      </c>
      <c r="I251" s="20">
        <f>IF($A251="","",MONTH($A251))</f>
        <v>0</v>
      </c>
      <c r="J251" s="21">
        <f>IF(OR($A251="",$F251=""),"",IF($B251="Entrada",$F251,-$F251))</f>
        <v>0</v>
      </c>
      <c r="K251" s="20">
        <f>IF($A251="","",IF(OR($B251="",$C251="",$F251="",$G251=""),"Preencher tudo",IF(IFERROR(INDEX(CatTipo,MATCH($C251,CatNome,0)),"")&lt;&gt;$B251,"Categoria x Tipo?","OK")))</f>
        <v>0</v>
      </c>
    </row>
    <row r="252" spans="1:11">
      <c r="A252" s="18"/>
      <c r="B252" s="19"/>
      <c r="C252" s="15"/>
      <c r="D252" s="15"/>
      <c r="E252" s="15"/>
      <c r="F252" s="17"/>
      <c r="G252" s="19"/>
      <c r="H252" s="20">
        <f>IF($A252="","",YEAR($A252))</f>
        <v>0</v>
      </c>
      <c r="I252" s="20">
        <f>IF($A252="","",MONTH($A252))</f>
        <v>0</v>
      </c>
      <c r="J252" s="21">
        <f>IF(OR($A252="",$F252=""),"",IF($B252="Entrada",$F252,-$F252))</f>
        <v>0</v>
      </c>
      <c r="K252" s="20">
        <f>IF($A252="","",IF(OR($B252="",$C252="",$F252="",$G252=""),"Preencher tudo",IF(IFERROR(INDEX(CatTipo,MATCH($C252,CatNome,0)),"")&lt;&gt;$B252,"Categoria x Tipo?","OK")))</f>
        <v>0</v>
      </c>
    </row>
    <row r="253" spans="1:11">
      <c r="A253" s="18"/>
      <c r="B253" s="19"/>
      <c r="C253" s="15"/>
      <c r="D253" s="15"/>
      <c r="E253" s="15"/>
      <c r="F253" s="17"/>
      <c r="G253" s="19"/>
      <c r="H253" s="20">
        <f>IF($A253="","",YEAR($A253))</f>
        <v>0</v>
      </c>
      <c r="I253" s="20">
        <f>IF($A253="","",MONTH($A253))</f>
        <v>0</v>
      </c>
      <c r="J253" s="21">
        <f>IF(OR($A253="",$F253=""),"",IF($B253="Entrada",$F253,-$F253))</f>
        <v>0</v>
      </c>
      <c r="K253" s="20">
        <f>IF($A253="","",IF(OR($B253="",$C253="",$F253="",$G253=""),"Preencher tudo",IF(IFERROR(INDEX(CatTipo,MATCH($C253,CatNome,0)),"")&lt;&gt;$B253,"Categoria x Tipo?","OK")))</f>
        <v>0</v>
      </c>
    </row>
    <row r="254" spans="1:11">
      <c r="A254" s="18"/>
      <c r="B254" s="19"/>
      <c r="C254" s="15"/>
      <c r="D254" s="15"/>
      <c r="E254" s="15"/>
      <c r="F254" s="17"/>
      <c r="G254" s="19"/>
      <c r="H254" s="20">
        <f>IF($A254="","",YEAR($A254))</f>
        <v>0</v>
      </c>
      <c r="I254" s="20">
        <f>IF($A254="","",MONTH($A254))</f>
        <v>0</v>
      </c>
      <c r="J254" s="21">
        <f>IF(OR($A254="",$F254=""),"",IF($B254="Entrada",$F254,-$F254))</f>
        <v>0</v>
      </c>
      <c r="K254" s="20">
        <f>IF($A254="","",IF(OR($B254="",$C254="",$F254="",$G254=""),"Preencher tudo",IF(IFERROR(INDEX(CatTipo,MATCH($C254,CatNome,0)),"")&lt;&gt;$B254,"Categoria x Tipo?","OK")))</f>
        <v>0</v>
      </c>
    </row>
    <row r="255" spans="1:11">
      <c r="A255" s="18"/>
      <c r="B255" s="19"/>
      <c r="C255" s="15"/>
      <c r="D255" s="15"/>
      <c r="E255" s="15"/>
      <c r="F255" s="17"/>
      <c r="G255" s="19"/>
      <c r="H255" s="20">
        <f>IF($A255="","",YEAR($A255))</f>
        <v>0</v>
      </c>
      <c r="I255" s="20">
        <f>IF($A255="","",MONTH($A255))</f>
        <v>0</v>
      </c>
      <c r="J255" s="21">
        <f>IF(OR($A255="",$F255=""),"",IF($B255="Entrada",$F255,-$F255))</f>
        <v>0</v>
      </c>
      <c r="K255" s="20">
        <f>IF($A255="","",IF(OR($B255="",$C255="",$F255="",$G255=""),"Preencher tudo",IF(IFERROR(INDEX(CatTipo,MATCH($C255,CatNome,0)),"")&lt;&gt;$B255,"Categoria x Tipo?","OK")))</f>
        <v>0</v>
      </c>
    </row>
    <row r="256" spans="1:11">
      <c r="A256" s="18"/>
      <c r="B256" s="19"/>
      <c r="C256" s="15"/>
      <c r="D256" s="15"/>
      <c r="E256" s="15"/>
      <c r="F256" s="17"/>
      <c r="G256" s="19"/>
      <c r="H256" s="20">
        <f>IF($A256="","",YEAR($A256))</f>
        <v>0</v>
      </c>
      <c r="I256" s="20">
        <f>IF($A256="","",MONTH($A256))</f>
        <v>0</v>
      </c>
      <c r="J256" s="21">
        <f>IF(OR($A256="",$F256=""),"",IF($B256="Entrada",$F256,-$F256))</f>
        <v>0</v>
      </c>
      <c r="K256" s="20">
        <f>IF($A256="","",IF(OR($B256="",$C256="",$F256="",$G256=""),"Preencher tudo",IF(IFERROR(INDEX(CatTipo,MATCH($C256,CatNome,0)),"")&lt;&gt;$B256,"Categoria x Tipo?","OK")))</f>
        <v>0</v>
      </c>
    </row>
    <row r="257" spans="1:11">
      <c r="A257" s="18"/>
      <c r="B257" s="19"/>
      <c r="C257" s="15"/>
      <c r="D257" s="15"/>
      <c r="E257" s="15"/>
      <c r="F257" s="17"/>
      <c r="G257" s="19"/>
      <c r="H257" s="20">
        <f>IF($A257="","",YEAR($A257))</f>
        <v>0</v>
      </c>
      <c r="I257" s="20">
        <f>IF($A257="","",MONTH($A257))</f>
        <v>0</v>
      </c>
      <c r="J257" s="21">
        <f>IF(OR($A257="",$F257=""),"",IF($B257="Entrada",$F257,-$F257))</f>
        <v>0</v>
      </c>
      <c r="K257" s="20">
        <f>IF($A257="","",IF(OR($B257="",$C257="",$F257="",$G257=""),"Preencher tudo",IF(IFERROR(INDEX(CatTipo,MATCH($C257,CatNome,0)),"")&lt;&gt;$B257,"Categoria x Tipo?","OK")))</f>
        <v>0</v>
      </c>
    </row>
    <row r="258" spans="1:11">
      <c r="A258" s="18"/>
      <c r="B258" s="19"/>
      <c r="C258" s="15"/>
      <c r="D258" s="15"/>
      <c r="E258" s="15"/>
      <c r="F258" s="17"/>
      <c r="G258" s="19"/>
      <c r="H258" s="20">
        <f>IF($A258="","",YEAR($A258))</f>
        <v>0</v>
      </c>
      <c r="I258" s="20">
        <f>IF($A258="","",MONTH($A258))</f>
        <v>0</v>
      </c>
      <c r="J258" s="21">
        <f>IF(OR($A258="",$F258=""),"",IF($B258="Entrada",$F258,-$F258))</f>
        <v>0</v>
      </c>
      <c r="K258" s="20">
        <f>IF($A258="","",IF(OR($B258="",$C258="",$F258="",$G258=""),"Preencher tudo",IF(IFERROR(INDEX(CatTipo,MATCH($C258,CatNome,0)),"")&lt;&gt;$B258,"Categoria x Tipo?","OK")))</f>
        <v>0</v>
      </c>
    </row>
    <row r="259" spans="1:11">
      <c r="A259" s="18"/>
      <c r="B259" s="19"/>
      <c r="C259" s="15"/>
      <c r="D259" s="15"/>
      <c r="E259" s="15"/>
      <c r="F259" s="17"/>
      <c r="G259" s="19"/>
      <c r="H259" s="20">
        <f>IF($A259="","",YEAR($A259))</f>
        <v>0</v>
      </c>
      <c r="I259" s="20">
        <f>IF($A259="","",MONTH($A259))</f>
        <v>0</v>
      </c>
      <c r="J259" s="21">
        <f>IF(OR($A259="",$F259=""),"",IF($B259="Entrada",$F259,-$F259))</f>
        <v>0</v>
      </c>
      <c r="K259" s="20">
        <f>IF($A259="","",IF(OR($B259="",$C259="",$F259="",$G259=""),"Preencher tudo",IF(IFERROR(INDEX(CatTipo,MATCH($C259,CatNome,0)),"")&lt;&gt;$B259,"Categoria x Tipo?","OK")))</f>
        <v>0</v>
      </c>
    </row>
    <row r="260" spans="1:11">
      <c r="A260" s="18"/>
      <c r="B260" s="19"/>
      <c r="C260" s="15"/>
      <c r="D260" s="15"/>
      <c r="E260" s="15"/>
      <c r="F260" s="17"/>
      <c r="G260" s="19"/>
      <c r="H260" s="20">
        <f>IF($A260="","",YEAR($A260))</f>
        <v>0</v>
      </c>
      <c r="I260" s="20">
        <f>IF($A260="","",MONTH($A260))</f>
        <v>0</v>
      </c>
      <c r="J260" s="21">
        <f>IF(OR($A260="",$F260=""),"",IF($B260="Entrada",$F260,-$F260))</f>
        <v>0</v>
      </c>
      <c r="K260" s="20">
        <f>IF($A260="","",IF(OR($B260="",$C260="",$F260="",$G260=""),"Preencher tudo",IF(IFERROR(INDEX(CatTipo,MATCH($C260,CatNome,0)),"")&lt;&gt;$B260,"Categoria x Tipo?","OK")))</f>
        <v>0</v>
      </c>
    </row>
    <row r="261" spans="1:11">
      <c r="A261" s="18"/>
      <c r="B261" s="19"/>
      <c r="C261" s="15"/>
      <c r="D261" s="15"/>
      <c r="E261" s="15"/>
      <c r="F261" s="17"/>
      <c r="G261" s="19"/>
      <c r="H261" s="20">
        <f>IF($A261="","",YEAR($A261))</f>
        <v>0</v>
      </c>
      <c r="I261" s="20">
        <f>IF($A261="","",MONTH($A261))</f>
        <v>0</v>
      </c>
      <c r="J261" s="21">
        <f>IF(OR($A261="",$F261=""),"",IF($B261="Entrada",$F261,-$F261))</f>
        <v>0</v>
      </c>
      <c r="K261" s="20">
        <f>IF($A261="","",IF(OR($B261="",$C261="",$F261="",$G261=""),"Preencher tudo",IF(IFERROR(INDEX(CatTipo,MATCH($C261,CatNome,0)),"")&lt;&gt;$B261,"Categoria x Tipo?","OK")))</f>
        <v>0</v>
      </c>
    </row>
    <row r="262" spans="1:11">
      <c r="A262" s="18"/>
      <c r="B262" s="19"/>
      <c r="C262" s="15"/>
      <c r="D262" s="15"/>
      <c r="E262" s="15"/>
      <c r="F262" s="17"/>
      <c r="G262" s="19"/>
      <c r="H262" s="20">
        <f>IF($A262="","",YEAR($A262))</f>
        <v>0</v>
      </c>
      <c r="I262" s="20">
        <f>IF($A262="","",MONTH($A262))</f>
        <v>0</v>
      </c>
      <c r="J262" s="21">
        <f>IF(OR($A262="",$F262=""),"",IF($B262="Entrada",$F262,-$F262))</f>
        <v>0</v>
      </c>
      <c r="K262" s="20">
        <f>IF($A262="","",IF(OR($B262="",$C262="",$F262="",$G262=""),"Preencher tudo",IF(IFERROR(INDEX(CatTipo,MATCH($C262,CatNome,0)),"")&lt;&gt;$B262,"Categoria x Tipo?","OK")))</f>
        <v>0</v>
      </c>
    </row>
    <row r="263" spans="1:11">
      <c r="A263" s="18"/>
      <c r="B263" s="19"/>
      <c r="C263" s="15"/>
      <c r="D263" s="15"/>
      <c r="E263" s="15"/>
      <c r="F263" s="17"/>
      <c r="G263" s="19"/>
      <c r="H263" s="20">
        <f>IF($A263="","",YEAR($A263))</f>
        <v>0</v>
      </c>
      <c r="I263" s="20">
        <f>IF($A263="","",MONTH($A263))</f>
        <v>0</v>
      </c>
      <c r="J263" s="21">
        <f>IF(OR($A263="",$F263=""),"",IF($B263="Entrada",$F263,-$F263))</f>
        <v>0</v>
      </c>
      <c r="K263" s="20">
        <f>IF($A263="","",IF(OR($B263="",$C263="",$F263="",$G263=""),"Preencher tudo",IF(IFERROR(INDEX(CatTipo,MATCH($C263,CatNome,0)),"")&lt;&gt;$B263,"Categoria x Tipo?","OK")))</f>
        <v>0</v>
      </c>
    </row>
    <row r="264" spans="1:11">
      <c r="A264" s="18"/>
      <c r="B264" s="19"/>
      <c r="C264" s="15"/>
      <c r="D264" s="15"/>
      <c r="E264" s="15"/>
      <c r="F264" s="17"/>
      <c r="G264" s="19"/>
      <c r="H264" s="20">
        <f>IF($A264="","",YEAR($A264))</f>
        <v>0</v>
      </c>
      <c r="I264" s="20">
        <f>IF($A264="","",MONTH($A264))</f>
        <v>0</v>
      </c>
      <c r="J264" s="21">
        <f>IF(OR($A264="",$F264=""),"",IF($B264="Entrada",$F264,-$F264))</f>
        <v>0</v>
      </c>
      <c r="K264" s="20">
        <f>IF($A264="","",IF(OR($B264="",$C264="",$F264="",$G264=""),"Preencher tudo",IF(IFERROR(INDEX(CatTipo,MATCH($C264,CatNome,0)),"")&lt;&gt;$B264,"Categoria x Tipo?","OK")))</f>
        <v>0</v>
      </c>
    </row>
    <row r="265" spans="1:11">
      <c r="A265" s="18"/>
      <c r="B265" s="19"/>
      <c r="C265" s="15"/>
      <c r="D265" s="15"/>
      <c r="E265" s="15"/>
      <c r="F265" s="17"/>
      <c r="G265" s="19"/>
      <c r="H265" s="20">
        <f>IF($A265="","",YEAR($A265))</f>
        <v>0</v>
      </c>
      <c r="I265" s="20">
        <f>IF($A265="","",MONTH($A265))</f>
        <v>0</v>
      </c>
      <c r="J265" s="21">
        <f>IF(OR($A265="",$F265=""),"",IF($B265="Entrada",$F265,-$F265))</f>
        <v>0</v>
      </c>
      <c r="K265" s="20">
        <f>IF($A265="","",IF(OR($B265="",$C265="",$F265="",$G265=""),"Preencher tudo",IF(IFERROR(INDEX(CatTipo,MATCH($C265,CatNome,0)),"")&lt;&gt;$B265,"Categoria x Tipo?","OK")))</f>
        <v>0</v>
      </c>
    </row>
    <row r="266" spans="1:11">
      <c r="A266" s="18"/>
      <c r="B266" s="19"/>
      <c r="C266" s="15"/>
      <c r="D266" s="15"/>
      <c r="E266" s="15"/>
      <c r="F266" s="17"/>
      <c r="G266" s="19"/>
      <c r="H266" s="20">
        <f>IF($A266="","",YEAR($A266))</f>
        <v>0</v>
      </c>
      <c r="I266" s="20">
        <f>IF($A266="","",MONTH($A266))</f>
        <v>0</v>
      </c>
      <c r="J266" s="21">
        <f>IF(OR($A266="",$F266=""),"",IF($B266="Entrada",$F266,-$F266))</f>
        <v>0</v>
      </c>
      <c r="K266" s="20">
        <f>IF($A266="","",IF(OR($B266="",$C266="",$F266="",$G266=""),"Preencher tudo",IF(IFERROR(INDEX(CatTipo,MATCH($C266,CatNome,0)),"")&lt;&gt;$B266,"Categoria x Tipo?","OK")))</f>
        <v>0</v>
      </c>
    </row>
    <row r="267" spans="1:11">
      <c r="A267" s="18"/>
      <c r="B267" s="19"/>
      <c r="C267" s="15"/>
      <c r="D267" s="15"/>
      <c r="E267" s="15"/>
      <c r="F267" s="17"/>
      <c r="G267" s="19"/>
      <c r="H267" s="20">
        <f>IF($A267="","",YEAR($A267))</f>
        <v>0</v>
      </c>
      <c r="I267" s="20">
        <f>IF($A267="","",MONTH($A267))</f>
        <v>0</v>
      </c>
      <c r="J267" s="21">
        <f>IF(OR($A267="",$F267=""),"",IF($B267="Entrada",$F267,-$F267))</f>
        <v>0</v>
      </c>
      <c r="K267" s="20">
        <f>IF($A267="","",IF(OR($B267="",$C267="",$F267="",$G267=""),"Preencher tudo",IF(IFERROR(INDEX(CatTipo,MATCH($C267,CatNome,0)),"")&lt;&gt;$B267,"Categoria x Tipo?","OK")))</f>
        <v>0</v>
      </c>
    </row>
    <row r="268" spans="1:11">
      <c r="A268" s="18"/>
      <c r="B268" s="19"/>
      <c r="C268" s="15"/>
      <c r="D268" s="15"/>
      <c r="E268" s="15"/>
      <c r="F268" s="17"/>
      <c r="G268" s="19"/>
      <c r="H268" s="20">
        <f>IF($A268="","",YEAR($A268))</f>
        <v>0</v>
      </c>
      <c r="I268" s="20">
        <f>IF($A268="","",MONTH($A268))</f>
        <v>0</v>
      </c>
      <c r="J268" s="21">
        <f>IF(OR($A268="",$F268=""),"",IF($B268="Entrada",$F268,-$F268))</f>
        <v>0</v>
      </c>
      <c r="K268" s="20">
        <f>IF($A268="","",IF(OR($B268="",$C268="",$F268="",$G268=""),"Preencher tudo",IF(IFERROR(INDEX(CatTipo,MATCH($C268,CatNome,0)),"")&lt;&gt;$B268,"Categoria x Tipo?","OK")))</f>
        <v>0</v>
      </c>
    </row>
    <row r="269" spans="1:11">
      <c r="A269" s="18"/>
      <c r="B269" s="19"/>
      <c r="C269" s="15"/>
      <c r="D269" s="15"/>
      <c r="E269" s="15"/>
      <c r="F269" s="17"/>
      <c r="G269" s="19"/>
      <c r="H269" s="20">
        <f>IF($A269="","",YEAR($A269))</f>
        <v>0</v>
      </c>
      <c r="I269" s="20">
        <f>IF($A269="","",MONTH($A269))</f>
        <v>0</v>
      </c>
      <c r="J269" s="21">
        <f>IF(OR($A269="",$F269=""),"",IF($B269="Entrada",$F269,-$F269))</f>
        <v>0</v>
      </c>
      <c r="K269" s="20">
        <f>IF($A269="","",IF(OR($B269="",$C269="",$F269="",$G269=""),"Preencher tudo",IF(IFERROR(INDEX(CatTipo,MATCH($C269,CatNome,0)),"")&lt;&gt;$B269,"Categoria x Tipo?","OK")))</f>
        <v>0</v>
      </c>
    </row>
    <row r="270" spans="1:11">
      <c r="A270" s="18"/>
      <c r="B270" s="19"/>
      <c r="C270" s="15"/>
      <c r="D270" s="15"/>
      <c r="E270" s="15"/>
      <c r="F270" s="17"/>
      <c r="G270" s="19"/>
      <c r="H270" s="20">
        <f>IF($A270="","",YEAR($A270))</f>
        <v>0</v>
      </c>
      <c r="I270" s="20">
        <f>IF($A270="","",MONTH($A270))</f>
        <v>0</v>
      </c>
      <c r="J270" s="21">
        <f>IF(OR($A270="",$F270=""),"",IF($B270="Entrada",$F270,-$F270))</f>
        <v>0</v>
      </c>
      <c r="K270" s="20">
        <f>IF($A270="","",IF(OR($B270="",$C270="",$F270="",$G270=""),"Preencher tudo",IF(IFERROR(INDEX(CatTipo,MATCH($C270,CatNome,0)),"")&lt;&gt;$B270,"Categoria x Tipo?","OK")))</f>
        <v>0</v>
      </c>
    </row>
    <row r="271" spans="1:11">
      <c r="A271" s="18"/>
      <c r="B271" s="19"/>
      <c r="C271" s="15"/>
      <c r="D271" s="15"/>
      <c r="E271" s="15"/>
      <c r="F271" s="17"/>
      <c r="G271" s="19"/>
      <c r="H271" s="20">
        <f>IF($A271="","",YEAR($A271))</f>
        <v>0</v>
      </c>
      <c r="I271" s="20">
        <f>IF($A271="","",MONTH($A271))</f>
        <v>0</v>
      </c>
      <c r="J271" s="21">
        <f>IF(OR($A271="",$F271=""),"",IF($B271="Entrada",$F271,-$F271))</f>
        <v>0</v>
      </c>
      <c r="K271" s="20">
        <f>IF($A271="","",IF(OR($B271="",$C271="",$F271="",$G271=""),"Preencher tudo",IF(IFERROR(INDEX(CatTipo,MATCH($C271,CatNome,0)),"")&lt;&gt;$B271,"Categoria x Tipo?","OK")))</f>
        <v>0</v>
      </c>
    </row>
    <row r="272" spans="1:11">
      <c r="A272" s="18"/>
      <c r="B272" s="19"/>
      <c r="C272" s="15"/>
      <c r="D272" s="15"/>
      <c r="E272" s="15"/>
      <c r="F272" s="17"/>
      <c r="G272" s="19"/>
      <c r="H272" s="20">
        <f>IF($A272="","",YEAR($A272))</f>
        <v>0</v>
      </c>
      <c r="I272" s="20">
        <f>IF($A272="","",MONTH($A272))</f>
        <v>0</v>
      </c>
      <c r="J272" s="21">
        <f>IF(OR($A272="",$F272=""),"",IF($B272="Entrada",$F272,-$F272))</f>
        <v>0</v>
      </c>
      <c r="K272" s="20">
        <f>IF($A272="","",IF(OR($B272="",$C272="",$F272="",$G272=""),"Preencher tudo",IF(IFERROR(INDEX(CatTipo,MATCH($C272,CatNome,0)),"")&lt;&gt;$B272,"Categoria x Tipo?","OK")))</f>
        <v>0</v>
      </c>
    </row>
    <row r="273" spans="1:11">
      <c r="A273" s="18"/>
      <c r="B273" s="19"/>
      <c r="C273" s="15"/>
      <c r="D273" s="15"/>
      <c r="E273" s="15"/>
      <c r="F273" s="17"/>
      <c r="G273" s="19"/>
      <c r="H273" s="20">
        <f>IF($A273="","",YEAR($A273))</f>
        <v>0</v>
      </c>
      <c r="I273" s="20">
        <f>IF($A273="","",MONTH($A273))</f>
        <v>0</v>
      </c>
      <c r="J273" s="21">
        <f>IF(OR($A273="",$F273=""),"",IF($B273="Entrada",$F273,-$F273))</f>
        <v>0</v>
      </c>
      <c r="K273" s="20">
        <f>IF($A273="","",IF(OR($B273="",$C273="",$F273="",$G273=""),"Preencher tudo",IF(IFERROR(INDEX(CatTipo,MATCH($C273,CatNome,0)),"")&lt;&gt;$B273,"Categoria x Tipo?","OK")))</f>
        <v>0</v>
      </c>
    </row>
    <row r="274" spans="1:11">
      <c r="A274" s="18"/>
      <c r="B274" s="19"/>
      <c r="C274" s="15"/>
      <c r="D274" s="15"/>
      <c r="E274" s="15"/>
      <c r="F274" s="17"/>
      <c r="G274" s="19"/>
      <c r="H274" s="20">
        <f>IF($A274="","",YEAR($A274))</f>
        <v>0</v>
      </c>
      <c r="I274" s="20">
        <f>IF($A274="","",MONTH($A274))</f>
        <v>0</v>
      </c>
      <c r="J274" s="21">
        <f>IF(OR($A274="",$F274=""),"",IF($B274="Entrada",$F274,-$F274))</f>
        <v>0</v>
      </c>
      <c r="K274" s="20">
        <f>IF($A274="","",IF(OR($B274="",$C274="",$F274="",$G274=""),"Preencher tudo",IF(IFERROR(INDEX(CatTipo,MATCH($C274,CatNome,0)),"")&lt;&gt;$B274,"Categoria x Tipo?","OK")))</f>
        <v>0</v>
      </c>
    </row>
    <row r="275" spans="1:11">
      <c r="A275" s="18"/>
      <c r="B275" s="19"/>
      <c r="C275" s="15"/>
      <c r="D275" s="15"/>
      <c r="E275" s="15"/>
      <c r="F275" s="17"/>
      <c r="G275" s="19"/>
      <c r="H275" s="20">
        <f>IF($A275="","",YEAR($A275))</f>
        <v>0</v>
      </c>
      <c r="I275" s="20">
        <f>IF($A275="","",MONTH($A275))</f>
        <v>0</v>
      </c>
      <c r="J275" s="21">
        <f>IF(OR($A275="",$F275=""),"",IF($B275="Entrada",$F275,-$F275))</f>
        <v>0</v>
      </c>
      <c r="K275" s="20">
        <f>IF($A275="","",IF(OR($B275="",$C275="",$F275="",$G275=""),"Preencher tudo",IF(IFERROR(INDEX(CatTipo,MATCH($C275,CatNome,0)),"")&lt;&gt;$B275,"Categoria x Tipo?","OK")))</f>
        <v>0</v>
      </c>
    </row>
    <row r="276" spans="1:11">
      <c r="A276" s="18"/>
      <c r="B276" s="19"/>
      <c r="C276" s="15"/>
      <c r="D276" s="15"/>
      <c r="E276" s="15"/>
      <c r="F276" s="17"/>
      <c r="G276" s="19"/>
      <c r="H276" s="20">
        <f>IF($A276="","",YEAR($A276))</f>
        <v>0</v>
      </c>
      <c r="I276" s="20">
        <f>IF($A276="","",MONTH($A276))</f>
        <v>0</v>
      </c>
      <c r="J276" s="21">
        <f>IF(OR($A276="",$F276=""),"",IF($B276="Entrada",$F276,-$F276))</f>
        <v>0</v>
      </c>
      <c r="K276" s="20">
        <f>IF($A276="","",IF(OR($B276="",$C276="",$F276="",$G276=""),"Preencher tudo",IF(IFERROR(INDEX(CatTipo,MATCH($C276,CatNome,0)),"")&lt;&gt;$B276,"Categoria x Tipo?","OK")))</f>
        <v>0</v>
      </c>
    </row>
    <row r="277" spans="1:11">
      <c r="A277" s="18"/>
      <c r="B277" s="19"/>
      <c r="C277" s="15"/>
      <c r="D277" s="15"/>
      <c r="E277" s="15"/>
      <c r="F277" s="17"/>
      <c r="G277" s="19"/>
      <c r="H277" s="20">
        <f>IF($A277="","",YEAR($A277))</f>
        <v>0</v>
      </c>
      <c r="I277" s="20">
        <f>IF($A277="","",MONTH($A277))</f>
        <v>0</v>
      </c>
      <c r="J277" s="21">
        <f>IF(OR($A277="",$F277=""),"",IF($B277="Entrada",$F277,-$F277))</f>
        <v>0</v>
      </c>
      <c r="K277" s="20">
        <f>IF($A277="","",IF(OR($B277="",$C277="",$F277="",$G277=""),"Preencher tudo",IF(IFERROR(INDEX(CatTipo,MATCH($C277,CatNome,0)),"")&lt;&gt;$B277,"Categoria x Tipo?","OK")))</f>
        <v>0</v>
      </c>
    </row>
    <row r="278" spans="1:11">
      <c r="A278" s="18"/>
      <c r="B278" s="19"/>
      <c r="C278" s="15"/>
      <c r="D278" s="15"/>
      <c r="E278" s="15"/>
      <c r="F278" s="17"/>
      <c r="G278" s="19"/>
      <c r="H278" s="20">
        <f>IF($A278="","",YEAR($A278))</f>
        <v>0</v>
      </c>
      <c r="I278" s="20">
        <f>IF($A278="","",MONTH($A278))</f>
        <v>0</v>
      </c>
      <c r="J278" s="21">
        <f>IF(OR($A278="",$F278=""),"",IF($B278="Entrada",$F278,-$F278))</f>
        <v>0</v>
      </c>
      <c r="K278" s="20">
        <f>IF($A278="","",IF(OR($B278="",$C278="",$F278="",$G278=""),"Preencher tudo",IF(IFERROR(INDEX(CatTipo,MATCH($C278,CatNome,0)),"")&lt;&gt;$B278,"Categoria x Tipo?","OK")))</f>
        <v>0</v>
      </c>
    </row>
    <row r="279" spans="1:11">
      <c r="A279" s="18"/>
      <c r="B279" s="19"/>
      <c r="C279" s="15"/>
      <c r="D279" s="15"/>
      <c r="E279" s="15"/>
      <c r="F279" s="17"/>
      <c r="G279" s="19"/>
      <c r="H279" s="20">
        <f>IF($A279="","",YEAR($A279))</f>
        <v>0</v>
      </c>
      <c r="I279" s="20">
        <f>IF($A279="","",MONTH($A279))</f>
        <v>0</v>
      </c>
      <c r="J279" s="21">
        <f>IF(OR($A279="",$F279=""),"",IF($B279="Entrada",$F279,-$F279))</f>
        <v>0</v>
      </c>
      <c r="K279" s="20">
        <f>IF($A279="","",IF(OR($B279="",$C279="",$F279="",$G279=""),"Preencher tudo",IF(IFERROR(INDEX(CatTipo,MATCH($C279,CatNome,0)),"")&lt;&gt;$B279,"Categoria x Tipo?","OK")))</f>
        <v>0</v>
      </c>
    </row>
    <row r="280" spans="1:11">
      <c r="A280" s="18"/>
      <c r="B280" s="19"/>
      <c r="C280" s="15"/>
      <c r="D280" s="15"/>
      <c r="E280" s="15"/>
      <c r="F280" s="17"/>
      <c r="G280" s="19"/>
      <c r="H280" s="20">
        <f>IF($A280="","",YEAR($A280))</f>
        <v>0</v>
      </c>
      <c r="I280" s="20">
        <f>IF($A280="","",MONTH($A280))</f>
        <v>0</v>
      </c>
      <c r="J280" s="21">
        <f>IF(OR($A280="",$F280=""),"",IF($B280="Entrada",$F280,-$F280))</f>
        <v>0</v>
      </c>
      <c r="K280" s="20">
        <f>IF($A280="","",IF(OR($B280="",$C280="",$F280="",$G280=""),"Preencher tudo",IF(IFERROR(INDEX(CatTipo,MATCH($C280,CatNome,0)),"")&lt;&gt;$B280,"Categoria x Tipo?","OK")))</f>
        <v>0</v>
      </c>
    </row>
    <row r="281" spans="1:11">
      <c r="A281" s="18"/>
      <c r="B281" s="19"/>
      <c r="C281" s="15"/>
      <c r="D281" s="15"/>
      <c r="E281" s="15"/>
      <c r="F281" s="17"/>
      <c r="G281" s="19"/>
      <c r="H281" s="20">
        <f>IF($A281="","",YEAR($A281))</f>
        <v>0</v>
      </c>
      <c r="I281" s="20">
        <f>IF($A281="","",MONTH($A281))</f>
        <v>0</v>
      </c>
      <c r="J281" s="21">
        <f>IF(OR($A281="",$F281=""),"",IF($B281="Entrada",$F281,-$F281))</f>
        <v>0</v>
      </c>
      <c r="K281" s="20">
        <f>IF($A281="","",IF(OR($B281="",$C281="",$F281="",$G281=""),"Preencher tudo",IF(IFERROR(INDEX(CatTipo,MATCH($C281,CatNome,0)),"")&lt;&gt;$B281,"Categoria x Tipo?","OK")))</f>
        <v>0</v>
      </c>
    </row>
    <row r="282" spans="1:11">
      <c r="A282" s="18"/>
      <c r="B282" s="19"/>
      <c r="C282" s="15"/>
      <c r="D282" s="15"/>
      <c r="E282" s="15"/>
      <c r="F282" s="17"/>
      <c r="G282" s="19"/>
      <c r="H282" s="20">
        <f>IF($A282="","",YEAR($A282))</f>
        <v>0</v>
      </c>
      <c r="I282" s="20">
        <f>IF($A282="","",MONTH($A282))</f>
        <v>0</v>
      </c>
      <c r="J282" s="21">
        <f>IF(OR($A282="",$F282=""),"",IF($B282="Entrada",$F282,-$F282))</f>
        <v>0</v>
      </c>
      <c r="K282" s="20">
        <f>IF($A282="","",IF(OR($B282="",$C282="",$F282="",$G282=""),"Preencher tudo",IF(IFERROR(INDEX(CatTipo,MATCH($C282,CatNome,0)),"")&lt;&gt;$B282,"Categoria x Tipo?","OK")))</f>
        <v>0</v>
      </c>
    </row>
    <row r="283" spans="1:11">
      <c r="A283" s="18"/>
      <c r="B283" s="19"/>
      <c r="C283" s="15"/>
      <c r="D283" s="15"/>
      <c r="E283" s="15"/>
      <c r="F283" s="17"/>
      <c r="G283" s="19"/>
      <c r="H283" s="20">
        <f>IF($A283="","",YEAR($A283))</f>
        <v>0</v>
      </c>
      <c r="I283" s="20">
        <f>IF($A283="","",MONTH($A283))</f>
        <v>0</v>
      </c>
      <c r="J283" s="21">
        <f>IF(OR($A283="",$F283=""),"",IF($B283="Entrada",$F283,-$F283))</f>
        <v>0</v>
      </c>
      <c r="K283" s="20">
        <f>IF($A283="","",IF(OR($B283="",$C283="",$F283="",$G283=""),"Preencher tudo",IF(IFERROR(INDEX(CatTipo,MATCH($C283,CatNome,0)),"")&lt;&gt;$B283,"Categoria x Tipo?","OK")))</f>
        <v>0</v>
      </c>
    </row>
    <row r="284" spans="1:11">
      <c r="A284" s="18"/>
      <c r="B284" s="19"/>
      <c r="C284" s="15"/>
      <c r="D284" s="15"/>
      <c r="E284" s="15"/>
      <c r="F284" s="17"/>
      <c r="G284" s="19"/>
      <c r="H284" s="20">
        <f>IF($A284="","",YEAR($A284))</f>
        <v>0</v>
      </c>
      <c r="I284" s="20">
        <f>IF($A284="","",MONTH($A284))</f>
        <v>0</v>
      </c>
      <c r="J284" s="21">
        <f>IF(OR($A284="",$F284=""),"",IF($B284="Entrada",$F284,-$F284))</f>
        <v>0</v>
      </c>
      <c r="K284" s="20">
        <f>IF($A284="","",IF(OR($B284="",$C284="",$F284="",$G284=""),"Preencher tudo",IF(IFERROR(INDEX(CatTipo,MATCH($C284,CatNome,0)),"")&lt;&gt;$B284,"Categoria x Tipo?","OK")))</f>
        <v>0</v>
      </c>
    </row>
    <row r="285" spans="1:11">
      <c r="A285" s="18"/>
      <c r="B285" s="19"/>
      <c r="C285" s="15"/>
      <c r="D285" s="15"/>
      <c r="E285" s="15"/>
      <c r="F285" s="17"/>
      <c r="G285" s="19"/>
      <c r="H285" s="20">
        <f>IF($A285="","",YEAR($A285))</f>
        <v>0</v>
      </c>
      <c r="I285" s="20">
        <f>IF($A285="","",MONTH($A285))</f>
        <v>0</v>
      </c>
      <c r="J285" s="21">
        <f>IF(OR($A285="",$F285=""),"",IF($B285="Entrada",$F285,-$F285))</f>
        <v>0</v>
      </c>
      <c r="K285" s="20">
        <f>IF($A285="","",IF(OR($B285="",$C285="",$F285="",$G285=""),"Preencher tudo",IF(IFERROR(INDEX(CatTipo,MATCH($C285,CatNome,0)),"")&lt;&gt;$B285,"Categoria x Tipo?","OK")))</f>
        <v>0</v>
      </c>
    </row>
    <row r="286" spans="1:11">
      <c r="A286" s="18"/>
      <c r="B286" s="19"/>
      <c r="C286" s="15"/>
      <c r="D286" s="15"/>
      <c r="E286" s="15"/>
      <c r="F286" s="17"/>
      <c r="G286" s="19"/>
      <c r="H286" s="20">
        <f>IF($A286="","",YEAR($A286))</f>
        <v>0</v>
      </c>
      <c r="I286" s="20">
        <f>IF($A286="","",MONTH($A286))</f>
        <v>0</v>
      </c>
      <c r="J286" s="21">
        <f>IF(OR($A286="",$F286=""),"",IF($B286="Entrada",$F286,-$F286))</f>
        <v>0</v>
      </c>
      <c r="K286" s="20">
        <f>IF($A286="","",IF(OR($B286="",$C286="",$F286="",$G286=""),"Preencher tudo",IF(IFERROR(INDEX(CatTipo,MATCH($C286,CatNome,0)),"")&lt;&gt;$B286,"Categoria x Tipo?","OK")))</f>
        <v>0</v>
      </c>
    </row>
    <row r="287" spans="1:11">
      <c r="A287" s="18"/>
      <c r="B287" s="19"/>
      <c r="C287" s="15"/>
      <c r="D287" s="15"/>
      <c r="E287" s="15"/>
      <c r="F287" s="17"/>
      <c r="G287" s="19"/>
      <c r="H287" s="20">
        <f>IF($A287="","",YEAR($A287))</f>
        <v>0</v>
      </c>
      <c r="I287" s="20">
        <f>IF($A287="","",MONTH($A287))</f>
        <v>0</v>
      </c>
      <c r="J287" s="21">
        <f>IF(OR($A287="",$F287=""),"",IF($B287="Entrada",$F287,-$F287))</f>
        <v>0</v>
      </c>
      <c r="K287" s="20">
        <f>IF($A287="","",IF(OR($B287="",$C287="",$F287="",$G287=""),"Preencher tudo",IF(IFERROR(INDEX(CatTipo,MATCH($C287,CatNome,0)),"")&lt;&gt;$B287,"Categoria x Tipo?","OK")))</f>
        <v>0</v>
      </c>
    </row>
    <row r="288" spans="1:11">
      <c r="A288" s="18"/>
      <c r="B288" s="19"/>
      <c r="C288" s="15"/>
      <c r="D288" s="15"/>
      <c r="E288" s="15"/>
      <c r="F288" s="17"/>
      <c r="G288" s="19"/>
      <c r="H288" s="20">
        <f>IF($A288="","",YEAR($A288))</f>
        <v>0</v>
      </c>
      <c r="I288" s="20">
        <f>IF($A288="","",MONTH($A288))</f>
        <v>0</v>
      </c>
      <c r="J288" s="21">
        <f>IF(OR($A288="",$F288=""),"",IF($B288="Entrada",$F288,-$F288))</f>
        <v>0</v>
      </c>
      <c r="K288" s="20">
        <f>IF($A288="","",IF(OR($B288="",$C288="",$F288="",$G288=""),"Preencher tudo",IF(IFERROR(INDEX(CatTipo,MATCH($C288,CatNome,0)),"")&lt;&gt;$B288,"Categoria x Tipo?","OK")))</f>
        <v>0</v>
      </c>
    </row>
    <row r="289" spans="1:11">
      <c r="A289" s="18"/>
      <c r="B289" s="19"/>
      <c r="C289" s="15"/>
      <c r="D289" s="15"/>
      <c r="E289" s="15"/>
      <c r="F289" s="17"/>
      <c r="G289" s="19"/>
      <c r="H289" s="20">
        <f>IF($A289="","",YEAR($A289))</f>
        <v>0</v>
      </c>
      <c r="I289" s="20">
        <f>IF($A289="","",MONTH($A289))</f>
        <v>0</v>
      </c>
      <c r="J289" s="21">
        <f>IF(OR($A289="",$F289=""),"",IF($B289="Entrada",$F289,-$F289))</f>
        <v>0</v>
      </c>
      <c r="K289" s="20">
        <f>IF($A289="","",IF(OR($B289="",$C289="",$F289="",$G289=""),"Preencher tudo",IF(IFERROR(INDEX(CatTipo,MATCH($C289,CatNome,0)),"")&lt;&gt;$B289,"Categoria x Tipo?","OK")))</f>
        <v>0</v>
      </c>
    </row>
    <row r="290" spans="1:11">
      <c r="A290" s="18"/>
      <c r="B290" s="19"/>
      <c r="C290" s="15"/>
      <c r="D290" s="15"/>
      <c r="E290" s="15"/>
      <c r="F290" s="17"/>
      <c r="G290" s="19"/>
      <c r="H290" s="20">
        <f>IF($A290="","",YEAR($A290))</f>
        <v>0</v>
      </c>
      <c r="I290" s="20">
        <f>IF($A290="","",MONTH($A290))</f>
        <v>0</v>
      </c>
      <c r="J290" s="21">
        <f>IF(OR($A290="",$F290=""),"",IF($B290="Entrada",$F290,-$F290))</f>
        <v>0</v>
      </c>
      <c r="K290" s="20">
        <f>IF($A290="","",IF(OR($B290="",$C290="",$F290="",$G290=""),"Preencher tudo",IF(IFERROR(INDEX(CatTipo,MATCH($C290,CatNome,0)),"")&lt;&gt;$B290,"Categoria x Tipo?","OK")))</f>
        <v>0</v>
      </c>
    </row>
    <row r="291" spans="1:11">
      <c r="A291" s="18"/>
      <c r="B291" s="19"/>
      <c r="C291" s="15"/>
      <c r="D291" s="15"/>
      <c r="E291" s="15"/>
      <c r="F291" s="17"/>
      <c r="G291" s="19"/>
      <c r="H291" s="20">
        <f>IF($A291="","",YEAR($A291))</f>
        <v>0</v>
      </c>
      <c r="I291" s="20">
        <f>IF($A291="","",MONTH($A291))</f>
        <v>0</v>
      </c>
      <c r="J291" s="21">
        <f>IF(OR($A291="",$F291=""),"",IF($B291="Entrada",$F291,-$F291))</f>
        <v>0</v>
      </c>
      <c r="K291" s="20">
        <f>IF($A291="","",IF(OR($B291="",$C291="",$F291="",$G291=""),"Preencher tudo",IF(IFERROR(INDEX(CatTipo,MATCH($C291,CatNome,0)),"")&lt;&gt;$B291,"Categoria x Tipo?","OK")))</f>
        <v>0</v>
      </c>
    </row>
    <row r="292" spans="1:11">
      <c r="A292" s="18"/>
      <c r="B292" s="19"/>
      <c r="C292" s="15"/>
      <c r="D292" s="15"/>
      <c r="E292" s="15"/>
      <c r="F292" s="17"/>
      <c r="G292" s="19"/>
      <c r="H292" s="20">
        <f>IF($A292="","",YEAR($A292))</f>
        <v>0</v>
      </c>
      <c r="I292" s="20">
        <f>IF($A292="","",MONTH($A292))</f>
        <v>0</v>
      </c>
      <c r="J292" s="21">
        <f>IF(OR($A292="",$F292=""),"",IF($B292="Entrada",$F292,-$F292))</f>
        <v>0</v>
      </c>
      <c r="K292" s="20">
        <f>IF($A292="","",IF(OR($B292="",$C292="",$F292="",$G292=""),"Preencher tudo",IF(IFERROR(INDEX(CatTipo,MATCH($C292,CatNome,0)),"")&lt;&gt;$B292,"Categoria x Tipo?","OK")))</f>
        <v>0</v>
      </c>
    </row>
    <row r="293" spans="1:11">
      <c r="A293" s="18"/>
      <c r="B293" s="19"/>
      <c r="C293" s="15"/>
      <c r="D293" s="15"/>
      <c r="E293" s="15"/>
      <c r="F293" s="17"/>
      <c r="G293" s="19"/>
      <c r="H293" s="20">
        <f>IF($A293="","",YEAR($A293))</f>
        <v>0</v>
      </c>
      <c r="I293" s="20">
        <f>IF($A293="","",MONTH($A293))</f>
        <v>0</v>
      </c>
      <c r="J293" s="21">
        <f>IF(OR($A293="",$F293=""),"",IF($B293="Entrada",$F293,-$F293))</f>
        <v>0</v>
      </c>
      <c r="K293" s="20">
        <f>IF($A293="","",IF(OR($B293="",$C293="",$F293="",$G293=""),"Preencher tudo",IF(IFERROR(INDEX(CatTipo,MATCH($C293,CatNome,0)),"")&lt;&gt;$B293,"Categoria x Tipo?","OK")))</f>
        <v>0</v>
      </c>
    </row>
    <row r="294" spans="1:11">
      <c r="A294" s="18"/>
      <c r="B294" s="19"/>
      <c r="C294" s="15"/>
      <c r="D294" s="15"/>
      <c r="E294" s="15"/>
      <c r="F294" s="17"/>
      <c r="G294" s="19"/>
      <c r="H294" s="20">
        <f>IF($A294="","",YEAR($A294))</f>
        <v>0</v>
      </c>
      <c r="I294" s="20">
        <f>IF($A294="","",MONTH($A294))</f>
        <v>0</v>
      </c>
      <c r="J294" s="21">
        <f>IF(OR($A294="",$F294=""),"",IF($B294="Entrada",$F294,-$F294))</f>
        <v>0</v>
      </c>
      <c r="K294" s="20">
        <f>IF($A294="","",IF(OR($B294="",$C294="",$F294="",$G294=""),"Preencher tudo",IF(IFERROR(INDEX(CatTipo,MATCH($C294,CatNome,0)),"")&lt;&gt;$B294,"Categoria x Tipo?","OK")))</f>
        <v>0</v>
      </c>
    </row>
    <row r="295" spans="1:11">
      <c r="A295" s="18"/>
      <c r="B295" s="19"/>
      <c r="C295" s="15"/>
      <c r="D295" s="15"/>
      <c r="E295" s="15"/>
      <c r="F295" s="17"/>
      <c r="G295" s="19"/>
      <c r="H295" s="20">
        <f>IF($A295="","",YEAR($A295))</f>
        <v>0</v>
      </c>
      <c r="I295" s="20">
        <f>IF($A295="","",MONTH($A295))</f>
        <v>0</v>
      </c>
      <c r="J295" s="21">
        <f>IF(OR($A295="",$F295=""),"",IF($B295="Entrada",$F295,-$F295))</f>
        <v>0</v>
      </c>
      <c r="K295" s="20">
        <f>IF($A295="","",IF(OR($B295="",$C295="",$F295="",$G295=""),"Preencher tudo",IF(IFERROR(INDEX(CatTipo,MATCH($C295,CatNome,0)),"")&lt;&gt;$B295,"Categoria x Tipo?","OK")))</f>
        <v>0</v>
      </c>
    </row>
    <row r="296" spans="1:11">
      <c r="A296" s="18"/>
      <c r="B296" s="19"/>
      <c r="C296" s="15"/>
      <c r="D296" s="15"/>
      <c r="E296" s="15"/>
      <c r="F296" s="17"/>
      <c r="G296" s="19"/>
      <c r="H296" s="20">
        <f>IF($A296="","",YEAR($A296))</f>
        <v>0</v>
      </c>
      <c r="I296" s="20">
        <f>IF($A296="","",MONTH($A296))</f>
        <v>0</v>
      </c>
      <c r="J296" s="21">
        <f>IF(OR($A296="",$F296=""),"",IF($B296="Entrada",$F296,-$F296))</f>
        <v>0</v>
      </c>
      <c r="K296" s="20">
        <f>IF($A296="","",IF(OR($B296="",$C296="",$F296="",$G296=""),"Preencher tudo",IF(IFERROR(INDEX(CatTipo,MATCH($C296,CatNome,0)),"")&lt;&gt;$B296,"Categoria x Tipo?","OK")))</f>
        <v>0</v>
      </c>
    </row>
    <row r="297" spans="1:11">
      <c r="A297" s="18"/>
      <c r="B297" s="19"/>
      <c r="C297" s="15"/>
      <c r="D297" s="15"/>
      <c r="E297" s="15"/>
      <c r="F297" s="17"/>
      <c r="G297" s="19"/>
      <c r="H297" s="20">
        <f>IF($A297="","",YEAR($A297))</f>
        <v>0</v>
      </c>
      <c r="I297" s="20">
        <f>IF($A297="","",MONTH($A297))</f>
        <v>0</v>
      </c>
      <c r="J297" s="21">
        <f>IF(OR($A297="",$F297=""),"",IF($B297="Entrada",$F297,-$F297))</f>
        <v>0</v>
      </c>
      <c r="K297" s="20">
        <f>IF($A297="","",IF(OR($B297="",$C297="",$F297="",$G297=""),"Preencher tudo",IF(IFERROR(INDEX(CatTipo,MATCH($C297,CatNome,0)),"")&lt;&gt;$B297,"Categoria x Tipo?","OK")))</f>
        <v>0</v>
      </c>
    </row>
    <row r="298" spans="1:11">
      <c r="A298" s="18"/>
      <c r="B298" s="19"/>
      <c r="C298" s="15"/>
      <c r="D298" s="15"/>
      <c r="E298" s="15"/>
      <c r="F298" s="17"/>
      <c r="G298" s="19"/>
      <c r="H298" s="20">
        <f>IF($A298="","",YEAR($A298))</f>
        <v>0</v>
      </c>
      <c r="I298" s="20">
        <f>IF($A298="","",MONTH($A298))</f>
        <v>0</v>
      </c>
      <c r="J298" s="21">
        <f>IF(OR($A298="",$F298=""),"",IF($B298="Entrada",$F298,-$F298))</f>
        <v>0</v>
      </c>
      <c r="K298" s="20">
        <f>IF($A298="","",IF(OR($B298="",$C298="",$F298="",$G298=""),"Preencher tudo",IF(IFERROR(INDEX(CatTipo,MATCH($C298,CatNome,0)),"")&lt;&gt;$B298,"Categoria x Tipo?","OK")))</f>
        <v>0</v>
      </c>
    </row>
    <row r="299" spans="1:11">
      <c r="A299" s="18"/>
      <c r="B299" s="19"/>
      <c r="C299" s="15"/>
      <c r="D299" s="15"/>
      <c r="E299" s="15"/>
      <c r="F299" s="17"/>
      <c r="G299" s="19"/>
      <c r="H299" s="20">
        <f>IF($A299="","",YEAR($A299))</f>
        <v>0</v>
      </c>
      <c r="I299" s="20">
        <f>IF($A299="","",MONTH($A299))</f>
        <v>0</v>
      </c>
      <c r="J299" s="21">
        <f>IF(OR($A299="",$F299=""),"",IF($B299="Entrada",$F299,-$F299))</f>
        <v>0</v>
      </c>
      <c r="K299" s="20">
        <f>IF($A299="","",IF(OR($B299="",$C299="",$F299="",$G299=""),"Preencher tudo",IF(IFERROR(INDEX(CatTipo,MATCH($C299,CatNome,0)),"")&lt;&gt;$B299,"Categoria x Tipo?","OK")))</f>
        <v>0</v>
      </c>
    </row>
    <row r="300" spans="1:11">
      <c r="A300" s="18"/>
      <c r="B300" s="19"/>
      <c r="C300" s="15"/>
      <c r="D300" s="15"/>
      <c r="E300" s="15"/>
      <c r="F300" s="17"/>
      <c r="G300" s="19"/>
      <c r="H300" s="20">
        <f>IF($A300="","",YEAR($A300))</f>
        <v>0</v>
      </c>
      <c r="I300" s="20">
        <f>IF($A300="","",MONTH($A300))</f>
        <v>0</v>
      </c>
      <c r="J300" s="21">
        <f>IF(OR($A300="",$F300=""),"",IF($B300="Entrada",$F300,-$F300))</f>
        <v>0</v>
      </c>
      <c r="K300" s="20">
        <f>IF($A300="","",IF(OR($B300="",$C300="",$F300="",$G300=""),"Preencher tudo",IF(IFERROR(INDEX(CatTipo,MATCH($C300,CatNome,0)),"")&lt;&gt;$B300,"Categoria x Tipo?","OK")))</f>
        <v>0</v>
      </c>
    </row>
    <row r="301" spans="1:11">
      <c r="A301" s="18"/>
      <c r="B301" s="19"/>
      <c r="C301" s="15"/>
      <c r="D301" s="15"/>
      <c r="E301" s="15"/>
      <c r="F301" s="17"/>
      <c r="G301" s="19"/>
      <c r="H301" s="20">
        <f>IF($A301="","",YEAR($A301))</f>
        <v>0</v>
      </c>
      <c r="I301" s="20">
        <f>IF($A301="","",MONTH($A301))</f>
        <v>0</v>
      </c>
      <c r="J301" s="21">
        <f>IF(OR($A301="",$F301=""),"",IF($B301="Entrada",$F301,-$F301))</f>
        <v>0</v>
      </c>
      <c r="K301" s="20">
        <f>IF($A301="","",IF(OR($B301="",$C301="",$F301="",$G301=""),"Preencher tudo",IF(IFERROR(INDEX(CatTipo,MATCH($C301,CatNome,0)),"")&lt;&gt;$B301,"Categoria x Tipo?","OK")))</f>
        <v>0</v>
      </c>
    </row>
    <row r="302" spans="1:11">
      <c r="A302" s="18"/>
      <c r="B302" s="19"/>
      <c r="C302" s="15"/>
      <c r="D302" s="15"/>
      <c r="E302" s="15"/>
      <c r="F302" s="17"/>
      <c r="G302" s="19"/>
      <c r="H302" s="20">
        <f>IF($A302="","",YEAR($A302))</f>
        <v>0</v>
      </c>
      <c r="I302" s="20">
        <f>IF($A302="","",MONTH($A302))</f>
        <v>0</v>
      </c>
      <c r="J302" s="21">
        <f>IF(OR($A302="",$F302=""),"",IF($B302="Entrada",$F302,-$F302))</f>
        <v>0</v>
      </c>
      <c r="K302" s="20">
        <f>IF($A302="","",IF(OR($B302="",$C302="",$F302="",$G302=""),"Preencher tudo",IF(IFERROR(INDEX(CatTipo,MATCH($C302,CatNome,0)),"")&lt;&gt;$B302,"Categoria x Tipo?","OK")))</f>
        <v>0</v>
      </c>
    </row>
    <row r="303" spans="1:11">
      <c r="A303" s="18"/>
      <c r="B303" s="19"/>
      <c r="C303" s="15"/>
      <c r="D303" s="15"/>
      <c r="E303" s="15"/>
      <c r="F303" s="17"/>
      <c r="G303" s="19"/>
      <c r="H303" s="20">
        <f>IF($A303="","",YEAR($A303))</f>
        <v>0</v>
      </c>
      <c r="I303" s="20">
        <f>IF($A303="","",MONTH($A303))</f>
        <v>0</v>
      </c>
      <c r="J303" s="21">
        <f>IF(OR($A303="",$F303=""),"",IF($B303="Entrada",$F303,-$F303))</f>
        <v>0</v>
      </c>
      <c r="K303" s="20">
        <f>IF($A303="","",IF(OR($B303="",$C303="",$F303="",$G303=""),"Preencher tudo",IF(IFERROR(INDEX(CatTipo,MATCH($C303,CatNome,0)),"")&lt;&gt;$B303,"Categoria x Tipo?","OK")))</f>
        <v>0</v>
      </c>
    </row>
    <row r="304" spans="1:11">
      <c r="A304" s="18"/>
      <c r="B304" s="19"/>
      <c r="C304" s="15"/>
      <c r="D304" s="15"/>
      <c r="E304" s="15"/>
      <c r="F304" s="17"/>
      <c r="G304" s="19"/>
      <c r="H304" s="20">
        <f>IF($A304="","",YEAR($A304))</f>
        <v>0</v>
      </c>
      <c r="I304" s="20">
        <f>IF($A304="","",MONTH($A304))</f>
        <v>0</v>
      </c>
      <c r="J304" s="21">
        <f>IF(OR($A304="",$F304=""),"",IF($B304="Entrada",$F304,-$F304))</f>
        <v>0</v>
      </c>
      <c r="K304" s="20">
        <f>IF($A304="","",IF(OR($B304="",$C304="",$F304="",$G304=""),"Preencher tudo",IF(IFERROR(INDEX(CatTipo,MATCH($C304,CatNome,0)),"")&lt;&gt;$B304,"Categoria x Tipo?","OK")))</f>
        <v>0</v>
      </c>
    </row>
    <row r="305" spans="1:11">
      <c r="A305" s="18"/>
      <c r="B305" s="19"/>
      <c r="C305" s="15"/>
      <c r="D305" s="15"/>
      <c r="E305" s="15"/>
      <c r="F305" s="17"/>
      <c r="G305" s="19"/>
      <c r="H305" s="20">
        <f>IF($A305="","",YEAR($A305))</f>
        <v>0</v>
      </c>
      <c r="I305" s="20">
        <f>IF($A305="","",MONTH($A305))</f>
        <v>0</v>
      </c>
      <c r="J305" s="21">
        <f>IF(OR($A305="",$F305=""),"",IF($B305="Entrada",$F305,-$F305))</f>
        <v>0</v>
      </c>
      <c r="K305" s="20">
        <f>IF($A305="","",IF(OR($B305="",$C305="",$F305="",$G305=""),"Preencher tudo",IF(IFERROR(INDEX(CatTipo,MATCH($C305,CatNome,0)),"")&lt;&gt;$B305,"Categoria x Tipo?","OK")))</f>
        <v>0</v>
      </c>
    </row>
    <row r="306" spans="1:11">
      <c r="A306" s="18"/>
      <c r="B306" s="19"/>
      <c r="C306" s="15"/>
      <c r="D306" s="15"/>
      <c r="E306" s="15"/>
      <c r="F306" s="17"/>
      <c r="G306" s="19"/>
      <c r="H306" s="20">
        <f>IF($A306="","",YEAR($A306))</f>
        <v>0</v>
      </c>
      <c r="I306" s="20">
        <f>IF($A306="","",MONTH($A306))</f>
        <v>0</v>
      </c>
      <c r="J306" s="21">
        <f>IF(OR($A306="",$F306=""),"",IF($B306="Entrada",$F306,-$F306))</f>
        <v>0</v>
      </c>
      <c r="K306" s="20">
        <f>IF($A306="","",IF(OR($B306="",$C306="",$F306="",$G306=""),"Preencher tudo",IF(IFERROR(INDEX(CatTipo,MATCH($C306,CatNome,0)),"")&lt;&gt;$B306,"Categoria x Tipo?","OK")))</f>
        <v>0</v>
      </c>
    </row>
    <row r="307" spans="1:11">
      <c r="A307" s="18"/>
      <c r="B307" s="19"/>
      <c r="C307" s="15"/>
      <c r="D307" s="15"/>
      <c r="E307" s="15"/>
      <c r="F307" s="17"/>
      <c r="G307" s="19"/>
      <c r="H307" s="20">
        <f>IF($A307="","",YEAR($A307))</f>
        <v>0</v>
      </c>
      <c r="I307" s="20">
        <f>IF($A307="","",MONTH($A307))</f>
        <v>0</v>
      </c>
      <c r="J307" s="21">
        <f>IF(OR($A307="",$F307=""),"",IF($B307="Entrada",$F307,-$F307))</f>
        <v>0</v>
      </c>
      <c r="K307" s="20">
        <f>IF($A307="","",IF(OR($B307="",$C307="",$F307="",$G307=""),"Preencher tudo",IF(IFERROR(INDEX(CatTipo,MATCH($C307,CatNome,0)),"")&lt;&gt;$B307,"Categoria x Tipo?","OK")))</f>
        <v>0</v>
      </c>
    </row>
    <row r="308" spans="1:11">
      <c r="A308" s="18"/>
      <c r="B308" s="19"/>
      <c r="C308" s="15"/>
      <c r="D308" s="15"/>
      <c r="E308" s="15"/>
      <c r="F308" s="17"/>
      <c r="G308" s="19"/>
      <c r="H308" s="20">
        <f>IF($A308="","",YEAR($A308))</f>
        <v>0</v>
      </c>
      <c r="I308" s="20">
        <f>IF($A308="","",MONTH($A308))</f>
        <v>0</v>
      </c>
      <c r="J308" s="21">
        <f>IF(OR($A308="",$F308=""),"",IF($B308="Entrada",$F308,-$F308))</f>
        <v>0</v>
      </c>
      <c r="K308" s="20">
        <f>IF($A308="","",IF(OR($B308="",$C308="",$F308="",$G308=""),"Preencher tudo",IF(IFERROR(INDEX(CatTipo,MATCH($C308,CatNome,0)),"")&lt;&gt;$B308,"Categoria x Tipo?","OK")))</f>
        <v>0</v>
      </c>
    </row>
    <row r="309" spans="1:11">
      <c r="A309" s="18"/>
      <c r="B309" s="19"/>
      <c r="C309" s="15"/>
      <c r="D309" s="15"/>
      <c r="E309" s="15"/>
      <c r="F309" s="17"/>
      <c r="G309" s="19"/>
      <c r="H309" s="20">
        <f>IF($A309="","",YEAR($A309))</f>
        <v>0</v>
      </c>
      <c r="I309" s="20">
        <f>IF($A309="","",MONTH($A309))</f>
        <v>0</v>
      </c>
      <c r="J309" s="21">
        <f>IF(OR($A309="",$F309=""),"",IF($B309="Entrada",$F309,-$F309))</f>
        <v>0</v>
      </c>
      <c r="K309" s="20">
        <f>IF($A309="","",IF(OR($B309="",$C309="",$F309="",$G309=""),"Preencher tudo",IF(IFERROR(INDEX(CatTipo,MATCH($C309,CatNome,0)),"")&lt;&gt;$B309,"Categoria x Tipo?","OK")))</f>
        <v>0</v>
      </c>
    </row>
    <row r="310" spans="1:11">
      <c r="A310" s="18"/>
      <c r="B310" s="19"/>
      <c r="C310" s="15"/>
      <c r="D310" s="15"/>
      <c r="E310" s="15"/>
      <c r="F310" s="17"/>
      <c r="G310" s="19"/>
      <c r="H310" s="20">
        <f>IF($A310="","",YEAR($A310))</f>
        <v>0</v>
      </c>
      <c r="I310" s="20">
        <f>IF($A310="","",MONTH($A310))</f>
        <v>0</v>
      </c>
      <c r="J310" s="21">
        <f>IF(OR($A310="",$F310=""),"",IF($B310="Entrada",$F310,-$F310))</f>
        <v>0</v>
      </c>
      <c r="K310" s="20">
        <f>IF($A310="","",IF(OR($B310="",$C310="",$F310="",$G310=""),"Preencher tudo",IF(IFERROR(INDEX(CatTipo,MATCH($C310,CatNome,0)),"")&lt;&gt;$B310,"Categoria x Tipo?","OK")))</f>
        <v>0</v>
      </c>
    </row>
    <row r="311" spans="1:11">
      <c r="A311" s="18"/>
      <c r="B311" s="19"/>
      <c r="C311" s="15"/>
      <c r="D311" s="15"/>
      <c r="E311" s="15"/>
      <c r="F311" s="17"/>
      <c r="G311" s="19"/>
      <c r="H311" s="20">
        <f>IF($A311="","",YEAR($A311))</f>
        <v>0</v>
      </c>
      <c r="I311" s="20">
        <f>IF($A311="","",MONTH($A311))</f>
        <v>0</v>
      </c>
      <c r="J311" s="21">
        <f>IF(OR($A311="",$F311=""),"",IF($B311="Entrada",$F311,-$F311))</f>
        <v>0</v>
      </c>
      <c r="K311" s="20">
        <f>IF($A311="","",IF(OR($B311="",$C311="",$F311="",$G311=""),"Preencher tudo",IF(IFERROR(INDEX(CatTipo,MATCH($C311,CatNome,0)),"")&lt;&gt;$B311,"Categoria x Tipo?","OK")))</f>
        <v>0</v>
      </c>
    </row>
    <row r="312" spans="1:11">
      <c r="A312" s="18"/>
      <c r="B312" s="19"/>
      <c r="C312" s="15"/>
      <c r="D312" s="15"/>
      <c r="E312" s="15"/>
      <c r="F312" s="17"/>
      <c r="G312" s="19"/>
      <c r="H312" s="20">
        <f>IF($A312="","",YEAR($A312))</f>
        <v>0</v>
      </c>
      <c r="I312" s="20">
        <f>IF($A312="","",MONTH($A312))</f>
        <v>0</v>
      </c>
      <c r="J312" s="21">
        <f>IF(OR($A312="",$F312=""),"",IF($B312="Entrada",$F312,-$F312))</f>
        <v>0</v>
      </c>
      <c r="K312" s="20">
        <f>IF($A312="","",IF(OR($B312="",$C312="",$F312="",$G312=""),"Preencher tudo",IF(IFERROR(INDEX(CatTipo,MATCH($C312,CatNome,0)),"")&lt;&gt;$B312,"Categoria x Tipo?","OK")))</f>
        <v>0</v>
      </c>
    </row>
    <row r="313" spans="1:11">
      <c r="A313" s="18"/>
      <c r="B313" s="19"/>
      <c r="C313" s="15"/>
      <c r="D313" s="15"/>
      <c r="E313" s="15"/>
      <c r="F313" s="17"/>
      <c r="G313" s="19"/>
      <c r="H313" s="20">
        <f>IF($A313="","",YEAR($A313))</f>
        <v>0</v>
      </c>
      <c r="I313" s="20">
        <f>IF($A313="","",MONTH($A313))</f>
        <v>0</v>
      </c>
      <c r="J313" s="21">
        <f>IF(OR($A313="",$F313=""),"",IF($B313="Entrada",$F313,-$F313))</f>
        <v>0</v>
      </c>
      <c r="K313" s="20">
        <f>IF($A313="","",IF(OR($B313="",$C313="",$F313="",$G313=""),"Preencher tudo",IF(IFERROR(INDEX(CatTipo,MATCH($C313,CatNome,0)),"")&lt;&gt;$B313,"Categoria x Tipo?","OK")))</f>
        <v>0</v>
      </c>
    </row>
    <row r="314" spans="1:11">
      <c r="A314" s="18"/>
      <c r="B314" s="19"/>
      <c r="C314" s="15"/>
      <c r="D314" s="15"/>
      <c r="E314" s="15"/>
      <c r="F314" s="17"/>
      <c r="G314" s="19"/>
      <c r="H314" s="20">
        <f>IF($A314="","",YEAR($A314))</f>
        <v>0</v>
      </c>
      <c r="I314" s="20">
        <f>IF($A314="","",MONTH($A314))</f>
        <v>0</v>
      </c>
      <c r="J314" s="21">
        <f>IF(OR($A314="",$F314=""),"",IF($B314="Entrada",$F314,-$F314))</f>
        <v>0</v>
      </c>
      <c r="K314" s="20">
        <f>IF($A314="","",IF(OR($B314="",$C314="",$F314="",$G314=""),"Preencher tudo",IF(IFERROR(INDEX(CatTipo,MATCH($C314,CatNome,0)),"")&lt;&gt;$B314,"Categoria x Tipo?","OK")))</f>
        <v>0</v>
      </c>
    </row>
    <row r="315" spans="1:11">
      <c r="A315" s="18"/>
      <c r="B315" s="19"/>
      <c r="C315" s="15"/>
      <c r="D315" s="15"/>
      <c r="E315" s="15"/>
      <c r="F315" s="17"/>
      <c r="G315" s="19"/>
      <c r="H315" s="20">
        <f>IF($A315="","",YEAR($A315))</f>
        <v>0</v>
      </c>
      <c r="I315" s="20">
        <f>IF($A315="","",MONTH($A315))</f>
        <v>0</v>
      </c>
      <c r="J315" s="21">
        <f>IF(OR($A315="",$F315=""),"",IF($B315="Entrada",$F315,-$F315))</f>
        <v>0</v>
      </c>
      <c r="K315" s="20">
        <f>IF($A315="","",IF(OR($B315="",$C315="",$F315="",$G315=""),"Preencher tudo",IF(IFERROR(INDEX(CatTipo,MATCH($C315,CatNome,0)),"")&lt;&gt;$B315,"Categoria x Tipo?","OK")))</f>
        <v>0</v>
      </c>
    </row>
    <row r="316" spans="1:11">
      <c r="A316" s="18"/>
      <c r="B316" s="19"/>
      <c r="C316" s="15"/>
      <c r="D316" s="15"/>
      <c r="E316" s="15"/>
      <c r="F316" s="17"/>
      <c r="G316" s="19"/>
      <c r="H316" s="20">
        <f>IF($A316="","",YEAR($A316))</f>
        <v>0</v>
      </c>
      <c r="I316" s="20">
        <f>IF($A316="","",MONTH($A316))</f>
        <v>0</v>
      </c>
      <c r="J316" s="21">
        <f>IF(OR($A316="",$F316=""),"",IF($B316="Entrada",$F316,-$F316))</f>
        <v>0</v>
      </c>
      <c r="K316" s="20">
        <f>IF($A316="","",IF(OR($B316="",$C316="",$F316="",$G316=""),"Preencher tudo",IF(IFERROR(INDEX(CatTipo,MATCH($C316,CatNome,0)),"")&lt;&gt;$B316,"Categoria x Tipo?","OK")))</f>
        <v>0</v>
      </c>
    </row>
    <row r="317" spans="1:11">
      <c r="A317" s="18"/>
      <c r="B317" s="19"/>
      <c r="C317" s="15"/>
      <c r="D317" s="15"/>
      <c r="E317" s="15"/>
      <c r="F317" s="17"/>
      <c r="G317" s="19"/>
      <c r="H317" s="20">
        <f>IF($A317="","",YEAR($A317))</f>
        <v>0</v>
      </c>
      <c r="I317" s="20">
        <f>IF($A317="","",MONTH($A317))</f>
        <v>0</v>
      </c>
      <c r="J317" s="21">
        <f>IF(OR($A317="",$F317=""),"",IF($B317="Entrada",$F317,-$F317))</f>
        <v>0</v>
      </c>
      <c r="K317" s="20">
        <f>IF($A317="","",IF(OR($B317="",$C317="",$F317="",$G317=""),"Preencher tudo",IF(IFERROR(INDEX(CatTipo,MATCH($C317,CatNome,0)),"")&lt;&gt;$B317,"Categoria x Tipo?","OK")))</f>
        <v>0</v>
      </c>
    </row>
    <row r="318" spans="1:11">
      <c r="A318" s="18"/>
      <c r="B318" s="19"/>
      <c r="C318" s="15"/>
      <c r="D318" s="15"/>
      <c r="E318" s="15"/>
      <c r="F318" s="17"/>
      <c r="G318" s="19"/>
      <c r="H318" s="20">
        <f>IF($A318="","",YEAR($A318))</f>
        <v>0</v>
      </c>
      <c r="I318" s="20">
        <f>IF($A318="","",MONTH($A318))</f>
        <v>0</v>
      </c>
      <c r="J318" s="21">
        <f>IF(OR($A318="",$F318=""),"",IF($B318="Entrada",$F318,-$F318))</f>
        <v>0</v>
      </c>
      <c r="K318" s="20">
        <f>IF($A318="","",IF(OR($B318="",$C318="",$F318="",$G318=""),"Preencher tudo",IF(IFERROR(INDEX(CatTipo,MATCH($C318,CatNome,0)),"")&lt;&gt;$B318,"Categoria x Tipo?","OK")))</f>
        <v>0</v>
      </c>
    </row>
    <row r="319" spans="1:11">
      <c r="A319" s="18"/>
      <c r="B319" s="19"/>
      <c r="C319" s="15"/>
      <c r="D319" s="15"/>
      <c r="E319" s="15"/>
      <c r="F319" s="17"/>
      <c r="G319" s="19"/>
      <c r="H319" s="20">
        <f>IF($A319="","",YEAR($A319))</f>
        <v>0</v>
      </c>
      <c r="I319" s="20">
        <f>IF($A319="","",MONTH($A319))</f>
        <v>0</v>
      </c>
      <c r="J319" s="21">
        <f>IF(OR($A319="",$F319=""),"",IF($B319="Entrada",$F319,-$F319))</f>
        <v>0</v>
      </c>
      <c r="K319" s="20">
        <f>IF($A319="","",IF(OR($B319="",$C319="",$F319="",$G319=""),"Preencher tudo",IF(IFERROR(INDEX(CatTipo,MATCH($C319,CatNome,0)),"")&lt;&gt;$B319,"Categoria x Tipo?","OK")))</f>
        <v>0</v>
      </c>
    </row>
    <row r="320" spans="1:11">
      <c r="A320" s="18"/>
      <c r="B320" s="19"/>
      <c r="C320" s="15"/>
      <c r="D320" s="15"/>
      <c r="E320" s="15"/>
      <c r="F320" s="17"/>
      <c r="G320" s="19"/>
      <c r="H320" s="20">
        <f>IF($A320="","",YEAR($A320))</f>
        <v>0</v>
      </c>
      <c r="I320" s="20">
        <f>IF($A320="","",MONTH($A320))</f>
        <v>0</v>
      </c>
      <c r="J320" s="21">
        <f>IF(OR($A320="",$F320=""),"",IF($B320="Entrada",$F320,-$F320))</f>
        <v>0</v>
      </c>
      <c r="K320" s="20">
        <f>IF($A320="","",IF(OR($B320="",$C320="",$F320="",$G320=""),"Preencher tudo",IF(IFERROR(INDEX(CatTipo,MATCH($C320,CatNome,0)),"")&lt;&gt;$B320,"Categoria x Tipo?","OK")))</f>
        <v>0</v>
      </c>
    </row>
    <row r="321" spans="1:11">
      <c r="A321" s="18"/>
      <c r="B321" s="19"/>
      <c r="C321" s="15"/>
      <c r="D321" s="15"/>
      <c r="E321" s="15"/>
      <c r="F321" s="17"/>
      <c r="G321" s="19"/>
      <c r="H321" s="20">
        <f>IF($A321="","",YEAR($A321))</f>
        <v>0</v>
      </c>
      <c r="I321" s="20">
        <f>IF($A321="","",MONTH($A321))</f>
        <v>0</v>
      </c>
      <c r="J321" s="21">
        <f>IF(OR($A321="",$F321=""),"",IF($B321="Entrada",$F321,-$F321))</f>
        <v>0</v>
      </c>
      <c r="K321" s="20">
        <f>IF($A321="","",IF(OR($B321="",$C321="",$F321="",$G321=""),"Preencher tudo",IF(IFERROR(INDEX(CatTipo,MATCH($C321,CatNome,0)),"")&lt;&gt;$B321,"Categoria x Tipo?","OK")))</f>
        <v>0</v>
      </c>
    </row>
    <row r="322" spans="1:11">
      <c r="A322" s="18"/>
      <c r="B322" s="19"/>
      <c r="C322" s="15"/>
      <c r="D322" s="15"/>
      <c r="E322" s="15"/>
      <c r="F322" s="17"/>
      <c r="G322" s="19"/>
      <c r="H322" s="20">
        <f>IF($A322="","",YEAR($A322))</f>
        <v>0</v>
      </c>
      <c r="I322" s="20">
        <f>IF($A322="","",MONTH($A322))</f>
        <v>0</v>
      </c>
      <c r="J322" s="21">
        <f>IF(OR($A322="",$F322=""),"",IF($B322="Entrada",$F322,-$F322))</f>
        <v>0</v>
      </c>
      <c r="K322" s="20">
        <f>IF($A322="","",IF(OR($B322="",$C322="",$F322="",$G322=""),"Preencher tudo",IF(IFERROR(INDEX(CatTipo,MATCH($C322,CatNome,0)),"")&lt;&gt;$B322,"Categoria x Tipo?","OK")))</f>
        <v>0</v>
      </c>
    </row>
    <row r="323" spans="1:11">
      <c r="A323" s="18"/>
      <c r="B323" s="19"/>
      <c r="C323" s="15"/>
      <c r="D323" s="15"/>
      <c r="E323" s="15"/>
      <c r="F323" s="17"/>
      <c r="G323" s="19"/>
      <c r="H323" s="20">
        <f>IF($A323="","",YEAR($A323))</f>
        <v>0</v>
      </c>
      <c r="I323" s="20">
        <f>IF($A323="","",MONTH($A323))</f>
        <v>0</v>
      </c>
      <c r="J323" s="21">
        <f>IF(OR($A323="",$F323=""),"",IF($B323="Entrada",$F323,-$F323))</f>
        <v>0</v>
      </c>
      <c r="K323" s="20">
        <f>IF($A323="","",IF(OR($B323="",$C323="",$F323="",$G323=""),"Preencher tudo",IF(IFERROR(INDEX(CatTipo,MATCH($C323,CatNome,0)),"")&lt;&gt;$B323,"Categoria x Tipo?","OK")))</f>
        <v>0</v>
      </c>
    </row>
    <row r="324" spans="1:11">
      <c r="A324" s="18"/>
      <c r="B324" s="19"/>
      <c r="C324" s="15"/>
      <c r="D324" s="15"/>
      <c r="E324" s="15"/>
      <c r="F324" s="17"/>
      <c r="G324" s="19"/>
      <c r="H324" s="20">
        <f>IF($A324="","",YEAR($A324))</f>
        <v>0</v>
      </c>
      <c r="I324" s="20">
        <f>IF($A324="","",MONTH($A324))</f>
        <v>0</v>
      </c>
      <c r="J324" s="21">
        <f>IF(OR($A324="",$F324=""),"",IF($B324="Entrada",$F324,-$F324))</f>
        <v>0</v>
      </c>
      <c r="K324" s="20">
        <f>IF($A324="","",IF(OR($B324="",$C324="",$F324="",$G324=""),"Preencher tudo",IF(IFERROR(INDEX(CatTipo,MATCH($C324,CatNome,0)),"")&lt;&gt;$B324,"Categoria x Tipo?","OK")))</f>
        <v>0</v>
      </c>
    </row>
    <row r="325" spans="1:11">
      <c r="A325" s="18"/>
      <c r="B325" s="19"/>
      <c r="C325" s="15"/>
      <c r="D325" s="15"/>
      <c r="E325" s="15"/>
      <c r="F325" s="17"/>
      <c r="G325" s="19"/>
      <c r="H325" s="20">
        <f>IF($A325="","",YEAR($A325))</f>
        <v>0</v>
      </c>
      <c r="I325" s="20">
        <f>IF($A325="","",MONTH($A325))</f>
        <v>0</v>
      </c>
      <c r="J325" s="21">
        <f>IF(OR($A325="",$F325=""),"",IF($B325="Entrada",$F325,-$F325))</f>
        <v>0</v>
      </c>
      <c r="K325" s="20">
        <f>IF($A325="","",IF(OR($B325="",$C325="",$F325="",$G325=""),"Preencher tudo",IF(IFERROR(INDEX(CatTipo,MATCH($C325,CatNome,0)),"")&lt;&gt;$B325,"Categoria x Tipo?","OK")))</f>
        <v>0</v>
      </c>
    </row>
    <row r="326" spans="1:11">
      <c r="A326" s="18"/>
      <c r="B326" s="19"/>
      <c r="C326" s="15"/>
      <c r="D326" s="15"/>
      <c r="E326" s="15"/>
      <c r="F326" s="17"/>
      <c r="G326" s="19"/>
      <c r="H326" s="20">
        <f>IF($A326="","",YEAR($A326))</f>
        <v>0</v>
      </c>
      <c r="I326" s="20">
        <f>IF($A326="","",MONTH($A326))</f>
        <v>0</v>
      </c>
      <c r="J326" s="21">
        <f>IF(OR($A326="",$F326=""),"",IF($B326="Entrada",$F326,-$F326))</f>
        <v>0</v>
      </c>
      <c r="K326" s="20">
        <f>IF($A326="","",IF(OR($B326="",$C326="",$F326="",$G326=""),"Preencher tudo",IF(IFERROR(INDEX(CatTipo,MATCH($C326,CatNome,0)),"")&lt;&gt;$B326,"Categoria x Tipo?","OK")))</f>
        <v>0</v>
      </c>
    </row>
    <row r="327" spans="1:11">
      <c r="A327" s="18"/>
      <c r="B327" s="19"/>
      <c r="C327" s="15"/>
      <c r="D327" s="15"/>
      <c r="E327" s="15"/>
      <c r="F327" s="17"/>
      <c r="G327" s="19"/>
      <c r="H327" s="20">
        <f>IF($A327="","",YEAR($A327))</f>
        <v>0</v>
      </c>
      <c r="I327" s="20">
        <f>IF($A327="","",MONTH($A327))</f>
        <v>0</v>
      </c>
      <c r="J327" s="21">
        <f>IF(OR($A327="",$F327=""),"",IF($B327="Entrada",$F327,-$F327))</f>
        <v>0</v>
      </c>
      <c r="K327" s="20">
        <f>IF($A327="","",IF(OR($B327="",$C327="",$F327="",$G327=""),"Preencher tudo",IF(IFERROR(INDEX(CatTipo,MATCH($C327,CatNome,0)),"")&lt;&gt;$B327,"Categoria x Tipo?","OK")))</f>
        <v>0</v>
      </c>
    </row>
    <row r="328" spans="1:11">
      <c r="A328" s="18"/>
      <c r="B328" s="19"/>
      <c r="C328" s="15"/>
      <c r="D328" s="15"/>
      <c r="E328" s="15"/>
      <c r="F328" s="17"/>
      <c r="G328" s="19"/>
      <c r="H328" s="20">
        <f>IF($A328="","",YEAR($A328))</f>
        <v>0</v>
      </c>
      <c r="I328" s="20">
        <f>IF($A328="","",MONTH($A328))</f>
        <v>0</v>
      </c>
      <c r="J328" s="21">
        <f>IF(OR($A328="",$F328=""),"",IF($B328="Entrada",$F328,-$F328))</f>
        <v>0</v>
      </c>
      <c r="K328" s="20">
        <f>IF($A328="","",IF(OR($B328="",$C328="",$F328="",$G328=""),"Preencher tudo",IF(IFERROR(INDEX(CatTipo,MATCH($C328,CatNome,0)),"")&lt;&gt;$B328,"Categoria x Tipo?","OK")))</f>
        <v>0</v>
      </c>
    </row>
    <row r="329" spans="1:11">
      <c r="A329" s="18"/>
      <c r="B329" s="19"/>
      <c r="C329" s="15"/>
      <c r="D329" s="15"/>
      <c r="E329" s="15"/>
      <c r="F329" s="17"/>
      <c r="G329" s="19"/>
      <c r="H329" s="20">
        <f>IF($A329="","",YEAR($A329))</f>
        <v>0</v>
      </c>
      <c r="I329" s="20">
        <f>IF($A329="","",MONTH($A329))</f>
        <v>0</v>
      </c>
      <c r="J329" s="21">
        <f>IF(OR($A329="",$F329=""),"",IF($B329="Entrada",$F329,-$F329))</f>
        <v>0</v>
      </c>
      <c r="K329" s="20">
        <f>IF($A329="","",IF(OR($B329="",$C329="",$F329="",$G329=""),"Preencher tudo",IF(IFERROR(INDEX(CatTipo,MATCH($C329,CatNome,0)),"")&lt;&gt;$B329,"Categoria x Tipo?","OK")))</f>
        <v>0</v>
      </c>
    </row>
    <row r="330" spans="1:11">
      <c r="A330" s="18"/>
      <c r="B330" s="19"/>
      <c r="C330" s="15"/>
      <c r="D330" s="15"/>
      <c r="E330" s="15"/>
      <c r="F330" s="17"/>
      <c r="G330" s="19"/>
      <c r="H330" s="20">
        <f>IF($A330="","",YEAR($A330))</f>
        <v>0</v>
      </c>
      <c r="I330" s="20">
        <f>IF($A330="","",MONTH($A330))</f>
        <v>0</v>
      </c>
      <c r="J330" s="21">
        <f>IF(OR($A330="",$F330=""),"",IF($B330="Entrada",$F330,-$F330))</f>
        <v>0</v>
      </c>
      <c r="K330" s="20">
        <f>IF($A330="","",IF(OR($B330="",$C330="",$F330="",$G330=""),"Preencher tudo",IF(IFERROR(INDEX(CatTipo,MATCH($C330,CatNome,0)),"")&lt;&gt;$B330,"Categoria x Tipo?","OK")))</f>
        <v>0</v>
      </c>
    </row>
    <row r="331" spans="1:11">
      <c r="A331" s="18"/>
      <c r="B331" s="19"/>
      <c r="C331" s="15"/>
      <c r="D331" s="15"/>
      <c r="E331" s="15"/>
      <c r="F331" s="17"/>
      <c r="G331" s="19"/>
      <c r="H331" s="20">
        <f>IF($A331="","",YEAR($A331))</f>
        <v>0</v>
      </c>
      <c r="I331" s="20">
        <f>IF($A331="","",MONTH($A331))</f>
        <v>0</v>
      </c>
      <c r="J331" s="21">
        <f>IF(OR($A331="",$F331=""),"",IF($B331="Entrada",$F331,-$F331))</f>
        <v>0</v>
      </c>
      <c r="K331" s="20">
        <f>IF($A331="","",IF(OR($B331="",$C331="",$F331="",$G331=""),"Preencher tudo",IF(IFERROR(INDEX(CatTipo,MATCH($C331,CatNome,0)),"")&lt;&gt;$B331,"Categoria x Tipo?","OK")))</f>
        <v>0</v>
      </c>
    </row>
    <row r="332" spans="1:11">
      <c r="A332" s="18"/>
      <c r="B332" s="19"/>
      <c r="C332" s="15"/>
      <c r="D332" s="15"/>
      <c r="E332" s="15"/>
      <c r="F332" s="17"/>
      <c r="G332" s="19"/>
      <c r="H332" s="20">
        <f>IF($A332="","",YEAR($A332))</f>
        <v>0</v>
      </c>
      <c r="I332" s="20">
        <f>IF($A332="","",MONTH($A332))</f>
        <v>0</v>
      </c>
      <c r="J332" s="21">
        <f>IF(OR($A332="",$F332=""),"",IF($B332="Entrada",$F332,-$F332))</f>
        <v>0</v>
      </c>
      <c r="K332" s="20">
        <f>IF($A332="","",IF(OR($B332="",$C332="",$F332="",$G332=""),"Preencher tudo",IF(IFERROR(INDEX(CatTipo,MATCH($C332,CatNome,0)),"")&lt;&gt;$B332,"Categoria x Tipo?","OK")))</f>
        <v>0</v>
      </c>
    </row>
    <row r="333" spans="1:11">
      <c r="A333" s="18"/>
      <c r="B333" s="19"/>
      <c r="C333" s="15"/>
      <c r="D333" s="15"/>
      <c r="E333" s="15"/>
      <c r="F333" s="17"/>
      <c r="G333" s="19"/>
      <c r="H333" s="20">
        <f>IF($A333="","",YEAR($A333))</f>
        <v>0</v>
      </c>
      <c r="I333" s="20">
        <f>IF($A333="","",MONTH($A333))</f>
        <v>0</v>
      </c>
      <c r="J333" s="21">
        <f>IF(OR($A333="",$F333=""),"",IF($B333="Entrada",$F333,-$F333))</f>
        <v>0</v>
      </c>
      <c r="K333" s="20">
        <f>IF($A333="","",IF(OR($B333="",$C333="",$F333="",$G333=""),"Preencher tudo",IF(IFERROR(INDEX(CatTipo,MATCH($C333,CatNome,0)),"")&lt;&gt;$B333,"Categoria x Tipo?","OK")))</f>
        <v>0</v>
      </c>
    </row>
    <row r="334" spans="1:11">
      <c r="A334" s="18"/>
      <c r="B334" s="19"/>
      <c r="C334" s="15"/>
      <c r="D334" s="15"/>
      <c r="E334" s="15"/>
      <c r="F334" s="17"/>
      <c r="G334" s="19"/>
      <c r="H334" s="20">
        <f>IF($A334="","",YEAR($A334))</f>
        <v>0</v>
      </c>
      <c r="I334" s="20">
        <f>IF($A334="","",MONTH($A334))</f>
        <v>0</v>
      </c>
      <c r="J334" s="21">
        <f>IF(OR($A334="",$F334=""),"",IF($B334="Entrada",$F334,-$F334))</f>
        <v>0</v>
      </c>
      <c r="K334" s="20">
        <f>IF($A334="","",IF(OR($B334="",$C334="",$F334="",$G334=""),"Preencher tudo",IF(IFERROR(INDEX(CatTipo,MATCH($C334,CatNome,0)),"")&lt;&gt;$B334,"Categoria x Tipo?","OK")))</f>
        <v>0</v>
      </c>
    </row>
    <row r="335" spans="1:11">
      <c r="A335" s="18"/>
      <c r="B335" s="19"/>
      <c r="C335" s="15"/>
      <c r="D335" s="15"/>
      <c r="E335" s="15"/>
      <c r="F335" s="17"/>
      <c r="G335" s="19"/>
      <c r="H335" s="20">
        <f>IF($A335="","",YEAR($A335))</f>
        <v>0</v>
      </c>
      <c r="I335" s="20">
        <f>IF($A335="","",MONTH($A335))</f>
        <v>0</v>
      </c>
      <c r="J335" s="21">
        <f>IF(OR($A335="",$F335=""),"",IF($B335="Entrada",$F335,-$F335))</f>
        <v>0</v>
      </c>
      <c r="K335" s="20">
        <f>IF($A335="","",IF(OR($B335="",$C335="",$F335="",$G335=""),"Preencher tudo",IF(IFERROR(INDEX(CatTipo,MATCH($C335,CatNome,0)),"")&lt;&gt;$B335,"Categoria x Tipo?","OK")))</f>
        <v>0</v>
      </c>
    </row>
    <row r="336" spans="1:11">
      <c r="A336" s="18"/>
      <c r="B336" s="19"/>
      <c r="C336" s="15"/>
      <c r="D336" s="15"/>
      <c r="E336" s="15"/>
      <c r="F336" s="17"/>
      <c r="G336" s="19"/>
      <c r="H336" s="20">
        <f>IF($A336="","",YEAR($A336))</f>
        <v>0</v>
      </c>
      <c r="I336" s="20">
        <f>IF($A336="","",MONTH($A336))</f>
        <v>0</v>
      </c>
      <c r="J336" s="21">
        <f>IF(OR($A336="",$F336=""),"",IF($B336="Entrada",$F336,-$F336))</f>
        <v>0</v>
      </c>
      <c r="K336" s="20">
        <f>IF($A336="","",IF(OR($B336="",$C336="",$F336="",$G336=""),"Preencher tudo",IF(IFERROR(INDEX(CatTipo,MATCH($C336,CatNome,0)),"")&lt;&gt;$B336,"Categoria x Tipo?","OK")))</f>
        <v>0</v>
      </c>
    </row>
    <row r="337" spans="1:11">
      <c r="A337" s="18"/>
      <c r="B337" s="19"/>
      <c r="C337" s="15"/>
      <c r="D337" s="15"/>
      <c r="E337" s="15"/>
      <c r="F337" s="17"/>
      <c r="G337" s="19"/>
      <c r="H337" s="20">
        <f>IF($A337="","",YEAR($A337))</f>
        <v>0</v>
      </c>
      <c r="I337" s="20">
        <f>IF($A337="","",MONTH($A337))</f>
        <v>0</v>
      </c>
      <c r="J337" s="21">
        <f>IF(OR($A337="",$F337=""),"",IF($B337="Entrada",$F337,-$F337))</f>
        <v>0</v>
      </c>
      <c r="K337" s="20">
        <f>IF($A337="","",IF(OR($B337="",$C337="",$F337="",$G337=""),"Preencher tudo",IF(IFERROR(INDEX(CatTipo,MATCH($C337,CatNome,0)),"")&lt;&gt;$B337,"Categoria x Tipo?","OK")))</f>
        <v>0</v>
      </c>
    </row>
    <row r="338" spans="1:11">
      <c r="A338" s="18"/>
      <c r="B338" s="19"/>
      <c r="C338" s="15"/>
      <c r="D338" s="15"/>
      <c r="E338" s="15"/>
      <c r="F338" s="17"/>
      <c r="G338" s="19"/>
      <c r="H338" s="20">
        <f>IF($A338="","",YEAR($A338))</f>
        <v>0</v>
      </c>
      <c r="I338" s="20">
        <f>IF($A338="","",MONTH($A338))</f>
        <v>0</v>
      </c>
      <c r="J338" s="21">
        <f>IF(OR($A338="",$F338=""),"",IF($B338="Entrada",$F338,-$F338))</f>
        <v>0</v>
      </c>
      <c r="K338" s="20">
        <f>IF($A338="","",IF(OR($B338="",$C338="",$F338="",$G338=""),"Preencher tudo",IF(IFERROR(INDEX(CatTipo,MATCH($C338,CatNome,0)),"")&lt;&gt;$B338,"Categoria x Tipo?","OK")))</f>
        <v>0</v>
      </c>
    </row>
    <row r="339" spans="1:11">
      <c r="A339" s="18"/>
      <c r="B339" s="19"/>
      <c r="C339" s="15"/>
      <c r="D339" s="15"/>
      <c r="E339" s="15"/>
      <c r="F339" s="17"/>
      <c r="G339" s="19"/>
      <c r="H339" s="20">
        <f>IF($A339="","",YEAR($A339))</f>
        <v>0</v>
      </c>
      <c r="I339" s="20">
        <f>IF($A339="","",MONTH($A339))</f>
        <v>0</v>
      </c>
      <c r="J339" s="21">
        <f>IF(OR($A339="",$F339=""),"",IF($B339="Entrada",$F339,-$F339))</f>
        <v>0</v>
      </c>
      <c r="K339" s="20">
        <f>IF($A339="","",IF(OR($B339="",$C339="",$F339="",$G339=""),"Preencher tudo",IF(IFERROR(INDEX(CatTipo,MATCH($C339,CatNome,0)),"")&lt;&gt;$B339,"Categoria x Tipo?","OK")))</f>
        <v>0</v>
      </c>
    </row>
    <row r="340" spans="1:11">
      <c r="A340" s="18"/>
      <c r="B340" s="19"/>
      <c r="C340" s="15"/>
      <c r="D340" s="15"/>
      <c r="E340" s="15"/>
      <c r="F340" s="17"/>
      <c r="G340" s="19"/>
      <c r="H340" s="20">
        <f>IF($A340="","",YEAR($A340))</f>
        <v>0</v>
      </c>
      <c r="I340" s="20">
        <f>IF($A340="","",MONTH($A340))</f>
        <v>0</v>
      </c>
      <c r="J340" s="21">
        <f>IF(OR($A340="",$F340=""),"",IF($B340="Entrada",$F340,-$F340))</f>
        <v>0</v>
      </c>
      <c r="K340" s="20">
        <f>IF($A340="","",IF(OR($B340="",$C340="",$F340="",$G340=""),"Preencher tudo",IF(IFERROR(INDEX(CatTipo,MATCH($C340,CatNome,0)),"")&lt;&gt;$B340,"Categoria x Tipo?","OK")))</f>
        <v>0</v>
      </c>
    </row>
    <row r="341" spans="1:11">
      <c r="A341" s="18"/>
      <c r="B341" s="19"/>
      <c r="C341" s="15"/>
      <c r="D341" s="15"/>
      <c r="E341" s="15"/>
      <c r="F341" s="17"/>
      <c r="G341" s="19"/>
      <c r="H341" s="20">
        <f>IF($A341="","",YEAR($A341))</f>
        <v>0</v>
      </c>
      <c r="I341" s="20">
        <f>IF($A341="","",MONTH($A341))</f>
        <v>0</v>
      </c>
      <c r="J341" s="21">
        <f>IF(OR($A341="",$F341=""),"",IF($B341="Entrada",$F341,-$F341))</f>
        <v>0</v>
      </c>
      <c r="K341" s="20">
        <f>IF($A341="","",IF(OR($B341="",$C341="",$F341="",$G341=""),"Preencher tudo",IF(IFERROR(INDEX(CatTipo,MATCH($C341,CatNome,0)),"")&lt;&gt;$B341,"Categoria x Tipo?","OK")))</f>
        <v>0</v>
      </c>
    </row>
    <row r="342" spans="1:11">
      <c r="A342" s="18"/>
      <c r="B342" s="19"/>
      <c r="C342" s="15"/>
      <c r="D342" s="15"/>
      <c r="E342" s="15"/>
      <c r="F342" s="17"/>
      <c r="G342" s="19"/>
      <c r="H342" s="20">
        <f>IF($A342="","",YEAR($A342))</f>
        <v>0</v>
      </c>
      <c r="I342" s="20">
        <f>IF($A342="","",MONTH($A342))</f>
        <v>0</v>
      </c>
      <c r="J342" s="21">
        <f>IF(OR($A342="",$F342=""),"",IF($B342="Entrada",$F342,-$F342))</f>
        <v>0</v>
      </c>
      <c r="K342" s="20">
        <f>IF($A342="","",IF(OR($B342="",$C342="",$F342="",$G342=""),"Preencher tudo",IF(IFERROR(INDEX(CatTipo,MATCH($C342,CatNome,0)),"")&lt;&gt;$B342,"Categoria x Tipo?","OK")))</f>
        <v>0</v>
      </c>
    </row>
    <row r="343" spans="1:11">
      <c r="A343" s="18"/>
      <c r="B343" s="19"/>
      <c r="C343" s="15"/>
      <c r="D343" s="15"/>
      <c r="E343" s="15"/>
      <c r="F343" s="17"/>
      <c r="G343" s="19"/>
      <c r="H343" s="20">
        <f>IF($A343="","",YEAR($A343))</f>
        <v>0</v>
      </c>
      <c r="I343" s="20">
        <f>IF($A343="","",MONTH($A343))</f>
        <v>0</v>
      </c>
      <c r="J343" s="21">
        <f>IF(OR($A343="",$F343=""),"",IF($B343="Entrada",$F343,-$F343))</f>
        <v>0</v>
      </c>
      <c r="K343" s="20">
        <f>IF($A343="","",IF(OR($B343="",$C343="",$F343="",$G343=""),"Preencher tudo",IF(IFERROR(INDEX(CatTipo,MATCH($C343,CatNome,0)),"")&lt;&gt;$B343,"Categoria x Tipo?","OK")))</f>
        <v>0</v>
      </c>
    </row>
    <row r="344" spans="1:11">
      <c r="A344" s="18"/>
      <c r="B344" s="19"/>
      <c r="C344" s="15"/>
      <c r="D344" s="15"/>
      <c r="E344" s="15"/>
      <c r="F344" s="17"/>
      <c r="G344" s="19"/>
      <c r="H344" s="20">
        <f>IF($A344="","",YEAR($A344))</f>
        <v>0</v>
      </c>
      <c r="I344" s="20">
        <f>IF($A344="","",MONTH($A344))</f>
        <v>0</v>
      </c>
      <c r="J344" s="21">
        <f>IF(OR($A344="",$F344=""),"",IF($B344="Entrada",$F344,-$F344))</f>
        <v>0</v>
      </c>
      <c r="K344" s="20">
        <f>IF($A344="","",IF(OR($B344="",$C344="",$F344="",$G344=""),"Preencher tudo",IF(IFERROR(INDEX(CatTipo,MATCH($C344,CatNome,0)),"")&lt;&gt;$B344,"Categoria x Tipo?","OK")))</f>
        <v>0</v>
      </c>
    </row>
    <row r="345" spans="1:11">
      <c r="A345" s="18"/>
      <c r="B345" s="19"/>
      <c r="C345" s="15"/>
      <c r="D345" s="15"/>
      <c r="E345" s="15"/>
      <c r="F345" s="17"/>
      <c r="G345" s="19"/>
      <c r="H345" s="20">
        <f>IF($A345="","",YEAR($A345))</f>
        <v>0</v>
      </c>
      <c r="I345" s="20">
        <f>IF($A345="","",MONTH($A345))</f>
        <v>0</v>
      </c>
      <c r="J345" s="21">
        <f>IF(OR($A345="",$F345=""),"",IF($B345="Entrada",$F345,-$F345))</f>
        <v>0</v>
      </c>
      <c r="K345" s="20">
        <f>IF($A345="","",IF(OR($B345="",$C345="",$F345="",$G345=""),"Preencher tudo",IF(IFERROR(INDEX(CatTipo,MATCH($C345,CatNome,0)),"")&lt;&gt;$B345,"Categoria x Tipo?","OK")))</f>
        <v>0</v>
      </c>
    </row>
    <row r="346" spans="1:11">
      <c r="A346" s="18"/>
      <c r="B346" s="19"/>
      <c r="C346" s="15"/>
      <c r="D346" s="15"/>
      <c r="E346" s="15"/>
      <c r="F346" s="17"/>
      <c r="G346" s="19"/>
      <c r="H346" s="20">
        <f>IF($A346="","",YEAR($A346))</f>
        <v>0</v>
      </c>
      <c r="I346" s="20">
        <f>IF($A346="","",MONTH($A346))</f>
        <v>0</v>
      </c>
      <c r="J346" s="21">
        <f>IF(OR($A346="",$F346=""),"",IF($B346="Entrada",$F346,-$F346))</f>
        <v>0</v>
      </c>
      <c r="K346" s="20">
        <f>IF($A346="","",IF(OR($B346="",$C346="",$F346="",$G346=""),"Preencher tudo",IF(IFERROR(INDEX(CatTipo,MATCH($C346,CatNome,0)),"")&lt;&gt;$B346,"Categoria x Tipo?","OK")))</f>
        <v>0</v>
      </c>
    </row>
    <row r="347" spans="1:11">
      <c r="A347" s="18"/>
      <c r="B347" s="19"/>
      <c r="C347" s="15"/>
      <c r="D347" s="15"/>
      <c r="E347" s="15"/>
      <c r="F347" s="17"/>
      <c r="G347" s="19"/>
      <c r="H347" s="20">
        <f>IF($A347="","",YEAR($A347))</f>
        <v>0</v>
      </c>
      <c r="I347" s="20">
        <f>IF($A347="","",MONTH($A347))</f>
        <v>0</v>
      </c>
      <c r="J347" s="21">
        <f>IF(OR($A347="",$F347=""),"",IF($B347="Entrada",$F347,-$F347))</f>
        <v>0</v>
      </c>
      <c r="K347" s="20">
        <f>IF($A347="","",IF(OR($B347="",$C347="",$F347="",$G347=""),"Preencher tudo",IF(IFERROR(INDEX(CatTipo,MATCH($C347,CatNome,0)),"")&lt;&gt;$B347,"Categoria x Tipo?","OK")))</f>
        <v>0</v>
      </c>
    </row>
    <row r="348" spans="1:11">
      <c r="A348" s="18"/>
      <c r="B348" s="19"/>
      <c r="C348" s="15"/>
      <c r="D348" s="15"/>
      <c r="E348" s="15"/>
      <c r="F348" s="17"/>
      <c r="G348" s="19"/>
      <c r="H348" s="20">
        <f>IF($A348="","",YEAR($A348))</f>
        <v>0</v>
      </c>
      <c r="I348" s="20">
        <f>IF($A348="","",MONTH($A348))</f>
        <v>0</v>
      </c>
      <c r="J348" s="21">
        <f>IF(OR($A348="",$F348=""),"",IF($B348="Entrada",$F348,-$F348))</f>
        <v>0</v>
      </c>
      <c r="K348" s="20">
        <f>IF($A348="","",IF(OR($B348="",$C348="",$F348="",$G348=""),"Preencher tudo",IF(IFERROR(INDEX(CatTipo,MATCH($C348,CatNome,0)),"")&lt;&gt;$B348,"Categoria x Tipo?","OK")))</f>
        <v>0</v>
      </c>
    </row>
    <row r="349" spans="1:11">
      <c r="A349" s="18"/>
      <c r="B349" s="19"/>
      <c r="C349" s="15"/>
      <c r="D349" s="15"/>
      <c r="E349" s="15"/>
      <c r="F349" s="17"/>
      <c r="G349" s="19"/>
      <c r="H349" s="20">
        <f>IF($A349="","",YEAR($A349))</f>
        <v>0</v>
      </c>
      <c r="I349" s="20">
        <f>IF($A349="","",MONTH($A349))</f>
        <v>0</v>
      </c>
      <c r="J349" s="21">
        <f>IF(OR($A349="",$F349=""),"",IF($B349="Entrada",$F349,-$F349))</f>
        <v>0</v>
      </c>
      <c r="K349" s="20">
        <f>IF($A349="","",IF(OR($B349="",$C349="",$F349="",$G349=""),"Preencher tudo",IF(IFERROR(INDEX(CatTipo,MATCH($C349,CatNome,0)),"")&lt;&gt;$B349,"Categoria x Tipo?","OK")))</f>
        <v>0</v>
      </c>
    </row>
    <row r="350" spans="1:11">
      <c r="A350" s="18"/>
      <c r="B350" s="19"/>
      <c r="C350" s="15"/>
      <c r="D350" s="15"/>
      <c r="E350" s="15"/>
      <c r="F350" s="17"/>
      <c r="G350" s="19"/>
      <c r="H350" s="20">
        <f>IF($A350="","",YEAR($A350))</f>
        <v>0</v>
      </c>
      <c r="I350" s="20">
        <f>IF($A350="","",MONTH($A350))</f>
        <v>0</v>
      </c>
      <c r="J350" s="21">
        <f>IF(OR($A350="",$F350=""),"",IF($B350="Entrada",$F350,-$F350))</f>
        <v>0</v>
      </c>
      <c r="K350" s="20">
        <f>IF($A350="","",IF(OR($B350="",$C350="",$F350="",$G350=""),"Preencher tudo",IF(IFERROR(INDEX(CatTipo,MATCH($C350,CatNome,0)),"")&lt;&gt;$B350,"Categoria x Tipo?","OK")))</f>
        <v>0</v>
      </c>
    </row>
    <row r="351" spans="1:11">
      <c r="A351" s="18"/>
      <c r="B351" s="19"/>
      <c r="C351" s="15"/>
      <c r="D351" s="15"/>
      <c r="E351" s="15"/>
      <c r="F351" s="17"/>
      <c r="G351" s="19"/>
      <c r="H351" s="20">
        <f>IF($A351="","",YEAR($A351))</f>
        <v>0</v>
      </c>
      <c r="I351" s="20">
        <f>IF($A351="","",MONTH($A351))</f>
        <v>0</v>
      </c>
      <c r="J351" s="21">
        <f>IF(OR($A351="",$F351=""),"",IF($B351="Entrada",$F351,-$F351))</f>
        <v>0</v>
      </c>
      <c r="K351" s="20">
        <f>IF($A351="","",IF(OR($B351="",$C351="",$F351="",$G351=""),"Preencher tudo",IF(IFERROR(INDEX(CatTipo,MATCH($C351,CatNome,0)),"")&lt;&gt;$B351,"Categoria x Tipo?","OK")))</f>
        <v>0</v>
      </c>
    </row>
    <row r="352" spans="1:11">
      <c r="A352" s="18"/>
      <c r="B352" s="19"/>
      <c r="C352" s="15"/>
      <c r="D352" s="15"/>
      <c r="E352" s="15"/>
      <c r="F352" s="17"/>
      <c r="G352" s="19"/>
      <c r="H352" s="20">
        <f>IF($A352="","",YEAR($A352))</f>
        <v>0</v>
      </c>
      <c r="I352" s="20">
        <f>IF($A352="","",MONTH($A352))</f>
        <v>0</v>
      </c>
      <c r="J352" s="21">
        <f>IF(OR($A352="",$F352=""),"",IF($B352="Entrada",$F352,-$F352))</f>
        <v>0</v>
      </c>
      <c r="K352" s="20">
        <f>IF($A352="","",IF(OR($B352="",$C352="",$F352="",$G352=""),"Preencher tudo",IF(IFERROR(INDEX(CatTipo,MATCH($C352,CatNome,0)),"")&lt;&gt;$B352,"Categoria x Tipo?","OK")))</f>
        <v>0</v>
      </c>
    </row>
    <row r="353" spans="1:11">
      <c r="A353" s="18"/>
      <c r="B353" s="19"/>
      <c r="C353" s="15"/>
      <c r="D353" s="15"/>
      <c r="E353" s="15"/>
      <c r="F353" s="17"/>
      <c r="G353" s="19"/>
      <c r="H353" s="20">
        <f>IF($A353="","",YEAR($A353))</f>
        <v>0</v>
      </c>
      <c r="I353" s="20">
        <f>IF($A353="","",MONTH($A353))</f>
        <v>0</v>
      </c>
      <c r="J353" s="21">
        <f>IF(OR($A353="",$F353=""),"",IF($B353="Entrada",$F353,-$F353))</f>
        <v>0</v>
      </c>
      <c r="K353" s="20">
        <f>IF($A353="","",IF(OR($B353="",$C353="",$F353="",$G353=""),"Preencher tudo",IF(IFERROR(INDEX(CatTipo,MATCH($C353,CatNome,0)),"")&lt;&gt;$B353,"Categoria x Tipo?","OK")))</f>
        <v>0</v>
      </c>
    </row>
    <row r="354" spans="1:11">
      <c r="A354" s="18"/>
      <c r="B354" s="19"/>
      <c r="C354" s="15"/>
      <c r="D354" s="15"/>
      <c r="E354" s="15"/>
      <c r="F354" s="17"/>
      <c r="G354" s="19"/>
      <c r="H354" s="20">
        <f>IF($A354="","",YEAR($A354))</f>
        <v>0</v>
      </c>
      <c r="I354" s="20">
        <f>IF($A354="","",MONTH($A354))</f>
        <v>0</v>
      </c>
      <c r="J354" s="21">
        <f>IF(OR($A354="",$F354=""),"",IF($B354="Entrada",$F354,-$F354))</f>
        <v>0</v>
      </c>
      <c r="K354" s="20">
        <f>IF($A354="","",IF(OR($B354="",$C354="",$F354="",$G354=""),"Preencher tudo",IF(IFERROR(INDEX(CatTipo,MATCH($C354,CatNome,0)),"")&lt;&gt;$B354,"Categoria x Tipo?","OK")))</f>
        <v>0</v>
      </c>
    </row>
    <row r="355" spans="1:11">
      <c r="A355" s="18"/>
      <c r="B355" s="19"/>
      <c r="C355" s="15"/>
      <c r="D355" s="15"/>
      <c r="E355" s="15"/>
      <c r="F355" s="17"/>
      <c r="G355" s="19"/>
      <c r="H355" s="20">
        <f>IF($A355="","",YEAR($A355))</f>
        <v>0</v>
      </c>
      <c r="I355" s="20">
        <f>IF($A355="","",MONTH($A355))</f>
        <v>0</v>
      </c>
      <c r="J355" s="21">
        <f>IF(OR($A355="",$F355=""),"",IF($B355="Entrada",$F355,-$F355))</f>
        <v>0</v>
      </c>
      <c r="K355" s="20">
        <f>IF($A355="","",IF(OR($B355="",$C355="",$F355="",$G355=""),"Preencher tudo",IF(IFERROR(INDEX(CatTipo,MATCH($C355,CatNome,0)),"")&lt;&gt;$B355,"Categoria x Tipo?","OK")))</f>
        <v>0</v>
      </c>
    </row>
    <row r="356" spans="1:11">
      <c r="A356" s="18"/>
      <c r="B356" s="19"/>
      <c r="C356" s="15"/>
      <c r="D356" s="15"/>
      <c r="E356" s="15"/>
      <c r="F356" s="17"/>
      <c r="G356" s="19"/>
      <c r="H356" s="20">
        <f>IF($A356="","",YEAR($A356))</f>
        <v>0</v>
      </c>
      <c r="I356" s="20">
        <f>IF($A356="","",MONTH($A356))</f>
        <v>0</v>
      </c>
      <c r="J356" s="21">
        <f>IF(OR($A356="",$F356=""),"",IF($B356="Entrada",$F356,-$F356))</f>
        <v>0</v>
      </c>
      <c r="K356" s="20">
        <f>IF($A356="","",IF(OR($B356="",$C356="",$F356="",$G356=""),"Preencher tudo",IF(IFERROR(INDEX(CatTipo,MATCH($C356,CatNome,0)),"")&lt;&gt;$B356,"Categoria x Tipo?","OK")))</f>
        <v>0</v>
      </c>
    </row>
    <row r="357" spans="1:11">
      <c r="A357" s="18"/>
      <c r="B357" s="19"/>
      <c r="C357" s="15"/>
      <c r="D357" s="15"/>
      <c r="E357" s="15"/>
      <c r="F357" s="17"/>
      <c r="G357" s="19"/>
      <c r="H357" s="20">
        <f>IF($A357="","",YEAR($A357))</f>
        <v>0</v>
      </c>
      <c r="I357" s="20">
        <f>IF($A357="","",MONTH($A357))</f>
        <v>0</v>
      </c>
      <c r="J357" s="21">
        <f>IF(OR($A357="",$F357=""),"",IF($B357="Entrada",$F357,-$F357))</f>
        <v>0</v>
      </c>
      <c r="K357" s="20">
        <f>IF($A357="","",IF(OR($B357="",$C357="",$F357="",$G357=""),"Preencher tudo",IF(IFERROR(INDEX(CatTipo,MATCH($C357,CatNome,0)),"")&lt;&gt;$B357,"Categoria x Tipo?","OK")))</f>
        <v>0</v>
      </c>
    </row>
    <row r="358" spans="1:11">
      <c r="A358" s="18"/>
      <c r="B358" s="19"/>
      <c r="C358" s="15"/>
      <c r="D358" s="15"/>
      <c r="E358" s="15"/>
      <c r="F358" s="17"/>
      <c r="G358" s="19"/>
      <c r="H358" s="20">
        <f>IF($A358="","",YEAR($A358))</f>
        <v>0</v>
      </c>
      <c r="I358" s="20">
        <f>IF($A358="","",MONTH($A358))</f>
        <v>0</v>
      </c>
      <c r="J358" s="21">
        <f>IF(OR($A358="",$F358=""),"",IF($B358="Entrada",$F358,-$F358))</f>
        <v>0</v>
      </c>
      <c r="K358" s="20">
        <f>IF($A358="","",IF(OR($B358="",$C358="",$F358="",$G358=""),"Preencher tudo",IF(IFERROR(INDEX(CatTipo,MATCH($C358,CatNome,0)),"")&lt;&gt;$B358,"Categoria x Tipo?","OK")))</f>
        <v>0</v>
      </c>
    </row>
    <row r="359" spans="1:11">
      <c r="A359" s="18"/>
      <c r="B359" s="19"/>
      <c r="C359" s="15"/>
      <c r="D359" s="15"/>
      <c r="E359" s="15"/>
      <c r="F359" s="17"/>
      <c r="G359" s="19"/>
      <c r="H359" s="20">
        <f>IF($A359="","",YEAR($A359))</f>
        <v>0</v>
      </c>
      <c r="I359" s="20">
        <f>IF($A359="","",MONTH($A359))</f>
        <v>0</v>
      </c>
      <c r="J359" s="21">
        <f>IF(OR($A359="",$F359=""),"",IF($B359="Entrada",$F359,-$F359))</f>
        <v>0</v>
      </c>
      <c r="K359" s="20">
        <f>IF($A359="","",IF(OR($B359="",$C359="",$F359="",$G359=""),"Preencher tudo",IF(IFERROR(INDEX(CatTipo,MATCH($C359,CatNome,0)),"")&lt;&gt;$B359,"Categoria x Tipo?","OK")))</f>
        <v>0</v>
      </c>
    </row>
    <row r="360" spans="1:11">
      <c r="A360" s="18"/>
      <c r="B360" s="19"/>
      <c r="C360" s="15"/>
      <c r="D360" s="15"/>
      <c r="E360" s="15"/>
      <c r="F360" s="17"/>
      <c r="G360" s="19"/>
      <c r="H360" s="20">
        <f>IF($A360="","",YEAR($A360))</f>
        <v>0</v>
      </c>
      <c r="I360" s="20">
        <f>IF($A360="","",MONTH($A360))</f>
        <v>0</v>
      </c>
      <c r="J360" s="21">
        <f>IF(OR($A360="",$F360=""),"",IF($B360="Entrada",$F360,-$F360))</f>
        <v>0</v>
      </c>
      <c r="K360" s="20">
        <f>IF($A360="","",IF(OR($B360="",$C360="",$F360="",$G360=""),"Preencher tudo",IF(IFERROR(INDEX(CatTipo,MATCH($C360,CatNome,0)),"")&lt;&gt;$B360,"Categoria x Tipo?","OK")))</f>
        <v>0</v>
      </c>
    </row>
    <row r="361" spans="1:11">
      <c r="A361" s="18"/>
      <c r="B361" s="19"/>
      <c r="C361" s="15"/>
      <c r="D361" s="15"/>
      <c r="E361" s="15"/>
      <c r="F361" s="17"/>
      <c r="G361" s="19"/>
      <c r="H361" s="20">
        <f>IF($A361="","",YEAR($A361))</f>
        <v>0</v>
      </c>
      <c r="I361" s="20">
        <f>IF($A361="","",MONTH($A361))</f>
        <v>0</v>
      </c>
      <c r="J361" s="21">
        <f>IF(OR($A361="",$F361=""),"",IF($B361="Entrada",$F361,-$F361))</f>
        <v>0</v>
      </c>
      <c r="K361" s="20">
        <f>IF($A361="","",IF(OR($B361="",$C361="",$F361="",$G361=""),"Preencher tudo",IF(IFERROR(INDEX(CatTipo,MATCH($C361,CatNome,0)),"")&lt;&gt;$B361,"Categoria x Tipo?","OK")))</f>
        <v>0</v>
      </c>
    </row>
    <row r="362" spans="1:11">
      <c r="A362" s="18"/>
      <c r="B362" s="19"/>
      <c r="C362" s="15"/>
      <c r="D362" s="15"/>
      <c r="E362" s="15"/>
      <c r="F362" s="17"/>
      <c r="G362" s="19"/>
      <c r="H362" s="20">
        <f>IF($A362="","",YEAR($A362))</f>
        <v>0</v>
      </c>
      <c r="I362" s="20">
        <f>IF($A362="","",MONTH($A362))</f>
        <v>0</v>
      </c>
      <c r="J362" s="21">
        <f>IF(OR($A362="",$F362=""),"",IF($B362="Entrada",$F362,-$F362))</f>
        <v>0</v>
      </c>
      <c r="K362" s="20">
        <f>IF($A362="","",IF(OR($B362="",$C362="",$F362="",$G362=""),"Preencher tudo",IF(IFERROR(INDEX(CatTipo,MATCH($C362,CatNome,0)),"")&lt;&gt;$B362,"Categoria x Tipo?","OK")))</f>
        <v>0</v>
      </c>
    </row>
    <row r="363" spans="1:11">
      <c r="A363" s="18"/>
      <c r="B363" s="19"/>
      <c r="C363" s="15"/>
      <c r="D363" s="15"/>
      <c r="E363" s="15"/>
      <c r="F363" s="17"/>
      <c r="G363" s="19"/>
      <c r="H363" s="20">
        <f>IF($A363="","",YEAR($A363))</f>
        <v>0</v>
      </c>
      <c r="I363" s="20">
        <f>IF($A363="","",MONTH($A363))</f>
        <v>0</v>
      </c>
      <c r="J363" s="21">
        <f>IF(OR($A363="",$F363=""),"",IF($B363="Entrada",$F363,-$F363))</f>
        <v>0</v>
      </c>
      <c r="K363" s="20">
        <f>IF($A363="","",IF(OR($B363="",$C363="",$F363="",$G363=""),"Preencher tudo",IF(IFERROR(INDEX(CatTipo,MATCH($C363,CatNome,0)),"")&lt;&gt;$B363,"Categoria x Tipo?","OK")))</f>
        <v>0</v>
      </c>
    </row>
    <row r="364" spans="1:11">
      <c r="A364" s="18"/>
      <c r="B364" s="19"/>
      <c r="C364" s="15"/>
      <c r="D364" s="15"/>
      <c r="E364" s="15"/>
      <c r="F364" s="17"/>
      <c r="G364" s="19"/>
      <c r="H364" s="20">
        <f>IF($A364="","",YEAR($A364))</f>
        <v>0</v>
      </c>
      <c r="I364" s="20">
        <f>IF($A364="","",MONTH($A364))</f>
        <v>0</v>
      </c>
      <c r="J364" s="21">
        <f>IF(OR($A364="",$F364=""),"",IF($B364="Entrada",$F364,-$F364))</f>
        <v>0</v>
      </c>
      <c r="K364" s="20">
        <f>IF($A364="","",IF(OR($B364="",$C364="",$F364="",$G364=""),"Preencher tudo",IF(IFERROR(INDEX(CatTipo,MATCH($C364,CatNome,0)),"")&lt;&gt;$B364,"Categoria x Tipo?","OK")))</f>
        <v>0</v>
      </c>
    </row>
    <row r="365" spans="1:11">
      <c r="A365" s="18"/>
      <c r="B365" s="19"/>
      <c r="C365" s="15"/>
      <c r="D365" s="15"/>
      <c r="E365" s="15"/>
      <c r="F365" s="17"/>
      <c r="G365" s="19"/>
      <c r="H365" s="20">
        <f>IF($A365="","",YEAR($A365))</f>
        <v>0</v>
      </c>
      <c r="I365" s="20">
        <f>IF($A365="","",MONTH($A365))</f>
        <v>0</v>
      </c>
      <c r="J365" s="21">
        <f>IF(OR($A365="",$F365=""),"",IF($B365="Entrada",$F365,-$F365))</f>
        <v>0</v>
      </c>
      <c r="K365" s="20">
        <f>IF($A365="","",IF(OR($B365="",$C365="",$F365="",$G365=""),"Preencher tudo",IF(IFERROR(INDEX(CatTipo,MATCH($C365,CatNome,0)),"")&lt;&gt;$B365,"Categoria x Tipo?","OK")))</f>
        <v>0</v>
      </c>
    </row>
    <row r="366" spans="1:11">
      <c r="A366" s="18"/>
      <c r="B366" s="19"/>
      <c r="C366" s="15"/>
      <c r="D366" s="15"/>
      <c r="E366" s="15"/>
      <c r="F366" s="17"/>
      <c r="G366" s="19"/>
      <c r="H366" s="20">
        <f>IF($A366="","",YEAR($A366))</f>
        <v>0</v>
      </c>
      <c r="I366" s="20">
        <f>IF($A366="","",MONTH($A366))</f>
        <v>0</v>
      </c>
      <c r="J366" s="21">
        <f>IF(OR($A366="",$F366=""),"",IF($B366="Entrada",$F366,-$F366))</f>
        <v>0</v>
      </c>
      <c r="K366" s="20">
        <f>IF($A366="","",IF(OR($B366="",$C366="",$F366="",$G366=""),"Preencher tudo",IF(IFERROR(INDEX(CatTipo,MATCH($C366,CatNome,0)),"")&lt;&gt;$B366,"Categoria x Tipo?","OK")))</f>
        <v>0</v>
      </c>
    </row>
    <row r="367" spans="1:11">
      <c r="A367" s="18"/>
      <c r="B367" s="19"/>
      <c r="C367" s="15"/>
      <c r="D367" s="15"/>
      <c r="E367" s="15"/>
      <c r="F367" s="17"/>
      <c r="G367" s="19"/>
      <c r="H367" s="20">
        <f>IF($A367="","",YEAR($A367))</f>
        <v>0</v>
      </c>
      <c r="I367" s="20">
        <f>IF($A367="","",MONTH($A367))</f>
        <v>0</v>
      </c>
      <c r="J367" s="21">
        <f>IF(OR($A367="",$F367=""),"",IF($B367="Entrada",$F367,-$F367))</f>
        <v>0</v>
      </c>
      <c r="K367" s="20">
        <f>IF($A367="","",IF(OR($B367="",$C367="",$F367="",$G367=""),"Preencher tudo",IF(IFERROR(INDEX(CatTipo,MATCH($C367,CatNome,0)),"")&lt;&gt;$B367,"Categoria x Tipo?","OK")))</f>
        <v>0</v>
      </c>
    </row>
    <row r="368" spans="1:11">
      <c r="A368" s="18"/>
      <c r="B368" s="19"/>
      <c r="C368" s="15"/>
      <c r="D368" s="15"/>
      <c r="E368" s="15"/>
      <c r="F368" s="17"/>
      <c r="G368" s="19"/>
      <c r="H368" s="20">
        <f>IF($A368="","",YEAR($A368))</f>
        <v>0</v>
      </c>
      <c r="I368" s="20">
        <f>IF($A368="","",MONTH($A368))</f>
        <v>0</v>
      </c>
      <c r="J368" s="21">
        <f>IF(OR($A368="",$F368=""),"",IF($B368="Entrada",$F368,-$F368))</f>
        <v>0</v>
      </c>
      <c r="K368" s="20">
        <f>IF($A368="","",IF(OR($B368="",$C368="",$F368="",$G368=""),"Preencher tudo",IF(IFERROR(INDEX(CatTipo,MATCH($C368,CatNome,0)),"")&lt;&gt;$B368,"Categoria x Tipo?","OK")))</f>
        <v>0</v>
      </c>
    </row>
    <row r="369" spans="1:11">
      <c r="A369" s="18"/>
      <c r="B369" s="19"/>
      <c r="C369" s="15"/>
      <c r="D369" s="15"/>
      <c r="E369" s="15"/>
      <c r="F369" s="17"/>
      <c r="G369" s="19"/>
      <c r="H369" s="20">
        <f>IF($A369="","",YEAR($A369))</f>
        <v>0</v>
      </c>
      <c r="I369" s="20">
        <f>IF($A369="","",MONTH($A369))</f>
        <v>0</v>
      </c>
      <c r="J369" s="21">
        <f>IF(OR($A369="",$F369=""),"",IF($B369="Entrada",$F369,-$F369))</f>
        <v>0</v>
      </c>
      <c r="K369" s="20">
        <f>IF($A369="","",IF(OR($B369="",$C369="",$F369="",$G369=""),"Preencher tudo",IF(IFERROR(INDEX(CatTipo,MATCH($C369,CatNome,0)),"")&lt;&gt;$B369,"Categoria x Tipo?","OK")))</f>
        <v>0</v>
      </c>
    </row>
    <row r="370" spans="1:11">
      <c r="A370" s="18"/>
      <c r="B370" s="19"/>
      <c r="C370" s="15"/>
      <c r="D370" s="15"/>
      <c r="E370" s="15"/>
      <c r="F370" s="17"/>
      <c r="G370" s="19"/>
      <c r="H370" s="20">
        <f>IF($A370="","",YEAR($A370))</f>
        <v>0</v>
      </c>
      <c r="I370" s="20">
        <f>IF($A370="","",MONTH($A370))</f>
        <v>0</v>
      </c>
      <c r="J370" s="21">
        <f>IF(OR($A370="",$F370=""),"",IF($B370="Entrada",$F370,-$F370))</f>
        <v>0</v>
      </c>
      <c r="K370" s="20">
        <f>IF($A370="","",IF(OR($B370="",$C370="",$F370="",$G370=""),"Preencher tudo",IF(IFERROR(INDEX(CatTipo,MATCH($C370,CatNome,0)),"")&lt;&gt;$B370,"Categoria x Tipo?","OK")))</f>
        <v>0</v>
      </c>
    </row>
    <row r="371" spans="1:11">
      <c r="A371" s="18"/>
      <c r="B371" s="19"/>
      <c r="C371" s="15"/>
      <c r="D371" s="15"/>
      <c r="E371" s="15"/>
      <c r="F371" s="17"/>
      <c r="G371" s="19"/>
      <c r="H371" s="20">
        <f>IF($A371="","",YEAR($A371))</f>
        <v>0</v>
      </c>
      <c r="I371" s="20">
        <f>IF($A371="","",MONTH($A371))</f>
        <v>0</v>
      </c>
      <c r="J371" s="21">
        <f>IF(OR($A371="",$F371=""),"",IF($B371="Entrada",$F371,-$F371))</f>
        <v>0</v>
      </c>
      <c r="K371" s="20">
        <f>IF($A371="","",IF(OR($B371="",$C371="",$F371="",$G371=""),"Preencher tudo",IF(IFERROR(INDEX(CatTipo,MATCH($C371,CatNome,0)),"")&lt;&gt;$B371,"Categoria x Tipo?","OK")))</f>
        <v>0</v>
      </c>
    </row>
    <row r="372" spans="1:11">
      <c r="A372" s="18"/>
      <c r="B372" s="19"/>
      <c r="C372" s="15"/>
      <c r="D372" s="15"/>
      <c r="E372" s="15"/>
      <c r="F372" s="17"/>
      <c r="G372" s="19"/>
      <c r="H372" s="20">
        <f>IF($A372="","",YEAR($A372))</f>
        <v>0</v>
      </c>
      <c r="I372" s="20">
        <f>IF($A372="","",MONTH($A372))</f>
        <v>0</v>
      </c>
      <c r="J372" s="21">
        <f>IF(OR($A372="",$F372=""),"",IF($B372="Entrada",$F372,-$F372))</f>
        <v>0</v>
      </c>
      <c r="K372" s="20">
        <f>IF($A372="","",IF(OR($B372="",$C372="",$F372="",$G372=""),"Preencher tudo",IF(IFERROR(INDEX(CatTipo,MATCH($C372,CatNome,0)),"")&lt;&gt;$B372,"Categoria x Tipo?","OK")))</f>
        <v>0</v>
      </c>
    </row>
    <row r="373" spans="1:11">
      <c r="A373" s="18"/>
      <c r="B373" s="19"/>
      <c r="C373" s="15"/>
      <c r="D373" s="15"/>
      <c r="E373" s="15"/>
      <c r="F373" s="17"/>
      <c r="G373" s="19"/>
      <c r="H373" s="20">
        <f>IF($A373="","",YEAR($A373))</f>
        <v>0</v>
      </c>
      <c r="I373" s="20">
        <f>IF($A373="","",MONTH($A373))</f>
        <v>0</v>
      </c>
      <c r="J373" s="21">
        <f>IF(OR($A373="",$F373=""),"",IF($B373="Entrada",$F373,-$F373))</f>
        <v>0</v>
      </c>
      <c r="K373" s="20">
        <f>IF($A373="","",IF(OR($B373="",$C373="",$F373="",$G373=""),"Preencher tudo",IF(IFERROR(INDEX(CatTipo,MATCH($C373,CatNome,0)),"")&lt;&gt;$B373,"Categoria x Tipo?","OK")))</f>
        <v>0</v>
      </c>
    </row>
    <row r="374" spans="1:11">
      <c r="A374" s="18"/>
      <c r="B374" s="19"/>
      <c r="C374" s="15"/>
      <c r="D374" s="15"/>
      <c r="E374" s="15"/>
      <c r="F374" s="17"/>
      <c r="G374" s="19"/>
      <c r="H374" s="20">
        <f>IF($A374="","",YEAR($A374))</f>
        <v>0</v>
      </c>
      <c r="I374" s="20">
        <f>IF($A374="","",MONTH($A374))</f>
        <v>0</v>
      </c>
      <c r="J374" s="21">
        <f>IF(OR($A374="",$F374=""),"",IF($B374="Entrada",$F374,-$F374))</f>
        <v>0</v>
      </c>
      <c r="K374" s="20">
        <f>IF($A374="","",IF(OR($B374="",$C374="",$F374="",$G374=""),"Preencher tudo",IF(IFERROR(INDEX(CatTipo,MATCH($C374,CatNome,0)),"")&lt;&gt;$B374,"Categoria x Tipo?","OK")))</f>
        <v>0</v>
      </c>
    </row>
    <row r="375" spans="1:11">
      <c r="A375" s="18"/>
      <c r="B375" s="19"/>
      <c r="C375" s="15"/>
      <c r="D375" s="15"/>
      <c r="E375" s="15"/>
      <c r="F375" s="17"/>
      <c r="G375" s="19"/>
      <c r="H375" s="20">
        <f>IF($A375="","",YEAR($A375))</f>
        <v>0</v>
      </c>
      <c r="I375" s="20">
        <f>IF($A375="","",MONTH($A375))</f>
        <v>0</v>
      </c>
      <c r="J375" s="21">
        <f>IF(OR($A375="",$F375=""),"",IF($B375="Entrada",$F375,-$F375))</f>
        <v>0</v>
      </c>
      <c r="K375" s="20">
        <f>IF($A375="","",IF(OR($B375="",$C375="",$F375="",$G375=""),"Preencher tudo",IF(IFERROR(INDEX(CatTipo,MATCH($C375,CatNome,0)),"")&lt;&gt;$B375,"Categoria x Tipo?","OK")))</f>
        <v>0</v>
      </c>
    </row>
    <row r="376" spans="1:11">
      <c r="A376" s="18"/>
      <c r="B376" s="19"/>
      <c r="C376" s="15"/>
      <c r="D376" s="15"/>
      <c r="E376" s="15"/>
      <c r="F376" s="17"/>
      <c r="G376" s="19"/>
      <c r="H376" s="20">
        <f>IF($A376="","",YEAR($A376))</f>
        <v>0</v>
      </c>
      <c r="I376" s="20">
        <f>IF($A376="","",MONTH($A376))</f>
        <v>0</v>
      </c>
      <c r="J376" s="21">
        <f>IF(OR($A376="",$F376=""),"",IF($B376="Entrada",$F376,-$F376))</f>
        <v>0</v>
      </c>
      <c r="K376" s="20">
        <f>IF($A376="","",IF(OR($B376="",$C376="",$F376="",$G376=""),"Preencher tudo",IF(IFERROR(INDEX(CatTipo,MATCH($C376,CatNome,0)),"")&lt;&gt;$B376,"Categoria x Tipo?","OK")))</f>
        <v>0</v>
      </c>
    </row>
    <row r="377" spans="1:11">
      <c r="A377" s="18"/>
      <c r="B377" s="19"/>
      <c r="C377" s="15"/>
      <c r="D377" s="15"/>
      <c r="E377" s="15"/>
      <c r="F377" s="17"/>
      <c r="G377" s="19"/>
      <c r="H377" s="20">
        <f>IF($A377="","",YEAR($A377))</f>
        <v>0</v>
      </c>
      <c r="I377" s="20">
        <f>IF($A377="","",MONTH($A377))</f>
        <v>0</v>
      </c>
      <c r="J377" s="21">
        <f>IF(OR($A377="",$F377=""),"",IF($B377="Entrada",$F377,-$F377))</f>
        <v>0</v>
      </c>
      <c r="K377" s="20">
        <f>IF($A377="","",IF(OR($B377="",$C377="",$F377="",$G377=""),"Preencher tudo",IF(IFERROR(INDEX(CatTipo,MATCH($C377,CatNome,0)),"")&lt;&gt;$B377,"Categoria x Tipo?","OK")))</f>
        <v>0</v>
      </c>
    </row>
    <row r="378" spans="1:11">
      <c r="A378" s="18"/>
      <c r="B378" s="19"/>
      <c r="C378" s="15"/>
      <c r="D378" s="15"/>
      <c r="E378" s="15"/>
      <c r="F378" s="17"/>
      <c r="G378" s="19"/>
      <c r="H378" s="20">
        <f>IF($A378="","",YEAR($A378))</f>
        <v>0</v>
      </c>
      <c r="I378" s="20">
        <f>IF($A378="","",MONTH($A378))</f>
        <v>0</v>
      </c>
      <c r="J378" s="21">
        <f>IF(OR($A378="",$F378=""),"",IF($B378="Entrada",$F378,-$F378))</f>
        <v>0</v>
      </c>
      <c r="K378" s="20">
        <f>IF($A378="","",IF(OR($B378="",$C378="",$F378="",$G378=""),"Preencher tudo",IF(IFERROR(INDEX(CatTipo,MATCH($C378,CatNome,0)),"")&lt;&gt;$B378,"Categoria x Tipo?","OK")))</f>
        <v>0</v>
      </c>
    </row>
    <row r="379" spans="1:11">
      <c r="A379" s="18"/>
      <c r="B379" s="19"/>
      <c r="C379" s="15"/>
      <c r="D379" s="15"/>
      <c r="E379" s="15"/>
      <c r="F379" s="17"/>
      <c r="G379" s="19"/>
      <c r="H379" s="20">
        <f>IF($A379="","",YEAR($A379))</f>
        <v>0</v>
      </c>
      <c r="I379" s="20">
        <f>IF($A379="","",MONTH($A379))</f>
        <v>0</v>
      </c>
      <c r="J379" s="21">
        <f>IF(OR($A379="",$F379=""),"",IF($B379="Entrada",$F379,-$F379))</f>
        <v>0</v>
      </c>
      <c r="K379" s="20">
        <f>IF($A379="","",IF(OR($B379="",$C379="",$F379="",$G379=""),"Preencher tudo",IF(IFERROR(INDEX(CatTipo,MATCH($C379,CatNome,0)),"")&lt;&gt;$B379,"Categoria x Tipo?","OK")))</f>
        <v>0</v>
      </c>
    </row>
    <row r="380" spans="1:11">
      <c r="A380" s="18"/>
      <c r="B380" s="19"/>
      <c r="C380" s="15"/>
      <c r="D380" s="15"/>
      <c r="E380" s="15"/>
      <c r="F380" s="17"/>
      <c r="G380" s="19"/>
      <c r="H380" s="20">
        <f>IF($A380="","",YEAR($A380))</f>
        <v>0</v>
      </c>
      <c r="I380" s="20">
        <f>IF($A380="","",MONTH($A380))</f>
        <v>0</v>
      </c>
      <c r="J380" s="21">
        <f>IF(OR($A380="",$F380=""),"",IF($B380="Entrada",$F380,-$F380))</f>
        <v>0</v>
      </c>
      <c r="K380" s="20">
        <f>IF($A380="","",IF(OR($B380="",$C380="",$F380="",$G380=""),"Preencher tudo",IF(IFERROR(INDEX(CatTipo,MATCH($C380,CatNome,0)),"")&lt;&gt;$B380,"Categoria x Tipo?","OK")))</f>
        <v>0</v>
      </c>
    </row>
    <row r="381" spans="1:11">
      <c r="A381" s="18"/>
      <c r="B381" s="19"/>
      <c r="C381" s="15"/>
      <c r="D381" s="15"/>
      <c r="E381" s="15"/>
      <c r="F381" s="17"/>
      <c r="G381" s="19"/>
      <c r="H381" s="20">
        <f>IF($A381="","",YEAR($A381))</f>
        <v>0</v>
      </c>
      <c r="I381" s="20">
        <f>IF($A381="","",MONTH($A381))</f>
        <v>0</v>
      </c>
      <c r="J381" s="21">
        <f>IF(OR($A381="",$F381=""),"",IF($B381="Entrada",$F381,-$F381))</f>
        <v>0</v>
      </c>
      <c r="K381" s="20">
        <f>IF($A381="","",IF(OR($B381="",$C381="",$F381="",$G381=""),"Preencher tudo",IF(IFERROR(INDEX(CatTipo,MATCH($C381,CatNome,0)),"")&lt;&gt;$B381,"Categoria x Tipo?","OK")))</f>
        <v>0</v>
      </c>
    </row>
    <row r="382" spans="1:11">
      <c r="A382" s="18"/>
      <c r="B382" s="19"/>
      <c r="C382" s="15"/>
      <c r="D382" s="15"/>
      <c r="E382" s="15"/>
      <c r="F382" s="17"/>
      <c r="G382" s="19"/>
      <c r="H382" s="20">
        <f>IF($A382="","",YEAR($A382))</f>
        <v>0</v>
      </c>
      <c r="I382" s="20">
        <f>IF($A382="","",MONTH($A382))</f>
        <v>0</v>
      </c>
      <c r="J382" s="21">
        <f>IF(OR($A382="",$F382=""),"",IF($B382="Entrada",$F382,-$F382))</f>
        <v>0</v>
      </c>
      <c r="K382" s="20">
        <f>IF($A382="","",IF(OR($B382="",$C382="",$F382="",$G382=""),"Preencher tudo",IF(IFERROR(INDEX(CatTipo,MATCH($C382,CatNome,0)),"")&lt;&gt;$B382,"Categoria x Tipo?","OK")))</f>
        <v>0</v>
      </c>
    </row>
    <row r="383" spans="1:11">
      <c r="A383" s="18"/>
      <c r="B383" s="19"/>
      <c r="C383" s="15"/>
      <c r="D383" s="15"/>
      <c r="E383" s="15"/>
      <c r="F383" s="17"/>
      <c r="G383" s="19"/>
      <c r="H383" s="20">
        <f>IF($A383="","",YEAR($A383))</f>
        <v>0</v>
      </c>
      <c r="I383" s="20">
        <f>IF($A383="","",MONTH($A383))</f>
        <v>0</v>
      </c>
      <c r="J383" s="21">
        <f>IF(OR($A383="",$F383=""),"",IF($B383="Entrada",$F383,-$F383))</f>
        <v>0</v>
      </c>
      <c r="K383" s="20">
        <f>IF($A383="","",IF(OR($B383="",$C383="",$F383="",$G383=""),"Preencher tudo",IF(IFERROR(INDEX(CatTipo,MATCH($C383,CatNome,0)),"")&lt;&gt;$B383,"Categoria x Tipo?","OK")))</f>
        <v>0</v>
      </c>
    </row>
    <row r="384" spans="1:11">
      <c r="A384" s="18"/>
      <c r="B384" s="19"/>
      <c r="C384" s="15"/>
      <c r="D384" s="15"/>
      <c r="E384" s="15"/>
      <c r="F384" s="17"/>
      <c r="G384" s="19"/>
      <c r="H384" s="20">
        <f>IF($A384="","",YEAR($A384))</f>
        <v>0</v>
      </c>
      <c r="I384" s="20">
        <f>IF($A384="","",MONTH($A384))</f>
        <v>0</v>
      </c>
      <c r="J384" s="21">
        <f>IF(OR($A384="",$F384=""),"",IF($B384="Entrada",$F384,-$F384))</f>
        <v>0</v>
      </c>
      <c r="K384" s="20">
        <f>IF($A384="","",IF(OR($B384="",$C384="",$F384="",$G384=""),"Preencher tudo",IF(IFERROR(INDEX(CatTipo,MATCH($C384,CatNome,0)),"")&lt;&gt;$B384,"Categoria x Tipo?","OK")))</f>
        <v>0</v>
      </c>
    </row>
    <row r="385" spans="1:11">
      <c r="A385" s="18"/>
      <c r="B385" s="19"/>
      <c r="C385" s="15"/>
      <c r="D385" s="15"/>
      <c r="E385" s="15"/>
      <c r="F385" s="17"/>
      <c r="G385" s="19"/>
      <c r="H385" s="20">
        <f>IF($A385="","",YEAR($A385))</f>
        <v>0</v>
      </c>
      <c r="I385" s="20">
        <f>IF($A385="","",MONTH($A385))</f>
        <v>0</v>
      </c>
      <c r="J385" s="21">
        <f>IF(OR($A385="",$F385=""),"",IF($B385="Entrada",$F385,-$F385))</f>
        <v>0</v>
      </c>
      <c r="K385" s="20">
        <f>IF($A385="","",IF(OR($B385="",$C385="",$F385="",$G385=""),"Preencher tudo",IF(IFERROR(INDEX(CatTipo,MATCH($C385,CatNome,0)),"")&lt;&gt;$B385,"Categoria x Tipo?","OK")))</f>
        <v>0</v>
      </c>
    </row>
    <row r="386" spans="1:11">
      <c r="A386" s="18"/>
      <c r="B386" s="19"/>
      <c r="C386" s="15"/>
      <c r="D386" s="15"/>
      <c r="E386" s="15"/>
      <c r="F386" s="17"/>
      <c r="G386" s="19"/>
      <c r="H386" s="20">
        <f>IF($A386="","",YEAR($A386))</f>
        <v>0</v>
      </c>
      <c r="I386" s="20">
        <f>IF($A386="","",MONTH($A386))</f>
        <v>0</v>
      </c>
      <c r="J386" s="21">
        <f>IF(OR($A386="",$F386=""),"",IF($B386="Entrada",$F386,-$F386))</f>
        <v>0</v>
      </c>
      <c r="K386" s="20">
        <f>IF($A386="","",IF(OR($B386="",$C386="",$F386="",$G386=""),"Preencher tudo",IF(IFERROR(INDEX(CatTipo,MATCH($C386,CatNome,0)),"")&lt;&gt;$B386,"Categoria x Tipo?","OK")))</f>
        <v>0</v>
      </c>
    </row>
    <row r="387" spans="1:11">
      <c r="A387" s="18"/>
      <c r="B387" s="19"/>
      <c r="C387" s="15"/>
      <c r="D387" s="15"/>
      <c r="E387" s="15"/>
      <c r="F387" s="17"/>
      <c r="G387" s="19"/>
      <c r="H387" s="20">
        <f>IF($A387="","",YEAR($A387))</f>
        <v>0</v>
      </c>
      <c r="I387" s="20">
        <f>IF($A387="","",MONTH($A387))</f>
        <v>0</v>
      </c>
      <c r="J387" s="21">
        <f>IF(OR($A387="",$F387=""),"",IF($B387="Entrada",$F387,-$F387))</f>
        <v>0</v>
      </c>
      <c r="K387" s="20">
        <f>IF($A387="","",IF(OR($B387="",$C387="",$F387="",$G387=""),"Preencher tudo",IF(IFERROR(INDEX(CatTipo,MATCH($C387,CatNome,0)),"")&lt;&gt;$B387,"Categoria x Tipo?","OK")))</f>
        <v>0</v>
      </c>
    </row>
    <row r="388" spans="1:11">
      <c r="A388" s="18"/>
      <c r="B388" s="19"/>
      <c r="C388" s="15"/>
      <c r="D388" s="15"/>
      <c r="E388" s="15"/>
      <c r="F388" s="17"/>
      <c r="G388" s="19"/>
      <c r="H388" s="20">
        <f>IF($A388="","",YEAR($A388))</f>
        <v>0</v>
      </c>
      <c r="I388" s="20">
        <f>IF($A388="","",MONTH($A388))</f>
        <v>0</v>
      </c>
      <c r="J388" s="21">
        <f>IF(OR($A388="",$F388=""),"",IF($B388="Entrada",$F388,-$F388))</f>
        <v>0</v>
      </c>
      <c r="K388" s="20">
        <f>IF($A388="","",IF(OR($B388="",$C388="",$F388="",$G388=""),"Preencher tudo",IF(IFERROR(INDEX(CatTipo,MATCH($C388,CatNome,0)),"")&lt;&gt;$B388,"Categoria x Tipo?","OK")))</f>
        <v>0</v>
      </c>
    </row>
    <row r="389" spans="1:11">
      <c r="A389" s="18"/>
      <c r="B389" s="19"/>
      <c r="C389" s="15"/>
      <c r="D389" s="15"/>
      <c r="E389" s="15"/>
      <c r="F389" s="17"/>
      <c r="G389" s="19"/>
      <c r="H389" s="20">
        <f>IF($A389="","",YEAR($A389))</f>
        <v>0</v>
      </c>
      <c r="I389" s="20">
        <f>IF($A389="","",MONTH($A389))</f>
        <v>0</v>
      </c>
      <c r="J389" s="21">
        <f>IF(OR($A389="",$F389=""),"",IF($B389="Entrada",$F389,-$F389))</f>
        <v>0</v>
      </c>
      <c r="K389" s="20">
        <f>IF($A389="","",IF(OR($B389="",$C389="",$F389="",$G389=""),"Preencher tudo",IF(IFERROR(INDEX(CatTipo,MATCH($C389,CatNome,0)),"")&lt;&gt;$B389,"Categoria x Tipo?","OK")))</f>
        <v>0</v>
      </c>
    </row>
    <row r="390" spans="1:11">
      <c r="A390" s="18"/>
      <c r="B390" s="19"/>
      <c r="C390" s="15"/>
      <c r="D390" s="15"/>
      <c r="E390" s="15"/>
      <c r="F390" s="17"/>
      <c r="G390" s="19"/>
      <c r="H390" s="20">
        <f>IF($A390="","",YEAR($A390))</f>
        <v>0</v>
      </c>
      <c r="I390" s="20">
        <f>IF($A390="","",MONTH($A390))</f>
        <v>0</v>
      </c>
      <c r="J390" s="21">
        <f>IF(OR($A390="",$F390=""),"",IF($B390="Entrada",$F390,-$F390))</f>
        <v>0</v>
      </c>
      <c r="K390" s="20">
        <f>IF($A390="","",IF(OR($B390="",$C390="",$F390="",$G390=""),"Preencher tudo",IF(IFERROR(INDEX(CatTipo,MATCH($C390,CatNome,0)),"")&lt;&gt;$B390,"Categoria x Tipo?","OK")))</f>
        <v>0</v>
      </c>
    </row>
    <row r="391" spans="1:11">
      <c r="A391" s="18"/>
      <c r="B391" s="19"/>
      <c r="C391" s="15"/>
      <c r="D391" s="15"/>
      <c r="E391" s="15"/>
      <c r="F391" s="17"/>
      <c r="G391" s="19"/>
      <c r="H391" s="20">
        <f>IF($A391="","",YEAR($A391))</f>
        <v>0</v>
      </c>
      <c r="I391" s="20">
        <f>IF($A391="","",MONTH($A391))</f>
        <v>0</v>
      </c>
      <c r="J391" s="21">
        <f>IF(OR($A391="",$F391=""),"",IF($B391="Entrada",$F391,-$F391))</f>
        <v>0</v>
      </c>
      <c r="K391" s="20">
        <f>IF($A391="","",IF(OR($B391="",$C391="",$F391="",$G391=""),"Preencher tudo",IF(IFERROR(INDEX(CatTipo,MATCH($C391,CatNome,0)),"")&lt;&gt;$B391,"Categoria x Tipo?","OK")))</f>
        <v>0</v>
      </c>
    </row>
    <row r="392" spans="1:11">
      <c r="A392" s="18"/>
      <c r="B392" s="19"/>
      <c r="C392" s="15"/>
      <c r="D392" s="15"/>
      <c r="E392" s="15"/>
      <c r="F392" s="17"/>
      <c r="G392" s="19"/>
      <c r="H392" s="20">
        <f>IF($A392="","",YEAR($A392))</f>
        <v>0</v>
      </c>
      <c r="I392" s="20">
        <f>IF($A392="","",MONTH($A392))</f>
        <v>0</v>
      </c>
      <c r="J392" s="21">
        <f>IF(OR($A392="",$F392=""),"",IF($B392="Entrada",$F392,-$F392))</f>
        <v>0</v>
      </c>
      <c r="K392" s="20">
        <f>IF($A392="","",IF(OR($B392="",$C392="",$F392="",$G392=""),"Preencher tudo",IF(IFERROR(INDEX(CatTipo,MATCH($C392,CatNome,0)),"")&lt;&gt;$B392,"Categoria x Tipo?","OK")))</f>
        <v>0</v>
      </c>
    </row>
    <row r="393" spans="1:11">
      <c r="A393" s="18"/>
      <c r="B393" s="19"/>
      <c r="C393" s="15"/>
      <c r="D393" s="15"/>
      <c r="E393" s="15"/>
      <c r="F393" s="17"/>
      <c r="G393" s="19"/>
      <c r="H393" s="20">
        <f>IF($A393="","",YEAR($A393))</f>
        <v>0</v>
      </c>
      <c r="I393" s="20">
        <f>IF($A393="","",MONTH($A393))</f>
        <v>0</v>
      </c>
      <c r="J393" s="21">
        <f>IF(OR($A393="",$F393=""),"",IF($B393="Entrada",$F393,-$F393))</f>
        <v>0</v>
      </c>
      <c r="K393" s="20">
        <f>IF($A393="","",IF(OR($B393="",$C393="",$F393="",$G393=""),"Preencher tudo",IF(IFERROR(INDEX(CatTipo,MATCH($C393,CatNome,0)),"")&lt;&gt;$B393,"Categoria x Tipo?","OK")))</f>
        <v>0</v>
      </c>
    </row>
    <row r="394" spans="1:11">
      <c r="A394" s="18"/>
      <c r="B394" s="19"/>
      <c r="C394" s="15"/>
      <c r="D394" s="15"/>
      <c r="E394" s="15"/>
      <c r="F394" s="17"/>
      <c r="G394" s="19"/>
      <c r="H394" s="20">
        <f>IF($A394="","",YEAR($A394))</f>
        <v>0</v>
      </c>
      <c r="I394" s="20">
        <f>IF($A394="","",MONTH($A394))</f>
        <v>0</v>
      </c>
      <c r="J394" s="21">
        <f>IF(OR($A394="",$F394=""),"",IF($B394="Entrada",$F394,-$F394))</f>
        <v>0</v>
      </c>
      <c r="K394" s="20">
        <f>IF($A394="","",IF(OR($B394="",$C394="",$F394="",$G394=""),"Preencher tudo",IF(IFERROR(INDEX(CatTipo,MATCH($C394,CatNome,0)),"")&lt;&gt;$B394,"Categoria x Tipo?","OK")))</f>
        <v>0</v>
      </c>
    </row>
    <row r="395" spans="1:11">
      <c r="A395" s="18"/>
      <c r="B395" s="19"/>
      <c r="C395" s="15"/>
      <c r="D395" s="15"/>
      <c r="E395" s="15"/>
      <c r="F395" s="17"/>
      <c r="G395" s="19"/>
      <c r="H395" s="20">
        <f>IF($A395="","",YEAR($A395))</f>
        <v>0</v>
      </c>
      <c r="I395" s="20">
        <f>IF($A395="","",MONTH($A395))</f>
        <v>0</v>
      </c>
      <c r="J395" s="21">
        <f>IF(OR($A395="",$F395=""),"",IF($B395="Entrada",$F395,-$F395))</f>
        <v>0</v>
      </c>
      <c r="K395" s="20">
        <f>IF($A395="","",IF(OR($B395="",$C395="",$F395="",$G395=""),"Preencher tudo",IF(IFERROR(INDEX(CatTipo,MATCH($C395,CatNome,0)),"")&lt;&gt;$B395,"Categoria x Tipo?","OK")))</f>
        <v>0</v>
      </c>
    </row>
    <row r="396" spans="1:11">
      <c r="A396" s="18"/>
      <c r="B396" s="19"/>
      <c r="C396" s="15"/>
      <c r="D396" s="15"/>
      <c r="E396" s="15"/>
      <c r="F396" s="17"/>
      <c r="G396" s="19"/>
      <c r="H396" s="20">
        <f>IF($A396="","",YEAR($A396))</f>
        <v>0</v>
      </c>
      <c r="I396" s="20">
        <f>IF($A396="","",MONTH($A396))</f>
        <v>0</v>
      </c>
      <c r="J396" s="21">
        <f>IF(OR($A396="",$F396=""),"",IF($B396="Entrada",$F396,-$F396))</f>
        <v>0</v>
      </c>
      <c r="K396" s="20">
        <f>IF($A396="","",IF(OR($B396="",$C396="",$F396="",$G396=""),"Preencher tudo",IF(IFERROR(INDEX(CatTipo,MATCH($C396,CatNome,0)),"")&lt;&gt;$B396,"Categoria x Tipo?","OK")))</f>
        <v>0</v>
      </c>
    </row>
    <row r="397" spans="1:11">
      <c r="A397" s="18"/>
      <c r="B397" s="19"/>
      <c r="C397" s="15"/>
      <c r="D397" s="15"/>
      <c r="E397" s="15"/>
      <c r="F397" s="17"/>
      <c r="G397" s="19"/>
      <c r="H397" s="20">
        <f>IF($A397="","",YEAR($A397))</f>
        <v>0</v>
      </c>
      <c r="I397" s="20">
        <f>IF($A397="","",MONTH($A397))</f>
        <v>0</v>
      </c>
      <c r="J397" s="21">
        <f>IF(OR($A397="",$F397=""),"",IF($B397="Entrada",$F397,-$F397))</f>
        <v>0</v>
      </c>
      <c r="K397" s="20">
        <f>IF($A397="","",IF(OR($B397="",$C397="",$F397="",$G397=""),"Preencher tudo",IF(IFERROR(INDEX(CatTipo,MATCH($C397,CatNome,0)),"")&lt;&gt;$B397,"Categoria x Tipo?","OK")))</f>
        <v>0</v>
      </c>
    </row>
    <row r="398" spans="1:11">
      <c r="A398" s="18"/>
      <c r="B398" s="19"/>
      <c r="C398" s="15"/>
      <c r="D398" s="15"/>
      <c r="E398" s="15"/>
      <c r="F398" s="17"/>
      <c r="G398" s="19"/>
      <c r="H398" s="20">
        <f>IF($A398="","",YEAR($A398))</f>
        <v>0</v>
      </c>
      <c r="I398" s="20">
        <f>IF($A398="","",MONTH($A398))</f>
        <v>0</v>
      </c>
      <c r="J398" s="21">
        <f>IF(OR($A398="",$F398=""),"",IF($B398="Entrada",$F398,-$F398))</f>
        <v>0</v>
      </c>
      <c r="K398" s="20">
        <f>IF($A398="","",IF(OR($B398="",$C398="",$F398="",$G398=""),"Preencher tudo",IF(IFERROR(INDEX(CatTipo,MATCH($C398,CatNome,0)),"")&lt;&gt;$B398,"Categoria x Tipo?","OK")))</f>
        <v>0</v>
      </c>
    </row>
    <row r="399" spans="1:11">
      <c r="A399" s="18"/>
      <c r="B399" s="19"/>
      <c r="C399" s="15"/>
      <c r="D399" s="15"/>
      <c r="E399" s="15"/>
      <c r="F399" s="17"/>
      <c r="G399" s="19"/>
      <c r="H399" s="20">
        <f>IF($A399="","",YEAR($A399))</f>
        <v>0</v>
      </c>
      <c r="I399" s="20">
        <f>IF($A399="","",MONTH($A399))</f>
        <v>0</v>
      </c>
      <c r="J399" s="21">
        <f>IF(OR($A399="",$F399=""),"",IF($B399="Entrada",$F399,-$F399))</f>
        <v>0</v>
      </c>
      <c r="K399" s="20">
        <f>IF($A399="","",IF(OR($B399="",$C399="",$F399="",$G399=""),"Preencher tudo",IF(IFERROR(INDEX(CatTipo,MATCH($C399,CatNome,0)),"")&lt;&gt;$B399,"Categoria x Tipo?","OK")))</f>
        <v>0</v>
      </c>
    </row>
    <row r="400" spans="1:11">
      <c r="A400" s="18"/>
      <c r="B400" s="19"/>
      <c r="C400" s="15"/>
      <c r="D400" s="15"/>
      <c r="E400" s="15"/>
      <c r="F400" s="17"/>
      <c r="G400" s="19"/>
      <c r="H400" s="20">
        <f>IF($A400="","",YEAR($A400))</f>
        <v>0</v>
      </c>
      <c r="I400" s="20">
        <f>IF($A400="","",MONTH($A400))</f>
        <v>0</v>
      </c>
      <c r="J400" s="21">
        <f>IF(OR($A400="",$F400=""),"",IF($B400="Entrada",$F400,-$F400))</f>
        <v>0</v>
      </c>
      <c r="K400" s="20">
        <f>IF($A400="","",IF(OR($B400="",$C400="",$F400="",$G400=""),"Preencher tudo",IF(IFERROR(INDEX(CatTipo,MATCH($C400,CatNome,0)),"")&lt;&gt;$B400,"Categoria x Tipo?","OK")))</f>
        <v>0</v>
      </c>
    </row>
    <row r="401" spans="1:11">
      <c r="A401" s="18"/>
      <c r="B401" s="19"/>
      <c r="C401" s="15"/>
      <c r="D401" s="15"/>
      <c r="E401" s="15"/>
      <c r="F401" s="17"/>
      <c r="G401" s="19"/>
      <c r="H401" s="20">
        <f>IF($A401="","",YEAR($A401))</f>
        <v>0</v>
      </c>
      <c r="I401" s="20">
        <f>IF($A401="","",MONTH($A401))</f>
        <v>0</v>
      </c>
      <c r="J401" s="21">
        <f>IF(OR($A401="",$F401=""),"",IF($B401="Entrada",$F401,-$F401))</f>
        <v>0</v>
      </c>
      <c r="K401" s="20">
        <f>IF($A401="","",IF(OR($B401="",$C401="",$F401="",$G401=""),"Preencher tudo",IF(IFERROR(INDEX(CatTipo,MATCH($C401,CatNome,0)),"")&lt;&gt;$B401,"Categoria x Tipo?","OK")))</f>
        <v>0</v>
      </c>
    </row>
    <row r="402" spans="1:11">
      <c r="A402" s="18"/>
      <c r="B402" s="19"/>
      <c r="C402" s="15"/>
      <c r="D402" s="15"/>
      <c r="E402" s="15"/>
      <c r="F402" s="17"/>
      <c r="G402" s="19"/>
      <c r="H402" s="20">
        <f>IF($A402="","",YEAR($A402))</f>
        <v>0</v>
      </c>
      <c r="I402" s="20">
        <f>IF($A402="","",MONTH($A402))</f>
        <v>0</v>
      </c>
      <c r="J402" s="21">
        <f>IF(OR($A402="",$F402=""),"",IF($B402="Entrada",$F402,-$F402))</f>
        <v>0</v>
      </c>
      <c r="K402" s="20">
        <f>IF($A402="","",IF(OR($B402="",$C402="",$F402="",$G402=""),"Preencher tudo",IF(IFERROR(INDEX(CatTipo,MATCH($C402,CatNome,0)),"")&lt;&gt;$B402,"Categoria x Tipo?","OK")))</f>
        <v>0</v>
      </c>
    </row>
    <row r="403" spans="1:11">
      <c r="A403" s="18"/>
      <c r="B403" s="19"/>
      <c r="C403" s="15"/>
      <c r="D403" s="15"/>
      <c r="E403" s="15"/>
      <c r="F403" s="17"/>
      <c r="G403" s="19"/>
      <c r="H403" s="20">
        <f>IF($A403="","",YEAR($A403))</f>
        <v>0</v>
      </c>
      <c r="I403" s="20">
        <f>IF($A403="","",MONTH($A403))</f>
        <v>0</v>
      </c>
      <c r="J403" s="21">
        <f>IF(OR($A403="",$F403=""),"",IF($B403="Entrada",$F403,-$F403))</f>
        <v>0</v>
      </c>
      <c r="K403" s="20">
        <f>IF($A403="","",IF(OR($B403="",$C403="",$F403="",$G403=""),"Preencher tudo",IF(IFERROR(INDEX(CatTipo,MATCH($C403,CatNome,0)),"")&lt;&gt;$B403,"Categoria x Tipo?","OK")))</f>
        <v>0</v>
      </c>
    </row>
    <row r="404" spans="1:11">
      <c r="A404" s="18"/>
      <c r="B404" s="19"/>
      <c r="C404" s="15"/>
      <c r="D404" s="15"/>
      <c r="E404" s="15"/>
      <c r="F404" s="17"/>
      <c r="G404" s="19"/>
      <c r="H404" s="20">
        <f>IF($A404="","",YEAR($A404))</f>
        <v>0</v>
      </c>
      <c r="I404" s="20">
        <f>IF($A404="","",MONTH($A404))</f>
        <v>0</v>
      </c>
      <c r="J404" s="21">
        <f>IF(OR($A404="",$F404=""),"",IF($B404="Entrada",$F404,-$F404))</f>
        <v>0</v>
      </c>
      <c r="K404" s="20">
        <f>IF($A404="","",IF(OR($B404="",$C404="",$F404="",$G404=""),"Preencher tudo",IF(IFERROR(INDEX(CatTipo,MATCH($C404,CatNome,0)),"")&lt;&gt;$B404,"Categoria x Tipo?","OK")))</f>
        <v>0</v>
      </c>
    </row>
    <row r="405" spans="1:11">
      <c r="A405" s="18"/>
      <c r="B405" s="19"/>
      <c r="C405" s="15"/>
      <c r="D405" s="15"/>
      <c r="E405" s="15"/>
      <c r="F405" s="17"/>
      <c r="G405" s="19"/>
      <c r="H405" s="20">
        <f>IF($A405="","",YEAR($A405))</f>
        <v>0</v>
      </c>
      <c r="I405" s="20">
        <f>IF($A405="","",MONTH($A405))</f>
        <v>0</v>
      </c>
      <c r="J405" s="21">
        <f>IF(OR($A405="",$F405=""),"",IF($B405="Entrada",$F405,-$F405))</f>
        <v>0</v>
      </c>
      <c r="K405" s="20">
        <f>IF($A405="","",IF(OR($B405="",$C405="",$F405="",$G405=""),"Preencher tudo",IF(IFERROR(INDEX(CatTipo,MATCH($C405,CatNome,0)),"")&lt;&gt;$B405,"Categoria x Tipo?","OK")))</f>
        <v>0</v>
      </c>
    </row>
    <row r="406" spans="1:11">
      <c r="A406" s="18"/>
      <c r="B406" s="19"/>
      <c r="C406" s="15"/>
      <c r="D406" s="15"/>
      <c r="E406" s="15"/>
      <c r="F406" s="17"/>
      <c r="G406" s="19"/>
      <c r="H406" s="20">
        <f>IF($A406="","",YEAR($A406))</f>
        <v>0</v>
      </c>
      <c r="I406" s="20">
        <f>IF($A406="","",MONTH($A406))</f>
        <v>0</v>
      </c>
      <c r="J406" s="21">
        <f>IF(OR($A406="",$F406=""),"",IF($B406="Entrada",$F406,-$F406))</f>
        <v>0</v>
      </c>
      <c r="K406" s="20">
        <f>IF($A406="","",IF(OR($B406="",$C406="",$F406="",$G406=""),"Preencher tudo",IF(IFERROR(INDEX(CatTipo,MATCH($C406,CatNome,0)),"")&lt;&gt;$B406,"Categoria x Tipo?","OK")))</f>
        <v>0</v>
      </c>
    </row>
    <row r="407" spans="1:11">
      <c r="A407" s="18"/>
      <c r="B407" s="19"/>
      <c r="C407" s="15"/>
      <c r="D407" s="15"/>
      <c r="E407" s="15"/>
      <c r="F407" s="17"/>
      <c r="G407" s="19"/>
      <c r="H407" s="20">
        <f>IF($A407="","",YEAR($A407))</f>
        <v>0</v>
      </c>
      <c r="I407" s="20">
        <f>IF($A407="","",MONTH($A407))</f>
        <v>0</v>
      </c>
      <c r="J407" s="21">
        <f>IF(OR($A407="",$F407=""),"",IF($B407="Entrada",$F407,-$F407))</f>
        <v>0</v>
      </c>
      <c r="K407" s="20">
        <f>IF($A407="","",IF(OR($B407="",$C407="",$F407="",$G407=""),"Preencher tudo",IF(IFERROR(INDEX(CatTipo,MATCH($C407,CatNome,0)),"")&lt;&gt;$B407,"Categoria x Tipo?","OK")))</f>
        <v>0</v>
      </c>
    </row>
    <row r="408" spans="1:11">
      <c r="A408" s="18"/>
      <c r="B408" s="19"/>
      <c r="C408" s="15"/>
      <c r="D408" s="15"/>
      <c r="E408" s="15"/>
      <c r="F408" s="17"/>
      <c r="G408" s="19"/>
      <c r="H408" s="20">
        <f>IF($A408="","",YEAR($A408))</f>
        <v>0</v>
      </c>
      <c r="I408" s="20">
        <f>IF($A408="","",MONTH($A408))</f>
        <v>0</v>
      </c>
      <c r="J408" s="21">
        <f>IF(OR($A408="",$F408=""),"",IF($B408="Entrada",$F408,-$F408))</f>
        <v>0</v>
      </c>
      <c r="K408" s="20">
        <f>IF($A408="","",IF(OR($B408="",$C408="",$F408="",$G408=""),"Preencher tudo",IF(IFERROR(INDEX(CatTipo,MATCH($C408,CatNome,0)),"")&lt;&gt;$B408,"Categoria x Tipo?","OK")))</f>
        <v>0</v>
      </c>
    </row>
    <row r="409" spans="1:11">
      <c r="A409" s="18"/>
      <c r="B409" s="19"/>
      <c r="C409" s="15"/>
      <c r="D409" s="15"/>
      <c r="E409" s="15"/>
      <c r="F409" s="17"/>
      <c r="G409" s="19"/>
      <c r="H409" s="20">
        <f>IF($A409="","",YEAR($A409))</f>
        <v>0</v>
      </c>
      <c r="I409" s="20">
        <f>IF($A409="","",MONTH($A409))</f>
        <v>0</v>
      </c>
      <c r="J409" s="21">
        <f>IF(OR($A409="",$F409=""),"",IF($B409="Entrada",$F409,-$F409))</f>
        <v>0</v>
      </c>
      <c r="K409" s="20">
        <f>IF($A409="","",IF(OR($B409="",$C409="",$F409="",$G409=""),"Preencher tudo",IF(IFERROR(INDEX(CatTipo,MATCH($C409,CatNome,0)),"")&lt;&gt;$B409,"Categoria x Tipo?","OK")))</f>
        <v>0</v>
      </c>
    </row>
    <row r="410" spans="1:11">
      <c r="A410" s="18"/>
      <c r="B410" s="19"/>
      <c r="C410" s="15"/>
      <c r="D410" s="15"/>
      <c r="E410" s="15"/>
      <c r="F410" s="17"/>
      <c r="G410" s="19"/>
      <c r="H410" s="20">
        <f>IF($A410="","",YEAR($A410))</f>
        <v>0</v>
      </c>
      <c r="I410" s="20">
        <f>IF($A410="","",MONTH($A410))</f>
        <v>0</v>
      </c>
      <c r="J410" s="21">
        <f>IF(OR($A410="",$F410=""),"",IF($B410="Entrada",$F410,-$F410))</f>
        <v>0</v>
      </c>
      <c r="K410" s="20">
        <f>IF($A410="","",IF(OR($B410="",$C410="",$F410="",$G410=""),"Preencher tudo",IF(IFERROR(INDEX(CatTipo,MATCH($C410,CatNome,0)),"")&lt;&gt;$B410,"Categoria x Tipo?","OK")))</f>
        <v>0</v>
      </c>
    </row>
    <row r="411" spans="1:11">
      <c r="A411" s="18"/>
      <c r="B411" s="19"/>
      <c r="C411" s="15"/>
      <c r="D411" s="15"/>
      <c r="E411" s="15"/>
      <c r="F411" s="17"/>
      <c r="G411" s="19"/>
      <c r="H411" s="20">
        <f>IF($A411="","",YEAR($A411))</f>
        <v>0</v>
      </c>
      <c r="I411" s="20">
        <f>IF($A411="","",MONTH($A411))</f>
        <v>0</v>
      </c>
      <c r="J411" s="21">
        <f>IF(OR($A411="",$F411=""),"",IF($B411="Entrada",$F411,-$F411))</f>
        <v>0</v>
      </c>
      <c r="K411" s="20">
        <f>IF($A411="","",IF(OR($B411="",$C411="",$F411="",$G411=""),"Preencher tudo",IF(IFERROR(INDEX(CatTipo,MATCH($C411,CatNome,0)),"")&lt;&gt;$B411,"Categoria x Tipo?","OK")))</f>
        <v>0</v>
      </c>
    </row>
    <row r="412" spans="1:11">
      <c r="A412" s="18"/>
      <c r="B412" s="19"/>
      <c r="C412" s="15"/>
      <c r="D412" s="15"/>
      <c r="E412" s="15"/>
      <c r="F412" s="17"/>
      <c r="G412" s="19"/>
      <c r="H412" s="20">
        <f>IF($A412="","",YEAR($A412))</f>
        <v>0</v>
      </c>
      <c r="I412" s="20">
        <f>IF($A412="","",MONTH($A412))</f>
        <v>0</v>
      </c>
      <c r="J412" s="21">
        <f>IF(OR($A412="",$F412=""),"",IF($B412="Entrada",$F412,-$F412))</f>
        <v>0</v>
      </c>
      <c r="K412" s="20">
        <f>IF($A412="","",IF(OR($B412="",$C412="",$F412="",$G412=""),"Preencher tudo",IF(IFERROR(INDEX(CatTipo,MATCH($C412,CatNome,0)),"")&lt;&gt;$B412,"Categoria x Tipo?","OK")))</f>
        <v>0</v>
      </c>
    </row>
    <row r="413" spans="1:11">
      <c r="A413" s="18"/>
      <c r="B413" s="19"/>
      <c r="C413" s="15"/>
      <c r="D413" s="15"/>
      <c r="E413" s="15"/>
      <c r="F413" s="17"/>
      <c r="G413" s="19"/>
      <c r="H413" s="20">
        <f>IF($A413="","",YEAR($A413))</f>
        <v>0</v>
      </c>
      <c r="I413" s="20">
        <f>IF($A413="","",MONTH($A413))</f>
        <v>0</v>
      </c>
      <c r="J413" s="21">
        <f>IF(OR($A413="",$F413=""),"",IF($B413="Entrada",$F413,-$F413))</f>
        <v>0</v>
      </c>
      <c r="K413" s="20">
        <f>IF($A413="","",IF(OR($B413="",$C413="",$F413="",$G413=""),"Preencher tudo",IF(IFERROR(INDEX(CatTipo,MATCH($C413,CatNome,0)),"")&lt;&gt;$B413,"Categoria x Tipo?","OK")))</f>
        <v>0</v>
      </c>
    </row>
    <row r="414" spans="1:11">
      <c r="A414" s="18"/>
      <c r="B414" s="19"/>
      <c r="C414" s="15"/>
      <c r="D414" s="15"/>
      <c r="E414" s="15"/>
      <c r="F414" s="17"/>
      <c r="G414" s="19"/>
      <c r="H414" s="20">
        <f>IF($A414="","",YEAR($A414))</f>
        <v>0</v>
      </c>
      <c r="I414" s="20">
        <f>IF($A414="","",MONTH($A414))</f>
        <v>0</v>
      </c>
      <c r="J414" s="21">
        <f>IF(OR($A414="",$F414=""),"",IF($B414="Entrada",$F414,-$F414))</f>
        <v>0</v>
      </c>
      <c r="K414" s="20">
        <f>IF($A414="","",IF(OR($B414="",$C414="",$F414="",$G414=""),"Preencher tudo",IF(IFERROR(INDEX(CatTipo,MATCH($C414,CatNome,0)),"")&lt;&gt;$B414,"Categoria x Tipo?","OK")))</f>
        <v>0</v>
      </c>
    </row>
    <row r="415" spans="1:11">
      <c r="A415" s="18"/>
      <c r="B415" s="19"/>
      <c r="C415" s="15"/>
      <c r="D415" s="15"/>
      <c r="E415" s="15"/>
      <c r="F415" s="17"/>
      <c r="G415" s="19"/>
      <c r="H415" s="20">
        <f>IF($A415="","",YEAR($A415))</f>
        <v>0</v>
      </c>
      <c r="I415" s="20">
        <f>IF($A415="","",MONTH($A415))</f>
        <v>0</v>
      </c>
      <c r="J415" s="21">
        <f>IF(OR($A415="",$F415=""),"",IF($B415="Entrada",$F415,-$F415))</f>
        <v>0</v>
      </c>
      <c r="K415" s="20">
        <f>IF($A415="","",IF(OR($B415="",$C415="",$F415="",$G415=""),"Preencher tudo",IF(IFERROR(INDEX(CatTipo,MATCH($C415,CatNome,0)),"")&lt;&gt;$B415,"Categoria x Tipo?","OK")))</f>
        <v>0</v>
      </c>
    </row>
    <row r="416" spans="1:11">
      <c r="A416" s="18"/>
      <c r="B416" s="19"/>
      <c r="C416" s="15"/>
      <c r="D416" s="15"/>
      <c r="E416" s="15"/>
      <c r="F416" s="17"/>
      <c r="G416" s="19"/>
      <c r="H416" s="20">
        <f>IF($A416="","",YEAR($A416))</f>
        <v>0</v>
      </c>
      <c r="I416" s="20">
        <f>IF($A416="","",MONTH($A416))</f>
        <v>0</v>
      </c>
      <c r="J416" s="21">
        <f>IF(OR($A416="",$F416=""),"",IF($B416="Entrada",$F416,-$F416))</f>
        <v>0</v>
      </c>
      <c r="K416" s="20">
        <f>IF($A416="","",IF(OR($B416="",$C416="",$F416="",$G416=""),"Preencher tudo",IF(IFERROR(INDEX(CatTipo,MATCH($C416,CatNome,0)),"")&lt;&gt;$B416,"Categoria x Tipo?","OK")))</f>
        <v>0</v>
      </c>
    </row>
    <row r="417" spans="1:11">
      <c r="A417" s="18"/>
      <c r="B417" s="19"/>
      <c r="C417" s="15"/>
      <c r="D417" s="15"/>
      <c r="E417" s="15"/>
      <c r="F417" s="17"/>
      <c r="G417" s="19"/>
      <c r="H417" s="20">
        <f>IF($A417="","",YEAR($A417))</f>
        <v>0</v>
      </c>
      <c r="I417" s="20">
        <f>IF($A417="","",MONTH($A417))</f>
        <v>0</v>
      </c>
      <c r="J417" s="21">
        <f>IF(OR($A417="",$F417=""),"",IF($B417="Entrada",$F417,-$F417))</f>
        <v>0</v>
      </c>
      <c r="K417" s="20">
        <f>IF($A417="","",IF(OR($B417="",$C417="",$F417="",$G417=""),"Preencher tudo",IF(IFERROR(INDEX(CatTipo,MATCH($C417,CatNome,0)),"")&lt;&gt;$B417,"Categoria x Tipo?","OK")))</f>
        <v>0</v>
      </c>
    </row>
    <row r="418" spans="1:11">
      <c r="A418" s="18"/>
      <c r="B418" s="19"/>
      <c r="C418" s="15"/>
      <c r="D418" s="15"/>
      <c r="E418" s="15"/>
      <c r="F418" s="17"/>
      <c r="G418" s="19"/>
      <c r="H418" s="20">
        <f>IF($A418="","",YEAR($A418))</f>
        <v>0</v>
      </c>
      <c r="I418" s="20">
        <f>IF($A418="","",MONTH($A418))</f>
        <v>0</v>
      </c>
      <c r="J418" s="21">
        <f>IF(OR($A418="",$F418=""),"",IF($B418="Entrada",$F418,-$F418))</f>
        <v>0</v>
      </c>
      <c r="K418" s="20">
        <f>IF($A418="","",IF(OR($B418="",$C418="",$F418="",$G418=""),"Preencher tudo",IF(IFERROR(INDEX(CatTipo,MATCH($C418,CatNome,0)),"")&lt;&gt;$B418,"Categoria x Tipo?","OK")))</f>
        <v>0</v>
      </c>
    </row>
    <row r="419" spans="1:11">
      <c r="A419" s="18"/>
      <c r="B419" s="19"/>
      <c r="C419" s="15"/>
      <c r="D419" s="15"/>
      <c r="E419" s="15"/>
      <c r="F419" s="17"/>
      <c r="G419" s="19"/>
      <c r="H419" s="20">
        <f>IF($A419="","",YEAR($A419))</f>
        <v>0</v>
      </c>
      <c r="I419" s="20">
        <f>IF($A419="","",MONTH($A419))</f>
        <v>0</v>
      </c>
      <c r="J419" s="21">
        <f>IF(OR($A419="",$F419=""),"",IF($B419="Entrada",$F419,-$F419))</f>
        <v>0</v>
      </c>
      <c r="K419" s="20">
        <f>IF($A419="","",IF(OR($B419="",$C419="",$F419="",$G419=""),"Preencher tudo",IF(IFERROR(INDEX(CatTipo,MATCH($C419,CatNome,0)),"")&lt;&gt;$B419,"Categoria x Tipo?","OK")))</f>
        <v>0</v>
      </c>
    </row>
    <row r="420" spans="1:11">
      <c r="A420" s="18"/>
      <c r="B420" s="19"/>
      <c r="C420" s="15"/>
      <c r="D420" s="15"/>
      <c r="E420" s="15"/>
      <c r="F420" s="17"/>
      <c r="G420" s="19"/>
      <c r="H420" s="20">
        <f>IF($A420="","",YEAR($A420))</f>
        <v>0</v>
      </c>
      <c r="I420" s="20">
        <f>IF($A420="","",MONTH($A420))</f>
        <v>0</v>
      </c>
      <c r="J420" s="21">
        <f>IF(OR($A420="",$F420=""),"",IF($B420="Entrada",$F420,-$F420))</f>
        <v>0</v>
      </c>
      <c r="K420" s="20">
        <f>IF($A420="","",IF(OR($B420="",$C420="",$F420="",$G420=""),"Preencher tudo",IF(IFERROR(INDEX(CatTipo,MATCH($C420,CatNome,0)),"")&lt;&gt;$B420,"Categoria x Tipo?","OK")))</f>
        <v>0</v>
      </c>
    </row>
    <row r="421" spans="1:11">
      <c r="A421" s="18"/>
      <c r="B421" s="19"/>
      <c r="C421" s="15"/>
      <c r="D421" s="15"/>
      <c r="E421" s="15"/>
      <c r="F421" s="17"/>
      <c r="G421" s="19"/>
      <c r="H421" s="20">
        <f>IF($A421="","",YEAR($A421))</f>
        <v>0</v>
      </c>
      <c r="I421" s="20">
        <f>IF($A421="","",MONTH($A421))</f>
        <v>0</v>
      </c>
      <c r="J421" s="21">
        <f>IF(OR($A421="",$F421=""),"",IF($B421="Entrada",$F421,-$F421))</f>
        <v>0</v>
      </c>
      <c r="K421" s="20">
        <f>IF($A421="","",IF(OR($B421="",$C421="",$F421="",$G421=""),"Preencher tudo",IF(IFERROR(INDEX(CatTipo,MATCH($C421,CatNome,0)),"")&lt;&gt;$B421,"Categoria x Tipo?","OK")))</f>
        <v>0</v>
      </c>
    </row>
    <row r="422" spans="1:11">
      <c r="A422" s="18"/>
      <c r="B422" s="19"/>
      <c r="C422" s="15"/>
      <c r="D422" s="15"/>
      <c r="E422" s="15"/>
      <c r="F422" s="17"/>
      <c r="G422" s="19"/>
      <c r="H422" s="20">
        <f>IF($A422="","",YEAR($A422))</f>
        <v>0</v>
      </c>
      <c r="I422" s="20">
        <f>IF($A422="","",MONTH($A422))</f>
        <v>0</v>
      </c>
      <c r="J422" s="21">
        <f>IF(OR($A422="",$F422=""),"",IF($B422="Entrada",$F422,-$F422))</f>
        <v>0</v>
      </c>
      <c r="K422" s="20">
        <f>IF($A422="","",IF(OR($B422="",$C422="",$F422="",$G422=""),"Preencher tudo",IF(IFERROR(INDEX(CatTipo,MATCH($C422,CatNome,0)),"")&lt;&gt;$B422,"Categoria x Tipo?","OK")))</f>
        <v>0</v>
      </c>
    </row>
    <row r="423" spans="1:11">
      <c r="A423" s="18"/>
      <c r="B423" s="19"/>
      <c r="C423" s="15"/>
      <c r="D423" s="15"/>
      <c r="E423" s="15"/>
      <c r="F423" s="17"/>
      <c r="G423" s="19"/>
      <c r="H423" s="20">
        <f>IF($A423="","",YEAR($A423))</f>
        <v>0</v>
      </c>
      <c r="I423" s="20">
        <f>IF($A423="","",MONTH($A423))</f>
        <v>0</v>
      </c>
      <c r="J423" s="21">
        <f>IF(OR($A423="",$F423=""),"",IF($B423="Entrada",$F423,-$F423))</f>
        <v>0</v>
      </c>
      <c r="K423" s="20">
        <f>IF($A423="","",IF(OR($B423="",$C423="",$F423="",$G423=""),"Preencher tudo",IF(IFERROR(INDEX(CatTipo,MATCH($C423,CatNome,0)),"")&lt;&gt;$B423,"Categoria x Tipo?","OK")))</f>
        <v>0</v>
      </c>
    </row>
    <row r="424" spans="1:11">
      <c r="A424" s="18"/>
      <c r="B424" s="19"/>
      <c r="C424" s="15"/>
      <c r="D424" s="15"/>
      <c r="E424" s="15"/>
      <c r="F424" s="17"/>
      <c r="G424" s="19"/>
      <c r="H424" s="20">
        <f>IF($A424="","",YEAR($A424))</f>
        <v>0</v>
      </c>
      <c r="I424" s="20">
        <f>IF($A424="","",MONTH($A424))</f>
        <v>0</v>
      </c>
      <c r="J424" s="21">
        <f>IF(OR($A424="",$F424=""),"",IF($B424="Entrada",$F424,-$F424))</f>
        <v>0</v>
      </c>
      <c r="K424" s="20">
        <f>IF($A424="","",IF(OR($B424="",$C424="",$F424="",$G424=""),"Preencher tudo",IF(IFERROR(INDEX(CatTipo,MATCH($C424,CatNome,0)),"")&lt;&gt;$B424,"Categoria x Tipo?","OK")))</f>
        <v>0</v>
      </c>
    </row>
    <row r="425" spans="1:11">
      <c r="A425" s="18"/>
      <c r="B425" s="19"/>
      <c r="C425" s="15"/>
      <c r="D425" s="15"/>
      <c r="E425" s="15"/>
      <c r="F425" s="17"/>
      <c r="G425" s="19"/>
      <c r="H425" s="20">
        <f>IF($A425="","",YEAR($A425))</f>
        <v>0</v>
      </c>
      <c r="I425" s="20">
        <f>IF($A425="","",MONTH($A425))</f>
        <v>0</v>
      </c>
      <c r="J425" s="21">
        <f>IF(OR($A425="",$F425=""),"",IF($B425="Entrada",$F425,-$F425))</f>
        <v>0</v>
      </c>
      <c r="K425" s="20">
        <f>IF($A425="","",IF(OR($B425="",$C425="",$F425="",$G425=""),"Preencher tudo",IF(IFERROR(INDEX(CatTipo,MATCH($C425,CatNome,0)),"")&lt;&gt;$B425,"Categoria x Tipo?","OK")))</f>
        <v>0</v>
      </c>
    </row>
    <row r="426" spans="1:11">
      <c r="A426" s="18"/>
      <c r="B426" s="19"/>
      <c r="C426" s="15"/>
      <c r="D426" s="15"/>
      <c r="E426" s="15"/>
      <c r="F426" s="17"/>
      <c r="G426" s="19"/>
      <c r="H426" s="20">
        <f>IF($A426="","",YEAR($A426))</f>
        <v>0</v>
      </c>
      <c r="I426" s="20">
        <f>IF($A426="","",MONTH($A426))</f>
        <v>0</v>
      </c>
      <c r="J426" s="21">
        <f>IF(OR($A426="",$F426=""),"",IF($B426="Entrada",$F426,-$F426))</f>
        <v>0</v>
      </c>
      <c r="K426" s="20">
        <f>IF($A426="","",IF(OR($B426="",$C426="",$F426="",$G426=""),"Preencher tudo",IF(IFERROR(INDEX(CatTipo,MATCH($C426,CatNome,0)),"")&lt;&gt;$B426,"Categoria x Tipo?","OK")))</f>
        <v>0</v>
      </c>
    </row>
    <row r="427" spans="1:11">
      <c r="A427" s="18"/>
      <c r="B427" s="19"/>
      <c r="C427" s="15"/>
      <c r="D427" s="15"/>
      <c r="E427" s="15"/>
      <c r="F427" s="17"/>
      <c r="G427" s="19"/>
      <c r="H427" s="20">
        <f>IF($A427="","",YEAR($A427))</f>
        <v>0</v>
      </c>
      <c r="I427" s="20">
        <f>IF($A427="","",MONTH($A427))</f>
        <v>0</v>
      </c>
      <c r="J427" s="21">
        <f>IF(OR($A427="",$F427=""),"",IF($B427="Entrada",$F427,-$F427))</f>
        <v>0</v>
      </c>
      <c r="K427" s="20">
        <f>IF($A427="","",IF(OR($B427="",$C427="",$F427="",$G427=""),"Preencher tudo",IF(IFERROR(INDEX(CatTipo,MATCH($C427,CatNome,0)),"")&lt;&gt;$B427,"Categoria x Tipo?","OK")))</f>
        <v>0</v>
      </c>
    </row>
    <row r="428" spans="1:11">
      <c r="A428" s="18"/>
      <c r="B428" s="19"/>
      <c r="C428" s="15"/>
      <c r="D428" s="15"/>
      <c r="E428" s="15"/>
      <c r="F428" s="17"/>
      <c r="G428" s="19"/>
      <c r="H428" s="20">
        <f>IF($A428="","",YEAR($A428))</f>
        <v>0</v>
      </c>
      <c r="I428" s="20">
        <f>IF($A428="","",MONTH($A428))</f>
        <v>0</v>
      </c>
      <c r="J428" s="21">
        <f>IF(OR($A428="",$F428=""),"",IF($B428="Entrada",$F428,-$F428))</f>
        <v>0</v>
      </c>
      <c r="K428" s="20">
        <f>IF($A428="","",IF(OR($B428="",$C428="",$F428="",$G428=""),"Preencher tudo",IF(IFERROR(INDEX(CatTipo,MATCH($C428,CatNome,0)),"")&lt;&gt;$B428,"Categoria x Tipo?","OK")))</f>
        <v>0</v>
      </c>
    </row>
    <row r="429" spans="1:11">
      <c r="A429" s="18"/>
      <c r="B429" s="19"/>
      <c r="C429" s="15"/>
      <c r="D429" s="15"/>
      <c r="E429" s="15"/>
      <c r="F429" s="17"/>
      <c r="G429" s="19"/>
      <c r="H429" s="20">
        <f>IF($A429="","",YEAR($A429))</f>
        <v>0</v>
      </c>
      <c r="I429" s="20">
        <f>IF($A429="","",MONTH($A429))</f>
        <v>0</v>
      </c>
      <c r="J429" s="21">
        <f>IF(OR($A429="",$F429=""),"",IF($B429="Entrada",$F429,-$F429))</f>
        <v>0</v>
      </c>
      <c r="K429" s="20">
        <f>IF($A429="","",IF(OR($B429="",$C429="",$F429="",$G429=""),"Preencher tudo",IF(IFERROR(INDEX(CatTipo,MATCH($C429,CatNome,0)),"")&lt;&gt;$B429,"Categoria x Tipo?","OK")))</f>
        <v>0</v>
      </c>
    </row>
    <row r="430" spans="1:11">
      <c r="A430" s="18"/>
      <c r="B430" s="19"/>
      <c r="C430" s="15"/>
      <c r="D430" s="15"/>
      <c r="E430" s="15"/>
      <c r="F430" s="17"/>
      <c r="G430" s="19"/>
      <c r="H430" s="20">
        <f>IF($A430="","",YEAR($A430))</f>
        <v>0</v>
      </c>
      <c r="I430" s="20">
        <f>IF($A430="","",MONTH($A430))</f>
        <v>0</v>
      </c>
      <c r="J430" s="21">
        <f>IF(OR($A430="",$F430=""),"",IF($B430="Entrada",$F430,-$F430))</f>
        <v>0</v>
      </c>
      <c r="K430" s="20">
        <f>IF($A430="","",IF(OR($B430="",$C430="",$F430="",$G430=""),"Preencher tudo",IF(IFERROR(INDEX(CatTipo,MATCH($C430,CatNome,0)),"")&lt;&gt;$B430,"Categoria x Tipo?","OK")))</f>
        <v>0</v>
      </c>
    </row>
    <row r="431" spans="1:11">
      <c r="A431" s="18"/>
      <c r="B431" s="19"/>
      <c r="C431" s="15"/>
      <c r="D431" s="15"/>
      <c r="E431" s="15"/>
      <c r="F431" s="17"/>
      <c r="G431" s="19"/>
      <c r="H431" s="20">
        <f>IF($A431="","",YEAR($A431))</f>
        <v>0</v>
      </c>
      <c r="I431" s="20">
        <f>IF($A431="","",MONTH($A431))</f>
        <v>0</v>
      </c>
      <c r="J431" s="21">
        <f>IF(OR($A431="",$F431=""),"",IF($B431="Entrada",$F431,-$F431))</f>
        <v>0</v>
      </c>
      <c r="K431" s="20">
        <f>IF($A431="","",IF(OR($B431="",$C431="",$F431="",$G431=""),"Preencher tudo",IF(IFERROR(INDEX(CatTipo,MATCH($C431,CatNome,0)),"")&lt;&gt;$B431,"Categoria x Tipo?","OK")))</f>
        <v>0</v>
      </c>
    </row>
    <row r="432" spans="1:11">
      <c r="A432" s="18"/>
      <c r="B432" s="19"/>
      <c r="C432" s="15"/>
      <c r="D432" s="15"/>
      <c r="E432" s="15"/>
      <c r="F432" s="17"/>
      <c r="G432" s="19"/>
      <c r="H432" s="20">
        <f>IF($A432="","",YEAR($A432))</f>
        <v>0</v>
      </c>
      <c r="I432" s="20">
        <f>IF($A432="","",MONTH($A432))</f>
        <v>0</v>
      </c>
      <c r="J432" s="21">
        <f>IF(OR($A432="",$F432=""),"",IF($B432="Entrada",$F432,-$F432))</f>
        <v>0</v>
      </c>
      <c r="K432" s="20">
        <f>IF($A432="","",IF(OR($B432="",$C432="",$F432="",$G432=""),"Preencher tudo",IF(IFERROR(INDEX(CatTipo,MATCH($C432,CatNome,0)),"")&lt;&gt;$B432,"Categoria x Tipo?","OK")))</f>
        <v>0</v>
      </c>
    </row>
    <row r="433" spans="1:11">
      <c r="A433" s="18"/>
      <c r="B433" s="19"/>
      <c r="C433" s="15"/>
      <c r="D433" s="15"/>
      <c r="E433" s="15"/>
      <c r="F433" s="17"/>
      <c r="G433" s="19"/>
      <c r="H433" s="20">
        <f>IF($A433="","",YEAR($A433))</f>
        <v>0</v>
      </c>
      <c r="I433" s="20">
        <f>IF($A433="","",MONTH($A433))</f>
        <v>0</v>
      </c>
      <c r="J433" s="21">
        <f>IF(OR($A433="",$F433=""),"",IF($B433="Entrada",$F433,-$F433))</f>
        <v>0</v>
      </c>
      <c r="K433" s="20">
        <f>IF($A433="","",IF(OR($B433="",$C433="",$F433="",$G433=""),"Preencher tudo",IF(IFERROR(INDEX(CatTipo,MATCH($C433,CatNome,0)),"")&lt;&gt;$B433,"Categoria x Tipo?","OK")))</f>
        <v>0</v>
      </c>
    </row>
    <row r="434" spans="1:11">
      <c r="A434" s="18"/>
      <c r="B434" s="19"/>
      <c r="C434" s="15"/>
      <c r="D434" s="15"/>
      <c r="E434" s="15"/>
      <c r="F434" s="17"/>
      <c r="G434" s="19"/>
      <c r="H434" s="20">
        <f>IF($A434="","",YEAR($A434))</f>
        <v>0</v>
      </c>
      <c r="I434" s="20">
        <f>IF($A434="","",MONTH($A434))</f>
        <v>0</v>
      </c>
      <c r="J434" s="21">
        <f>IF(OR($A434="",$F434=""),"",IF($B434="Entrada",$F434,-$F434))</f>
        <v>0</v>
      </c>
      <c r="K434" s="20">
        <f>IF($A434="","",IF(OR($B434="",$C434="",$F434="",$G434=""),"Preencher tudo",IF(IFERROR(INDEX(CatTipo,MATCH($C434,CatNome,0)),"")&lt;&gt;$B434,"Categoria x Tipo?","OK")))</f>
        <v>0</v>
      </c>
    </row>
    <row r="435" spans="1:11">
      <c r="A435" s="18"/>
      <c r="B435" s="19"/>
      <c r="C435" s="15"/>
      <c r="D435" s="15"/>
      <c r="E435" s="15"/>
      <c r="F435" s="17"/>
      <c r="G435" s="19"/>
      <c r="H435" s="20">
        <f>IF($A435="","",YEAR($A435))</f>
        <v>0</v>
      </c>
      <c r="I435" s="20">
        <f>IF($A435="","",MONTH($A435))</f>
        <v>0</v>
      </c>
      <c r="J435" s="21">
        <f>IF(OR($A435="",$F435=""),"",IF($B435="Entrada",$F435,-$F435))</f>
        <v>0</v>
      </c>
      <c r="K435" s="20">
        <f>IF($A435="","",IF(OR($B435="",$C435="",$F435="",$G435=""),"Preencher tudo",IF(IFERROR(INDEX(CatTipo,MATCH($C435,CatNome,0)),"")&lt;&gt;$B435,"Categoria x Tipo?","OK")))</f>
        <v>0</v>
      </c>
    </row>
    <row r="436" spans="1:11">
      <c r="A436" s="18"/>
      <c r="B436" s="19"/>
      <c r="C436" s="15"/>
      <c r="D436" s="15"/>
      <c r="E436" s="15"/>
      <c r="F436" s="17"/>
      <c r="G436" s="19"/>
      <c r="H436" s="20">
        <f>IF($A436="","",YEAR($A436))</f>
        <v>0</v>
      </c>
      <c r="I436" s="20">
        <f>IF($A436="","",MONTH($A436))</f>
        <v>0</v>
      </c>
      <c r="J436" s="21">
        <f>IF(OR($A436="",$F436=""),"",IF($B436="Entrada",$F436,-$F436))</f>
        <v>0</v>
      </c>
      <c r="K436" s="20">
        <f>IF($A436="","",IF(OR($B436="",$C436="",$F436="",$G436=""),"Preencher tudo",IF(IFERROR(INDEX(CatTipo,MATCH($C436,CatNome,0)),"")&lt;&gt;$B436,"Categoria x Tipo?","OK")))</f>
        <v>0</v>
      </c>
    </row>
    <row r="437" spans="1:11">
      <c r="A437" s="18"/>
      <c r="B437" s="19"/>
      <c r="C437" s="15"/>
      <c r="D437" s="15"/>
      <c r="E437" s="15"/>
      <c r="F437" s="17"/>
      <c r="G437" s="19"/>
      <c r="H437" s="20">
        <f>IF($A437="","",YEAR($A437))</f>
        <v>0</v>
      </c>
      <c r="I437" s="20">
        <f>IF($A437="","",MONTH($A437))</f>
        <v>0</v>
      </c>
      <c r="J437" s="21">
        <f>IF(OR($A437="",$F437=""),"",IF($B437="Entrada",$F437,-$F437))</f>
        <v>0</v>
      </c>
      <c r="K437" s="20">
        <f>IF($A437="","",IF(OR($B437="",$C437="",$F437="",$G437=""),"Preencher tudo",IF(IFERROR(INDEX(CatTipo,MATCH($C437,CatNome,0)),"")&lt;&gt;$B437,"Categoria x Tipo?","OK")))</f>
        <v>0</v>
      </c>
    </row>
    <row r="438" spans="1:11">
      <c r="A438" s="18"/>
      <c r="B438" s="19"/>
      <c r="C438" s="15"/>
      <c r="D438" s="15"/>
      <c r="E438" s="15"/>
      <c r="F438" s="17"/>
      <c r="G438" s="19"/>
      <c r="H438" s="20">
        <f>IF($A438="","",YEAR($A438))</f>
        <v>0</v>
      </c>
      <c r="I438" s="20">
        <f>IF($A438="","",MONTH($A438))</f>
        <v>0</v>
      </c>
      <c r="J438" s="21">
        <f>IF(OR($A438="",$F438=""),"",IF($B438="Entrada",$F438,-$F438))</f>
        <v>0</v>
      </c>
      <c r="K438" s="20">
        <f>IF($A438="","",IF(OR($B438="",$C438="",$F438="",$G438=""),"Preencher tudo",IF(IFERROR(INDEX(CatTipo,MATCH($C438,CatNome,0)),"")&lt;&gt;$B438,"Categoria x Tipo?","OK")))</f>
        <v>0</v>
      </c>
    </row>
    <row r="439" spans="1:11">
      <c r="A439" s="18"/>
      <c r="B439" s="19"/>
      <c r="C439" s="15"/>
      <c r="D439" s="15"/>
      <c r="E439" s="15"/>
      <c r="F439" s="17"/>
      <c r="G439" s="19"/>
      <c r="H439" s="20">
        <f>IF($A439="","",YEAR($A439))</f>
        <v>0</v>
      </c>
      <c r="I439" s="20">
        <f>IF($A439="","",MONTH($A439))</f>
        <v>0</v>
      </c>
      <c r="J439" s="21">
        <f>IF(OR($A439="",$F439=""),"",IF($B439="Entrada",$F439,-$F439))</f>
        <v>0</v>
      </c>
      <c r="K439" s="20">
        <f>IF($A439="","",IF(OR($B439="",$C439="",$F439="",$G439=""),"Preencher tudo",IF(IFERROR(INDEX(CatTipo,MATCH($C439,CatNome,0)),"")&lt;&gt;$B439,"Categoria x Tipo?","OK")))</f>
        <v>0</v>
      </c>
    </row>
    <row r="440" spans="1:11">
      <c r="A440" s="18"/>
      <c r="B440" s="19"/>
      <c r="C440" s="15"/>
      <c r="D440" s="15"/>
      <c r="E440" s="15"/>
      <c r="F440" s="17"/>
      <c r="G440" s="19"/>
      <c r="H440" s="20">
        <f>IF($A440="","",YEAR($A440))</f>
        <v>0</v>
      </c>
      <c r="I440" s="20">
        <f>IF($A440="","",MONTH($A440))</f>
        <v>0</v>
      </c>
      <c r="J440" s="21">
        <f>IF(OR($A440="",$F440=""),"",IF($B440="Entrada",$F440,-$F440))</f>
        <v>0</v>
      </c>
      <c r="K440" s="20">
        <f>IF($A440="","",IF(OR($B440="",$C440="",$F440="",$G440=""),"Preencher tudo",IF(IFERROR(INDEX(CatTipo,MATCH($C440,CatNome,0)),"")&lt;&gt;$B440,"Categoria x Tipo?","OK")))</f>
        <v>0</v>
      </c>
    </row>
    <row r="441" spans="1:11">
      <c r="A441" s="18"/>
      <c r="B441" s="19"/>
      <c r="C441" s="15"/>
      <c r="D441" s="15"/>
      <c r="E441" s="15"/>
      <c r="F441" s="17"/>
      <c r="G441" s="19"/>
      <c r="H441" s="20">
        <f>IF($A441="","",YEAR($A441))</f>
        <v>0</v>
      </c>
      <c r="I441" s="20">
        <f>IF($A441="","",MONTH($A441))</f>
        <v>0</v>
      </c>
      <c r="J441" s="21">
        <f>IF(OR($A441="",$F441=""),"",IF($B441="Entrada",$F441,-$F441))</f>
        <v>0</v>
      </c>
      <c r="K441" s="20">
        <f>IF($A441="","",IF(OR($B441="",$C441="",$F441="",$G441=""),"Preencher tudo",IF(IFERROR(INDEX(CatTipo,MATCH($C441,CatNome,0)),"")&lt;&gt;$B441,"Categoria x Tipo?","OK")))</f>
        <v>0</v>
      </c>
    </row>
    <row r="442" spans="1:11">
      <c r="A442" s="18"/>
      <c r="B442" s="19"/>
      <c r="C442" s="15"/>
      <c r="D442" s="15"/>
      <c r="E442" s="15"/>
      <c r="F442" s="17"/>
      <c r="G442" s="19"/>
      <c r="H442" s="20">
        <f>IF($A442="","",YEAR($A442))</f>
        <v>0</v>
      </c>
      <c r="I442" s="20">
        <f>IF($A442="","",MONTH($A442))</f>
        <v>0</v>
      </c>
      <c r="J442" s="21">
        <f>IF(OR($A442="",$F442=""),"",IF($B442="Entrada",$F442,-$F442))</f>
        <v>0</v>
      </c>
      <c r="K442" s="20">
        <f>IF($A442="","",IF(OR($B442="",$C442="",$F442="",$G442=""),"Preencher tudo",IF(IFERROR(INDEX(CatTipo,MATCH($C442,CatNome,0)),"")&lt;&gt;$B442,"Categoria x Tipo?","OK")))</f>
        <v>0</v>
      </c>
    </row>
    <row r="443" spans="1:11">
      <c r="A443" s="18"/>
      <c r="B443" s="19"/>
      <c r="C443" s="15"/>
      <c r="D443" s="15"/>
      <c r="E443" s="15"/>
      <c r="F443" s="17"/>
      <c r="G443" s="19"/>
      <c r="H443" s="20">
        <f>IF($A443="","",YEAR($A443))</f>
        <v>0</v>
      </c>
      <c r="I443" s="20">
        <f>IF($A443="","",MONTH($A443))</f>
        <v>0</v>
      </c>
      <c r="J443" s="21">
        <f>IF(OR($A443="",$F443=""),"",IF($B443="Entrada",$F443,-$F443))</f>
        <v>0</v>
      </c>
      <c r="K443" s="20">
        <f>IF($A443="","",IF(OR($B443="",$C443="",$F443="",$G443=""),"Preencher tudo",IF(IFERROR(INDEX(CatTipo,MATCH($C443,CatNome,0)),"")&lt;&gt;$B443,"Categoria x Tipo?","OK")))</f>
        <v>0</v>
      </c>
    </row>
    <row r="444" spans="1:11">
      <c r="A444" s="18"/>
      <c r="B444" s="19"/>
      <c r="C444" s="15"/>
      <c r="D444" s="15"/>
      <c r="E444" s="15"/>
      <c r="F444" s="17"/>
      <c r="G444" s="19"/>
      <c r="H444" s="20">
        <f>IF($A444="","",YEAR($A444))</f>
        <v>0</v>
      </c>
      <c r="I444" s="20">
        <f>IF($A444="","",MONTH($A444))</f>
        <v>0</v>
      </c>
      <c r="J444" s="21">
        <f>IF(OR($A444="",$F444=""),"",IF($B444="Entrada",$F444,-$F444))</f>
        <v>0</v>
      </c>
      <c r="K444" s="20">
        <f>IF($A444="","",IF(OR($B444="",$C444="",$F444="",$G444=""),"Preencher tudo",IF(IFERROR(INDEX(CatTipo,MATCH($C444,CatNome,0)),"")&lt;&gt;$B444,"Categoria x Tipo?","OK")))</f>
        <v>0</v>
      </c>
    </row>
    <row r="445" spans="1:11">
      <c r="A445" s="18"/>
      <c r="B445" s="19"/>
      <c r="C445" s="15"/>
      <c r="D445" s="15"/>
      <c r="E445" s="15"/>
      <c r="F445" s="17"/>
      <c r="G445" s="19"/>
      <c r="H445" s="20">
        <f>IF($A445="","",YEAR($A445))</f>
        <v>0</v>
      </c>
      <c r="I445" s="20">
        <f>IF($A445="","",MONTH($A445))</f>
        <v>0</v>
      </c>
      <c r="J445" s="21">
        <f>IF(OR($A445="",$F445=""),"",IF($B445="Entrada",$F445,-$F445))</f>
        <v>0</v>
      </c>
      <c r="K445" s="20">
        <f>IF($A445="","",IF(OR($B445="",$C445="",$F445="",$G445=""),"Preencher tudo",IF(IFERROR(INDEX(CatTipo,MATCH($C445,CatNome,0)),"")&lt;&gt;$B445,"Categoria x Tipo?","OK")))</f>
        <v>0</v>
      </c>
    </row>
    <row r="446" spans="1:11">
      <c r="A446" s="18"/>
      <c r="B446" s="19"/>
      <c r="C446" s="15"/>
      <c r="D446" s="15"/>
      <c r="E446" s="15"/>
      <c r="F446" s="17"/>
      <c r="G446" s="19"/>
      <c r="H446" s="20">
        <f>IF($A446="","",YEAR($A446))</f>
        <v>0</v>
      </c>
      <c r="I446" s="20">
        <f>IF($A446="","",MONTH($A446))</f>
        <v>0</v>
      </c>
      <c r="J446" s="21">
        <f>IF(OR($A446="",$F446=""),"",IF($B446="Entrada",$F446,-$F446))</f>
        <v>0</v>
      </c>
      <c r="K446" s="20">
        <f>IF($A446="","",IF(OR($B446="",$C446="",$F446="",$G446=""),"Preencher tudo",IF(IFERROR(INDEX(CatTipo,MATCH($C446,CatNome,0)),"")&lt;&gt;$B446,"Categoria x Tipo?","OK")))</f>
        <v>0</v>
      </c>
    </row>
    <row r="447" spans="1:11">
      <c r="A447" s="18"/>
      <c r="B447" s="19"/>
      <c r="C447" s="15"/>
      <c r="D447" s="15"/>
      <c r="E447" s="15"/>
      <c r="F447" s="17"/>
      <c r="G447" s="19"/>
      <c r="H447" s="20">
        <f>IF($A447="","",YEAR($A447))</f>
        <v>0</v>
      </c>
      <c r="I447" s="20">
        <f>IF($A447="","",MONTH($A447))</f>
        <v>0</v>
      </c>
      <c r="J447" s="21">
        <f>IF(OR($A447="",$F447=""),"",IF($B447="Entrada",$F447,-$F447))</f>
        <v>0</v>
      </c>
      <c r="K447" s="20">
        <f>IF($A447="","",IF(OR($B447="",$C447="",$F447="",$G447=""),"Preencher tudo",IF(IFERROR(INDEX(CatTipo,MATCH($C447,CatNome,0)),"")&lt;&gt;$B447,"Categoria x Tipo?","OK")))</f>
        <v>0</v>
      </c>
    </row>
    <row r="448" spans="1:11">
      <c r="A448" s="18"/>
      <c r="B448" s="19"/>
      <c r="C448" s="15"/>
      <c r="D448" s="15"/>
      <c r="E448" s="15"/>
      <c r="F448" s="17"/>
      <c r="G448" s="19"/>
      <c r="H448" s="20">
        <f>IF($A448="","",YEAR($A448))</f>
        <v>0</v>
      </c>
      <c r="I448" s="20">
        <f>IF($A448="","",MONTH($A448))</f>
        <v>0</v>
      </c>
      <c r="J448" s="21">
        <f>IF(OR($A448="",$F448=""),"",IF($B448="Entrada",$F448,-$F448))</f>
        <v>0</v>
      </c>
      <c r="K448" s="20">
        <f>IF($A448="","",IF(OR($B448="",$C448="",$F448="",$G448=""),"Preencher tudo",IF(IFERROR(INDEX(CatTipo,MATCH($C448,CatNome,0)),"")&lt;&gt;$B448,"Categoria x Tipo?","OK")))</f>
        <v>0</v>
      </c>
    </row>
    <row r="449" spans="1:11">
      <c r="A449" s="18"/>
      <c r="B449" s="19"/>
      <c r="C449" s="15"/>
      <c r="D449" s="15"/>
      <c r="E449" s="15"/>
      <c r="F449" s="17"/>
      <c r="G449" s="19"/>
      <c r="H449" s="20">
        <f>IF($A449="","",YEAR($A449))</f>
        <v>0</v>
      </c>
      <c r="I449" s="20">
        <f>IF($A449="","",MONTH($A449))</f>
        <v>0</v>
      </c>
      <c r="J449" s="21">
        <f>IF(OR($A449="",$F449=""),"",IF($B449="Entrada",$F449,-$F449))</f>
        <v>0</v>
      </c>
      <c r="K449" s="20">
        <f>IF($A449="","",IF(OR($B449="",$C449="",$F449="",$G449=""),"Preencher tudo",IF(IFERROR(INDEX(CatTipo,MATCH($C449,CatNome,0)),"")&lt;&gt;$B449,"Categoria x Tipo?","OK")))</f>
        <v>0</v>
      </c>
    </row>
    <row r="450" spans="1:11">
      <c r="A450" s="18"/>
      <c r="B450" s="19"/>
      <c r="C450" s="15"/>
      <c r="D450" s="15"/>
      <c r="E450" s="15"/>
      <c r="F450" s="17"/>
      <c r="G450" s="19"/>
      <c r="H450" s="20">
        <f>IF($A450="","",YEAR($A450))</f>
        <v>0</v>
      </c>
      <c r="I450" s="20">
        <f>IF($A450="","",MONTH($A450))</f>
        <v>0</v>
      </c>
      <c r="J450" s="21">
        <f>IF(OR($A450="",$F450=""),"",IF($B450="Entrada",$F450,-$F450))</f>
        <v>0</v>
      </c>
      <c r="K450" s="20">
        <f>IF($A450="","",IF(OR($B450="",$C450="",$F450="",$G450=""),"Preencher tudo",IF(IFERROR(INDEX(CatTipo,MATCH($C450,CatNome,0)),"")&lt;&gt;$B450,"Categoria x Tipo?","OK")))</f>
        <v>0</v>
      </c>
    </row>
    <row r="451" spans="1:11">
      <c r="A451" s="18"/>
      <c r="B451" s="19"/>
      <c r="C451" s="15"/>
      <c r="D451" s="15"/>
      <c r="E451" s="15"/>
      <c r="F451" s="17"/>
      <c r="G451" s="19"/>
      <c r="H451" s="20">
        <f>IF($A451="","",YEAR($A451))</f>
        <v>0</v>
      </c>
      <c r="I451" s="20">
        <f>IF($A451="","",MONTH($A451))</f>
        <v>0</v>
      </c>
      <c r="J451" s="21">
        <f>IF(OR($A451="",$F451=""),"",IF($B451="Entrada",$F451,-$F451))</f>
        <v>0</v>
      </c>
      <c r="K451" s="20">
        <f>IF($A451="","",IF(OR($B451="",$C451="",$F451="",$G451=""),"Preencher tudo",IF(IFERROR(INDEX(CatTipo,MATCH($C451,CatNome,0)),"")&lt;&gt;$B451,"Categoria x Tipo?","OK")))</f>
        <v>0</v>
      </c>
    </row>
    <row r="452" spans="1:11">
      <c r="A452" s="18"/>
      <c r="B452" s="19"/>
      <c r="C452" s="15"/>
      <c r="D452" s="15"/>
      <c r="E452" s="15"/>
      <c r="F452" s="17"/>
      <c r="G452" s="19"/>
      <c r="H452" s="20">
        <f>IF($A452="","",YEAR($A452))</f>
        <v>0</v>
      </c>
      <c r="I452" s="20">
        <f>IF($A452="","",MONTH($A452))</f>
        <v>0</v>
      </c>
      <c r="J452" s="21">
        <f>IF(OR($A452="",$F452=""),"",IF($B452="Entrada",$F452,-$F452))</f>
        <v>0</v>
      </c>
      <c r="K452" s="20">
        <f>IF($A452="","",IF(OR($B452="",$C452="",$F452="",$G452=""),"Preencher tudo",IF(IFERROR(INDEX(CatTipo,MATCH($C452,CatNome,0)),"")&lt;&gt;$B452,"Categoria x Tipo?","OK")))</f>
        <v>0</v>
      </c>
    </row>
    <row r="453" spans="1:11">
      <c r="A453" s="18"/>
      <c r="B453" s="19"/>
      <c r="C453" s="15"/>
      <c r="D453" s="15"/>
      <c r="E453" s="15"/>
      <c r="F453" s="17"/>
      <c r="G453" s="19"/>
      <c r="H453" s="20">
        <f>IF($A453="","",YEAR($A453))</f>
        <v>0</v>
      </c>
      <c r="I453" s="20">
        <f>IF($A453="","",MONTH($A453))</f>
        <v>0</v>
      </c>
      <c r="J453" s="21">
        <f>IF(OR($A453="",$F453=""),"",IF($B453="Entrada",$F453,-$F453))</f>
        <v>0</v>
      </c>
      <c r="K453" s="20">
        <f>IF($A453="","",IF(OR($B453="",$C453="",$F453="",$G453=""),"Preencher tudo",IF(IFERROR(INDEX(CatTipo,MATCH($C453,CatNome,0)),"")&lt;&gt;$B453,"Categoria x Tipo?","OK")))</f>
        <v>0</v>
      </c>
    </row>
    <row r="454" spans="1:11">
      <c r="A454" s="18"/>
      <c r="B454" s="19"/>
      <c r="C454" s="15"/>
      <c r="D454" s="15"/>
      <c r="E454" s="15"/>
      <c r="F454" s="17"/>
      <c r="G454" s="19"/>
      <c r="H454" s="20">
        <f>IF($A454="","",YEAR($A454))</f>
        <v>0</v>
      </c>
      <c r="I454" s="20">
        <f>IF($A454="","",MONTH($A454))</f>
        <v>0</v>
      </c>
      <c r="J454" s="21">
        <f>IF(OR($A454="",$F454=""),"",IF($B454="Entrada",$F454,-$F454))</f>
        <v>0</v>
      </c>
      <c r="K454" s="20">
        <f>IF($A454="","",IF(OR($B454="",$C454="",$F454="",$G454=""),"Preencher tudo",IF(IFERROR(INDEX(CatTipo,MATCH($C454,CatNome,0)),"")&lt;&gt;$B454,"Categoria x Tipo?","OK")))</f>
        <v>0</v>
      </c>
    </row>
    <row r="455" spans="1:11">
      <c r="A455" s="18"/>
      <c r="B455" s="19"/>
      <c r="C455" s="15"/>
      <c r="D455" s="15"/>
      <c r="E455" s="15"/>
      <c r="F455" s="17"/>
      <c r="G455" s="19"/>
      <c r="H455" s="20">
        <f>IF($A455="","",YEAR($A455))</f>
        <v>0</v>
      </c>
      <c r="I455" s="20">
        <f>IF($A455="","",MONTH($A455))</f>
        <v>0</v>
      </c>
      <c r="J455" s="21">
        <f>IF(OR($A455="",$F455=""),"",IF($B455="Entrada",$F455,-$F455))</f>
        <v>0</v>
      </c>
      <c r="K455" s="20">
        <f>IF($A455="","",IF(OR($B455="",$C455="",$F455="",$G455=""),"Preencher tudo",IF(IFERROR(INDEX(CatTipo,MATCH($C455,CatNome,0)),"")&lt;&gt;$B455,"Categoria x Tipo?","OK")))</f>
        <v>0</v>
      </c>
    </row>
    <row r="456" spans="1:11">
      <c r="A456" s="18"/>
      <c r="B456" s="19"/>
      <c r="C456" s="15"/>
      <c r="D456" s="15"/>
      <c r="E456" s="15"/>
      <c r="F456" s="17"/>
      <c r="G456" s="19"/>
      <c r="H456" s="20">
        <f>IF($A456="","",YEAR($A456))</f>
        <v>0</v>
      </c>
      <c r="I456" s="20">
        <f>IF($A456="","",MONTH($A456))</f>
        <v>0</v>
      </c>
      <c r="J456" s="21">
        <f>IF(OR($A456="",$F456=""),"",IF($B456="Entrada",$F456,-$F456))</f>
        <v>0</v>
      </c>
      <c r="K456" s="20">
        <f>IF($A456="","",IF(OR($B456="",$C456="",$F456="",$G456=""),"Preencher tudo",IF(IFERROR(INDEX(CatTipo,MATCH($C456,CatNome,0)),"")&lt;&gt;$B456,"Categoria x Tipo?","OK")))</f>
        <v>0</v>
      </c>
    </row>
    <row r="457" spans="1:11">
      <c r="A457" s="18"/>
      <c r="B457" s="19"/>
      <c r="C457" s="15"/>
      <c r="D457" s="15"/>
      <c r="E457" s="15"/>
      <c r="F457" s="17"/>
      <c r="G457" s="19"/>
      <c r="H457" s="20">
        <f>IF($A457="","",YEAR($A457))</f>
        <v>0</v>
      </c>
      <c r="I457" s="20">
        <f>IF($A457="","",MONTH($A457))</f>
        <v>0</v>
      </c>
      <c r="J457" s="21">
        <f>IF(OR($A457="",$F457=""),"",IF($B457="Entrada",$F457,-$F457))</f>
        <v>0</v>
      </c>
      <c r="K457" s="20">
        <f>IF($A457="","",IF(OR($B457="",$C457="",$F457="",$G457=""),"Preencher tudo",IF(IFERROR(INDEX(CatTipo,MATCH($C457,CatNome,0)),"")&lt;&gt;$B457,"Categoria x Tipo?","OK")))</f>
        <v>0</v>
      </c>
    </row>
    <row r="458" spans="1:11">
      <c r="A458" s="18"/>
      <c r="B458" s="19"/>
      <c r="C458" s="15"/>
      <c r="D458" s="15"/>
      <c r="E458" s="15"/>
      <c r="F458" s="17"/>
      <c r="G458" s="19"/>
      <c r="H458" s="20">
        <f>IF($A458="","",YEAR($A458))</f>
        <v>0</v>
      </c>
      <c r="I458" s="20">
        <f>IF($A458="","",MONTH($A458))</f>
        <v>0</v>
      </c>
      <c r="J458" s="21">
        <f>IF(OR($A458="",$F458=""),"",IF($B458="Entrada",$F458,-$F458))</f>
        <v>0</v>
      </c>
      <c r="K458" s="20">
        <f>IF($A458="","",IF(OR($B458="",$C458="",$F458="",$G458=""),"Preencher tudo",IF(IFERROR(INDEX(CatTipo,MATCH($C458,CatNome,0)),"")&lt;&gt;$B458,"Categoria x Tipo?","OK")))</f>
        <v>0</v>
      </c>
    </row>
    <row r="459" spans="1:11">
      <c r="A459" s="18"/>
      <c r="B459" s="19"/>
      <c r="C459" s="15"/>
      <c r="D459" s="15"/>
      <c r="E459" s="15"/>
      <c r="F459" s="17"/>
      <c r="G459" s="19"/>
      <c r="H459" s="20">
        <f>IF($A459="","",YEAR($A459))</f>
        <v>0</v>
      </c>
      <c r="I459" s="20">
        <f>IF($A459="","",MONTH($A459))</f>
        <v>0</v>
      </c>
      <c r="J459" s="21">
        <f>IF(OR($A459="",$F459=""),"",IF($B459="Entrada",$F459,-$F459))</f>
        <v>0</v>
      </c>
      <c r="K459" s="20">
        <f>IF($A459="","",IF(OR($B459="",$C459="",$F459="",$G459=""),"Preencher tudo",IF(IFERROR(INDEX(CatTipo,MATCH($C459,CatNome,0)),"")&lt;&gt;$B459,"Categoria x Tipo?","OK")))</f>
        <v>0</v>
      </c>
    </row>
    <row r="460" spans="1:11">
      <c r="A460" s="18"/>
      <c r="B460" s="19"/>
      <c r="C460" s="15"/>
      <c r="D460" s="15"/>
      <c r="E460" s="15"/>
      <c r="F460" s="17"/>
      <c r="G460" s="19"/>
      <c r="H460" s="20">
        <f>IF($A460="","",YEAR($A460))</f>
        <v>0</v>
      </c>
      <c r="I460" s="20">
        <f>IF($A460="","",MONTH($A460))</f>
        <v>0</v>
      </c>
      <c r="J460" s="21">
        <f>IF(OR($A460="",$F460=""),"",IF($B460="Entrada",$F460,-$F460))</f>
        <v>0</v>
      </c>
      <c r="K460" s="20">
        <f>IF($A460="","",IF(OR($B460="",$C460="",$F460="",$G460=""),"Preencher tudo",IF(IFERROR(INDEX(CatTipo,MATCH($C460,CatNome,0)),"")&lt;&gt;$B460,"Categoria x Tipo?","OK")))</f>
        <v>0</v>
      </c>
    </row>
    <row r="461" spans="1:11">
      <c r="A461" s="18"/>
      <c r="B461" s="19"/>
      <c r="C461" s="15"/>
      <c r="D461" s="15"/>
      <c r="E461" s="15"/>
      <c r="F461" s="17"/>
      <c r="G461" s="19"/>
      <c r="H461" s="20">
        <f>IF($A461="","",YEAR($A461))</f>
        <v>0</v>
      </c>
      <c r="I461" s="20">
        <f>IF($A461="","",MONTH($A461))</f>
        <v>0</v>
      </c>
      <c r="J461" s="21">
        <f>IF(OR($A461="",$F461=""),"",IF($B461="Entrada",$F461,-$F461))</f>
        <v>0</v>
      </c>
      <c r="K461" s="20">
        <f>IF($A461="","",IF(OR($B461="",$C461="",$F461="",$G461=""),"Preencher tudo",IF(IFERROR(INDEX(CatTipo,MATCH($C461,CatNome,0)),"")&lt;&gt;$B461,"Categoria x Tipo?","OK")))</f>
        <v>0</v>
      </c>
    </row>
    <row r="462" spans="1:11">
      <c r="A462" s="18"/>
      <c r="B462" s="19"/>
      <c r="C462" s="15"/>
      <c r="D462" s="15"/>
      <c r="E462" s="15"/>
      <c r="F462" s="17"/>
      <c r="G462" s="19"/>
      <c r="H462" s="20">
        <f>IF($A462="","",YEAR($A462))</f>
        <v>0</v>
      </c>
      <c r="I462" s="20">
        <f>IF($A462="","",MONTH($A462))</f>
        <v>0</v>
      </c>
      <c r="J462" s="21">
        <f>IF(OR($A462="",$F462=""),"",IF($B462="Entrada",$F462,-$F462))</f>
        <v>0</v>
      </c>
      <c r="K462" s="20">
        <f>IF($A462="","",IF(OR($B462="",$C462="",$F462="",$G462=""),"Preencher tudo",IF(IFERROR(INDEX(CatTipo,MATCH($C462,CatNome,0)),"")&lt;&gt;$B462,"Categoria x Tipo?","OK")))</f>
        <v>0</v>
      </c>
    </row>
    <row r="463" spans="1:11">
      <c r="A463" s="18"/>
      <c r="B463" s="19"/>
      <c r="C463" s="15"/>
      <c r="D463" s="15"/>
      <c r="E463" s="15"/>
      <c r="F463" s="17"/>
      <c r="G463" s="19"/>
      <c r="H463" s="20">
        <f>IF($A463="","",YEAR($A463))</f>
        <v>0</v>
      </c>
      <c r="I463" s="20">
        <f>IF($A463="","",MONTH($A463))</f>
        <v>0</v>
      </c>
      <c r="J463" s="21">
        <f>IF(OR($A463="",$F463=""),"",IF($B463="Entrada",$F463,-$F463))</f>
        <v>0</v>
      </c>
      <c r="K463" s="20">
        <f>IF($A463="","",IF(OR($B463="",$C463="",$F463="",$G463=""),"Preencher tudo",IF(IFERROR(INDEX(CatTipo,MATCH($C463,CatNome,0)),"")&lt;&gt;$B463,"Categoria x Tipo?","OK")))</f>
        <v>0</v>
      </c>
    </row>
    <row r="464" spans="1:11">
      <c r="A464" s="18"/>
      <c r="B464" s="19"/>
      <c r="C464" s="15"/>
      <c r="D464" s="15"/>
      <c r="E464" s="15"/>
      <c r="F464" s="17"/>
      <c r="G464" s="19"/>
      <c r="H464" s="20">
        <f>IF($A464="","",YEAR($A464))</f>
        <v>0</v>
      </c>
      <c r="I464" s="20">
        <f>IF($A464="","",MONTH($A464))</f>
        <v>0</v>
      </c>
      <c r="J464" s="21">
        <f>IF(OR($A464="",$F464=""),"",IF($B464="Entrada",$F464,-$F464))</f>
        <v>0</v>
      </c>
      <c r="K464" s="20">
        <f>IF($A464="","",IF(OR($B464="",$C464="",$F464="",$G464=""),"Preencher tudo",IF(IFERROR(INDEX(CatTipo,MATCH($C464,CatNome,0)),"")&lt;&gt;$B464,"Categoria x Tipo?","OK")))</f>
        <v>0</v>
      </c>
    </row>
    <row r="465" spans="1:11">
      <c r="A465" s="18"/>
      <c r="B465" s="19"/>
      <c r="C465" s="15"/>
      <c r="D465" s="15"/>
      <c r="E465" s="15"/>
      <c r="F465" s="17"/>
      <c r="G465" s="19"/>
      <c r="H465" s="20">
        <f>IF($A465="","",YEAR($A465))</f>
        <v>0</v>
      </c>
      <c r="I465" s="20">
        <f>IF($A465="","",MONTH($A465))</f>
        <v>0</v>
      </c>
      <c r="J465" s="21">
        <f>IF(OR($A465="",$F465=""),"",IF($B465="Entrada",$F465,-$F465))</f>
        <v>0</v>
      </c>
      <c r="K465" s="20">
        <f>IF($A465="","",IF(OR($B465="",$C465="",$F465="",$G465=""),"Preencher tudo",IF(IFERROR(INDEX(CatTipo,MATCH($C465,CatNome,0)),"")&lt;&gt;$B465,"Categoria x Tipo?","OK")))</f>
        <v>0</v>
      </c>
    </row>
    <row r="466" spans="1:11">
      <c r="A466" s="18"/>
      <c r="B466" s="19"/>
      <c r="C466" s="15"/>
      <c r="D466" s="15"/>
      <c r="E466" s="15"/>
      <c r="F466" s="17"/>
      <c r="G466" s="19"/>
      <c r="H466" s="20">
        <f>IF($A466="","",YEAR($A466))</f>
        <v>0</v>
      </c>
      <c r="I466" s="20">
        <f>IF($A466="","",MONTH($A466))</f>
        <v>0</v>
      </c>
      <c r="J466" s="21">
        <f>IF(OR($A466="",$F466=""),"",IF($B466="Entrada",$F466,-$F466))</f>
        <v>0</v>
      </c>
      <c r="K466" s="20">
        <f>IF($A466="","",IF(OR($B466="",$C466="",$F466="",$G466=""),"Preencher tudo",IF(IFERROR(INDEX(CatTipo,MATCH($C466,CatNome,0)),"")&lt;&gt;$B466,"Categoria x Tipo?","OK")))</f>
        <v>0</v>
      </c>
    </row>
    <row r="467" spans="1:11">
      <c r="A467" s="18"/>
      <c r="B467" s="19"/>
      <c r="C467" s="15"/>
      <c r="D467" s="15"/>
      <c r="E467" s="15"/>
      <c r="F467" s="17"/>
      <c r="G467" s="19"/>
      <c r="H467" s="20">
        <f>IF($A467="","",YEAR($A467))</f>
        <v>0</v>
      </c>
      <c r="I467" s="20">
        <f>IF($A467="","",MONTH($A467))</f>
        <v>0</v>
      </c>
      <c r="J467" s="21">
        <f>IF(OR($A467="",$F467=""),"",IF($B467="Entrada",$F467,-$F467))</f>
        <v>0</v>
      </c>
      <c r="K467" s="20">
        <f>IF($A467="","",IF(OR($B467="",$C467="",$F467="",$G467=""),"Preencher tudo",IF(IFERROR(INDEX(CatTipo,MATCH($C467,CatNome,0)),"")&lt;&gt;$B467,"Categoria x Tipo?","OK")))</f>
        <v>0</v>
      </c>
    </row>
    <row r="468" spans="1:11">
      <c r="A468" s="18"/>
      <c r="B468" s="19"/>
      <c r="C468" s="15"/>
      <c r="D468" s="15"/>
      <c r="E468" s="15"/>
      <c r="F468" s="17"/>
      <c r="G468" s="19"/>
      <c r="H468" s="20">
        <f>IF($A468="","",YEAR($A468))</f>
        <v>0</v>
      </c>
      <c r="I468" s="20">
        <f>IF($A468="","",MONTH($A468))</f>
        <v>0</v>
      </c>
      <c r="J468" s="21">
        <f>IF(OR($A468="",$F468=""),"",IF($B468="Entrada",$F468,-$F468))</f>
        <v>0</v>
      </c>
      <c r="K468" s="20">
        <f>IF($A468="","",IF(OR($B468="",$C468="",$F468="",$G468=""),"Preencher tudo",IF(IFERROR(INDEX(CatTipo,MATCH($C468,CatNome,0)),"")&lt;&gt;$B468,"Categoria x Tipo?","OK")))</f>
        <v>0</v>
      </c>
    </row>
    <row r="469" spans="1:11">
      <c r="A469" s="18"/>
      <c r="B469" s="19"/>
      <c r="C469" s="15"/>
      <c r="D469" s="15"/>
      <c r="E469" s="15"/>
      <c r="F469" s="17"/>
      <c r="G469" s="19"/>
      <c r="H469" s="20">
        <f>IF($A469="","",YEAR($A469))</f>
        <v>0</v>
      </c>
      <c r="I469" s="20">
        <f>IF($A469="","",MONTH($A469))</f>
        <v>0</v>
      </c>
      <c r="J469" s="21">
        <f>IF(OR($A469="",$F469=""),"",IF($B469="Entrada",$F469,-$F469))</f>
        <v>0</v>
      </c>
      <c r="K469" s="20">
        <f>IF($A469="","",IF(OR($B469="",$C469="",$F469="",$G469=""),"Preencher tudo",IF(IFERROR(INDEX(CatTipo,MATCH($C469,CatNome,0)),"")&lt;&gt;$B469,"Categoria x Tipo?","OK")))</f>
        <v>0</v>
      </c>
    </row>
    <row r="470" spans="1:11">
      <c r="A470" s="18"/>
      <c r="B470" s="19"/>
      <c r="C470" s="15"/>
      <c r="D470" s="15"/>
      <c r="E470" s="15"/>
      <c r="F470" s="17"/>
      <c r="G470" s="19"/>
      <c r="H470" s="20">
        <f>IF($A470="","",YEAR($A470))</f>
        <v>0</v>
      </c>
      <c r="I470" s="20">
        <f>IF($A470="","",MONTH($A470))</f>
        <v>0</v>
      </c>
      <c r="J470" s="21">
        <f>IF(OR($A470="",$F470=""),"",IF($B470="Entrada",$F470,-$F470))</f>
        <v>0</v>
      </c>
      <c r="K470" s="20">
        <f>IF($A470="","",IF(OR($B470="",$C470="",$F470="",$G470=""),"Preencher tudo",IF(IFERROR(INDEX(CatTipo,MATCH($C470,CatNome,0)),"")&lt;&gt;$B470,"Categoria x Tipo?","OK")))</f>
        <v>0</v>
      </c>
    </row>
    <row r="471" spans="1:11">
      <c r="A471" s="18"/>
      <c r="B471" s="19"/>
      <c r="C471" s="15"/>
      <c r="D471" s="15"/>
      <c r="E471" s="15"/>
      <c r="F471" s="17"/>
      <c r="G471" s="19"/>
      <c r="H471" s="20">
        <f>IF($A471="","",YEAR($A471))</f>
        <v>0</v>
      </c>
      <c r="I471" s="20">
        <f>IF($A471="","",MONTH($A471))</f>
        <v>0</v>
      </c>
      <c r="J471" s="21">
        <f>IF(OR($A471="",$F471=""),"",IF($B471="Entrada",$F471,-$F471))</f>
        <v>0</v>
      </c>
      <c r="K471" s="20">
        <f>IF($A471="","",IF(OR($B471="",$C471="",$F471="",$G471=""),"Preencher tudo",IF(IFERROR(INDEX(CatTipo,MATCH($C471,CatNome,0)),"")&lt;&gt;$B471,"Categoria x Tipo?","OK")))</f>
        <v>0</v>
      </c>
    </row>
    <row r="472" spans="1:11">
      <c r="A472" s="18"/>
      <c r="B472" s="19"/>
      <c r="C472" s="15"/>
      <c r="D472" s="15"/>
      <c r="E472" s="15"/>
      <c r="F472" s="17"/>
      <c r="G472" s="19"/>
      <c r="H472" s="20">
        <f>IF($A472="","",YEAR($A472))</f>
        <v>0</v>
      </c>
      <c r="I472" s="20">
        <f>IF($A472="","",MONTH($A472))</f>
        <v>0</v>
      </c>
      <c r="J472" s="21">
        <f>IF(OR($A472="",$F472=""),"",IF($B472="Entrada",$F472,-$F472))</f>
        <v>0</v>
      </c>
      <c r="K472" s="20">
        <f>IF($A472="","",IF(OR($B472="",$C472="",$F472="",$G472=""),"Preencher tudo",IF(IFERROR(INDEX(CatTipo,MATCH($C472,CatNome,0)),"")&lt;&gt;$B472,"Categoria x Tipo?","OK")))</f>
        <v>0</v>
      </c>
    </row>
    <row r="473" spans="1:11">
      <c r="A473" s="18"/>
      <c r="B473" s="19"/>
      <c r="C473" s="15"/>
      <c r="D473" s="15"/>
      <c r="E473" s="15"/>
      <c r="F473" s="17"/>
      <c r="G473" s="19"/>
      <c r="H473" s="20">
        <f>IF($A473="","",YEAR($A473))</f>
        <v>0</v>
      </c>
      <c r="I473" s="20">
        <f>IF($A473="","",MONTH($A473))</f>
        <v>0</v>
      </c>
      <c r="J473" s="21">
        <f>IF(OR($A473="",$F473=""),"",IF($B473="Entrada",$F473,-$F473))</f>
        <v>0</v>
      </c>
      <c r="K473" s="20">
        <f>IF($A473="","",IF(OR($B473="",$C473="",$F473="",$G473=""),"Preencher tudo",IF(IFERROR(INDEX(CatTipo,MATCH($C473,CatNome,0)),"")&lt;&gt;$B473,"Categoria x Tipo?","OK")))</f>
        <v>0</v>
      </c>
    </row>
    <row r="474" spans="1:11">
      <c r="A474" s="18"/>
      <c r="B474" s="19"/>
      <c r="C474" s="15"/>
      <c r="D474" s="15"/>
      <c r="E474" s="15"/>
      <c r="F474" s="17"/>
      <c r="G474" s="19"/>
      <c r="H474" s="20">
        <f>IF($A474="","",YEAR($A474))</f>
        <v>0</v>
      </c>
      <c r="I474" s="20">
        <f>IF($A474="","",MONTH($A474))</f>
        <v>0</v>
      </c>
      <c r="J474" s="21">
        <f>IF(OR($A474="",$F474=""),"",IF($B474="Entrada",$F474,-$F474))</f>
        <v>0</v>
      </c>
      <c r="K474" s="20">
        <f>IF($A474="","",IF(OR($B474="",$C474="",$F474="",$G474=""),"Preencher tudo",IF(IFERROR(INDEX(CatTipo,MATCH($C474,CatNome,0)),"")&lt;&gt;$B474,"Categoria x Tipo?","OK")))</f>
        <v>0</v>
      </c>
    </row>
    <row r="475" spans="1:11">
      <c r="A475" s="18"/>
      <c r="B475" s="19"/>
      <c r="C475" s="15"/>
      <c r="D475" s="15"/>
      <c r="E475" s="15"/>
      <c r="F475" s="17"/>
      <c r="G475" s="19"/>
      <c r="H475" s="20">
        <f>IF($A475="","",YEAR($A475))</f>
        <v>0</v>
      </c>
      <c r="I475" s="20">
        <f>IF($A475="","",MONTH($A475))</f>
        <v>0</v>
      </c>
      <c r="J475" s="21">
        <f>IF(OR($A475="",$F475=""),"",IF($B475="Entrada",$F475,-$F475))</f>
        <v>0</v>
      </c>
      <c r="K475" s="20">
        <f>IF($A475="","",IF(OR($B475="",$C475="",$F475="",$G475=""),"Preencher tudo",IF(IFERROR(INDEX(CatTipo,MATCH($C475,CatNome,0)),"")&lt;&gt;$B475,"Categoria x Tipo?","OK")))</f>
        <v>0</v>
      </c>
    </row>
    <row r="476" spans="1:11">
      <c r="A476" s="18"/>
      <c r="B476" s="19"/>
      <c r="C476" s="15"/>
      <c r="D476" s="15"/>
      <c r="E476" s="15"/>
      <c r="F476" s="17"/>
      <c r="G476" s="19"/>
      <c r="H476" s="20">
        <f>IF($A476="","",YEAR($A476))</f>
        <v>0</v>
      </c>
      <c r="I476" s="20">
        <f>IF($A476="","",MONTH($A476))</f>
        <v>0</v>
      </c>
      <c r="J476" s="21">
        <f>IF(OR($A476="",$F476=""),"",IF($B476="Entrada",$F476,-$F476))</f>
        <v>0</v>
      </c>
      <c r="K476" s="20">
        <f>IF($A476="","",IF(OR($B476="",$C476="",$F476="",$G476=""),"Preencher tudo",IF(IFERROR(INDEX(CatTipo,MATCH($C476,CatNome,0)),"")&lt;&gt;$B476,"Categoria x Tipo?","OK")))</f>
        <v>0</v>
      </c>
    </row>
    <row r="477" spans="1:11">
      <c r="A477" s="18"/>
      <c r="B477" s="19"/>
      <c r="C477" s="15"/>
      <c r="D477" s="15"/>
      <c r="E477" s="15"/>
      <c r="F477" s="17"/>
      <c r="G477" s="19"/>
      <c r="H477" s="20">
        <f>IF($A477="","",YEAR($A477))</f>
        <v>0</v>
      </c>
      <c r="I477" s="20">
        <f>IF($A477="","",MONTH($A477))</f>
        <v>0</v>
      </c>
      <c r="J477" s="21">
        <f>IF(OR($A477="",$F477=""),"",IF($B477="Entrada",$F477,-$F477))</f>
        <v>0</v>
      </c>
      <c r="K477" s="20">
        <f>IF($A477="","",IF(OR($B477="",$C477="",$F477="",$G477=""),"Preencher tudo",IF(IFERROR(INDEX(CatTipo,MATCH($C477,CatNome,0)),"")&lt;&gt;$B477,"Categoria x Tipo?","OK")))</f>
        <v>0</v>
      </c>
    </row>
    <row r="478" spans="1:11">
      <c r="A478" s="18"/>
      <c r="B478" s="19"/>
      <c r="C478" s="15"/>
      <c r="D478" s="15"/>
      <c r="E478" s="15"/>
      <c r="F478" s="17"/>
      <c r="G478" s="19"/>
      <c r="H478" s="20">
        <f>IF($A478="","",YEAR($A478))</f>
        <v>0</v>
      </c>
      <c r="I478" s="20">
        <f>IF($A478="","",MONTH($A478))</f>
        <v>0</v>
      </c>
      <c r="J478" s="21">
        <f>IF(OR($A478="",$F478=""),"",IF($B478="Entrada",$F478,-$F478))</f>
        <v>0</v>
      </c>
      <c r="K478" s="20">
        <f>IF($A478="","",IF(OR($B478="",$C478="",$F478="",$G478=""),"Preencher tudo",IF(IFERROR(INDEX(CatTipo,MATCH($C478,CatNome,0)),"")&lt;&gt;$B478,"Categoria x Tipo?","OK")))</f>
        <v>0</v>
      </c>
    </row>
    <row r="479" spans="1:11">
      <c r="A479" s="18"/>
      <c r="B479" s="19"/>
      <c r="C479" s="15"/>
      <c r="D479" s="15"/>
      <c r="E479" s="15"/>
      <c r="F479" s="17"/>
      <c r="G479" s="19"/>
      <c r="H479" s="20">
        <f>IF($A479="","",YEAR($A479))</f>
        <v>0</v>
      </c>
      <c r="I479" s="20">
        <f>IF($A479="","",MONTH($A479))</f>
        <v>0</v>
      </c>
      <c r="J479" s="21">
        <f>IF(OR($A479="",$F479=""),"",IF($B479="Entrada",$F479,-$F479))</f>
        <v>0</v>
      </c>
      <c r="K479" s="20">
        <f>IF($A479="","",IF(OR($B479="",$C479="",$F479="",$G479=""),"Preencher tudo",IF(IFERROR(INDEX(CatTipo,MATCH($C479,CatNome,0)),"")&lt;&gt;$B479,"Categoria x Tipo?","OK")))</f>
        <v>0</v>
      </c>
    </row>
    <row r="480" spans="1:11">
      <c r="A480" s="18"/>
      <c r="B480" s="19"/>
      <c r="C480" s="15"/>
      <c r="D480" s="15"/>
      <c r="E480" s="15"/>
      <c r="F480" s="17"/>
      <c r="G480" s="19"/>
      <c r="H480" s="20">
        <f>IF($A480="","",YEAR($A480))</f>
        <v>0</v>
      </c>
      <c r="I480" s="20">
        <f>IF($A480="","",MONTH($A480))</f>
        <v>0</v>
      </c>
      <c r="J480" s="21">
        <f>IF(OR($A480="",$F480=""),"",IF($B480="Entrada",$F480,-$F480))</f>
        <v>0</v>
      </c>
      <c r="K480" s="20">
        <f>IF($A480="","",IF(OR($B480="",$C480="",$F480="",$G480=""),"Preencher tudo",IF(IFERROR(INDEX(CatTipo,MATCH($C480,CatNome,0)),"")&lt;&gt;$B480,"Categoria x Tipo?","OK")))</f>
        <v>0</v>
      </c>
    </row>
    <row r="481" spans="1:11">
      <c r="A481" s="18"/>
      <c r="B481" s="19"/>
      <c r="C481" s="15"/>
      <c r="D481" s="15"/>
      <c r="E481" s="15"/>
      <c r="F481" s="17"/>
      <c r="G481" s="19"/>
      <c r="H481" s="20">
        <f>IF($A481="","",YEAR($A481))</f>
        <v>0</v>
      </c>
      <c r="I481" s="20">
        <f>IF($A481="","",MONTH($A481))</f>
        <v>0</v>
      </c>
      <c r="J481" s="21">
        <f>IF(OR($A481="",$F481=""),"",IF($B481="Entrada",$F481,-$F481))</f>
        <v>0</v>
      </c>
      <c r="K481" s="20">
        <f>IF($A481="","",IF(OR($B481="",$C481="",$F481="",$G481=""),"Preencher tudo",IF(IFERROR(INDEX(CatTipo,MATCH($C481,CatNome,0)),"")&lt;&gt;$B481,"Categoria x Tipo?","OK")))</f>
        <v>0</v>
      </c>
    </row>
    <row r="482" spans="1:11">
      <c r="A482" s="18"/>
      <c r="B482" s="19"/>
      <c r="C482" s="15"/>
      <c r="D482" s="15"/>
      <c r="E482" s="15"/>
      <c r="F482" s="17"/>
      <c r="G482" s="19"/>
      <c r="H482" s="20">
        <f>IF($A482="","",YEAR($A482))</f>
        <v>0</v>
      </c>
      <c r="I482" s="20">
        <f>IF($A482="","",MONTH($A482))</f>
        <v>0</v>
      </c>
      <c r="J482" s="21">
        <f>IF(OR($A482="",$F482=""),"",IF($B482="Entrada",$F482,-$F482))</f>
        <v>0</v>
      </c>
      <c r="K482" s="20">
        <f>IF($A482="","",IF(OR($B482="",$C482="",$F482="",$G482=""),"Preencher tudo",IF(IFERROR(INDEX(CatTipo,MATCH($C482,CatNome,0)),"")&lt;&gt;$B482,"Categoria x Tipo?","OK")))</f>
        <v>0</v>
      </c>
    </row>
    <row r="483" spans="1:11">
      <c r="A483" s="18"/>
      <c r="B483" s="19"/>
      <c r="C483" s="15"/>
      <c r="D483" s="15"/>
      <c r="E483" s="15"/>
      <c r="F483" s="17"/>
      <c r="G483" s="19"/>
      <c r="H483" s="20">
        <f>IF($A483="","",YEAR($A483))</f>
        <v>0</v>
      </c>
      <c r="I483" s="20">
        <f>IF($A483="","",MONTH($A483))</f>
        <v>0</v>
      </c>
      <c r="J483" s="21">
        <f>IF(OR($A483="",$F483=""),"",IF($B483="Entrada",$F483,-$F483))</f>
        <v>0</v>
      </c>
      <c r="K483" s="20">
        <f>IF($A483="","",IF(OR($B483="",$C483="",$F483="",$G483=""),"Preencher tudo",IF(IFERROR(INDEX(CatTipo,MATCH($C483,CatNome,0)),"")&lt;&gt;$B483,"Categoria x Tipo?","OK")))</f>
        <v>0</v>
      </c>
    </row>
    <row r="484" spans="1:11">
      <c r="A484" s="18"/>
      <c r="B484" s="19"/>
      <c r="C484" s="15"/>
      <c r="D484" s="15"/>
      <c r="E484" s="15"/>
      <c r="F484" s="17"/>
      <c r="G484" s="19"/>
      <c r="H484" s="20">
        <f>IF($A484="","",YEAR($A484))</f>
        <v>0</v>
      </c>
      <c r="I484" s="20">
        <f>IF($A484="","",MONTH($A484))</f>
        <v>0</v>
      </c>
      <c r="J484" s="21">
        <f>IF(OR($A484="",$F484=""),"",IF($B484="Entrada",$F484,-$F484))</f>
        <v>0</v>
      </c>
      <c r="K484" s="20">
        <f>IF($A484="","",IF(OR($B484="",$C484="",$F484="",$G484=""),"Preencher tudo",IF(IFERROR(INDEX(CatTipo,MATCH($C484,CatNome,0)),"")&lt;&gt;$B484,"Categoria x Tipo?","OK")))</f>
        <v>0</v>
      </c>
    </row>
    <row r="485" spans="1:11">
      <c r="A485" s="18"/>
      <c r="B485" s="19"/>
      <c r="C485" s="15"/>
      <c r="D485" s="15"/>
      <c r="E485" s="15"/>
      <c r="F485" s="17"/>
      <c r="G485" s="19"/>
      <c r="H485" s="20">
        <f>IF($A485="","",YEAR($A485))</f>
        <v>0</v>
      </c>
      <c r="I485" s="20">
        <f>IF($A485="","",MONTH($A485))</f>
        <v>0</v>
      </c>
      <c r="J485" s="21">
        <f>IF(OR($A485="",$F485=""),"",IF($B485="Entrada",$F485,-$F485))</f>
        <v>0</v>
      </c>
      <c r="K485" s="20">
        <f>IF($A485="","",IF(OR($B485="",$C485="",$F485="",$G485=""),"Preencher tudo",IF(IFERROR(INDEX(CatTipo,MATCH($C485,CatNome,0)),"")&lt;&gt;$B485,"Categoria x Tipo?","OK")))</f>
        <v>0</v>
      </c>
    </row>
    <row r="486" spans="1:11">
      <c r="A486" s="18"/>
      <c r="B486" s="19"/>
      <c r="C486" s="15"/>
      <c r="D486" s="15"/>
      <c r="E486" s="15"/>
      <c r="F486" s="17"/>
      <c r="G486" s="19"/>
      <c r="H486" s="20">
        <f>IF($A486="","",YEAR($A486))</f>
        <v>0</v>
      </c>
      <c r="I486" s="20">
        <f>IF($A486="","",MONTH($A486))</f>
        <v>0</v>
      </c>
      <c r="J486" s="21">
        <f>IF(OR($A486="",$F486=""),"",IF($B486="Entrada",$F486,-$F486))</f>
        <v>0</v>
      </c>
      <c r="K486" s="20">
        <f>IF($A486="","",IF(OR($B486="",$C486="",$F486="",$G486=""),"Preencher tudo",IF(IFERROR(INDEX(CatTipo,MATCH($C486,CatNome,0)),"")&lt;&gt;$B486,"Categoria x Tipo?","OK")))</f>
        <v>0</v>
      </c>
    </row>
    <row r="487" spans="1:11">
      <c r="A487" s="18"/>
      <c r="B487" s="19"/>
      <c r="C487" s="15"/>
      <c r="D487" s="15"/>
      <c r="E487" s="15"/>
      <c r="F487" s="17"/>
      <c r="G487" s="19"/>
      <c r="H487" s="20">
        <f>IF($A487="","",YEAR($A487))</f>
        <v>0</v>
      </c>
      <c r="I487" s="20">
        <f>IF($A487="","",MONTH($A487))</f>
        <v>0</v>
      </c>
      <c r="J487" s="21">
        <f>IF(OR($A487="",$F487=""),"",IF($B487="Entrada",$F487,-$F487))</f>
        <v>0</v>
      </c>
      <c r="K487" s="20">
        <f>IF($A487="","",IF(OR($B487="",$C487="",$F487="",$G487=""),"Preencher tudo",IF(IFERROR(INDEX(CatTipo,MATCH($C487,CatNome,0)),"")&lt;&gt;$B487,"Categoria x Tipo?","OK")))</f>
        <v>0</v>
      </c>
    </row>
    <row r="488" spans="1:11">
      <c r="A488" s="18"/>
      <c r="B488" s="19"/>
      <c r="C488" s="15"/>
      <c r="D488" s="15"/>
      <c r="E488" s="15"/>
      <c r="F488" s="17"/>
      <c r="G488" s="19"/>
      <c r="H488" s="20">
        <f>IF($A488="","",YEAR($A488))</f>
        <v>0</v>
      </c>
      <c r="I488" s="20">
        <f>IF($A488="","",MONTH($A488))</f>
        <v>0</v>
      </c>
      <c r="J488" s="21">
        <f>IF(OR($A488="",$F488=""),"",IF($B488="Entrada",$F488,-$F488))</f>
        <v>0</v>
      </c>
      <c r="K488" s="20">
        <f>IF($A488="","",IF(OR($B488="",$C488="",$F488="",$G488=""),"Preencher tudo",IF(IFERROR(INDEX(CatTipo,MATCH($C488,CatNome,0)),"")&lt;&gt;$B488,"Categoria x Tipo?","OK")))</f>
        <v>0</v>
      </c>
    </row>
    <row r="489" spans="1:11">
      <c r="A489" s="18"/>
      <c r="B489" s="19"/>
      <c r="C489" s="15"/>
      <c r="D489" s="15"/>
      <c r="E489" s="15"/>
      <c r="F489" s="17"/>
      <c r="G489" s="19"/>
      <c r="H489" s="20">
        <f>IF($A489="","",YEAR($A489))</f>
        <v>0</v>
      </c>
      <c r="I489" s="20">
        <f>IF($A489="","",MONTH($A489))</f>
        <v>0</v>
      </c>
      <c r="J489" s="21">
        <f>IF(OR($A489="",$F489=""),"",IF($B489="Entrada",$F489,-$F489))</f>
        <v>0</v>
      </c>
      <c r="K489" s="20">
        <f>IF($A489="","",IF(OR($B489="",$C489="",$F489="",$G489=""),"Preencher tudo",IF(IFERROR(INDEX(CatTipo,MATCH($C489,CatNome,0)),"")&lt;&gt;$B489,"Categoria x Tipo?","OK")))</f>
        <v>0</v>
      </c>
    </row>
    <row r="490" spans="1:11">
      <c r="A490" s="18"/>
      <c r="B490" s="19"/>
      <c r="C490" s="15"/>
      <c r="D490" s="15"/>
      <c r="E490" s="15"/>
      <c r="F490" s="17"/>
      <c r="G490" s="19"/>
      <c r="H490" s="20">
        <f>IF($A490="","",YEAR($A490))</f>
        <v>0</v>
      </c>
      <c r="I490" s="20">
        <f>IF($A490="","",MONTH($A490))</f>
        <v>0</v>
      </c>
      <c r="J490" s="21">
        <f>IF(OR($A490="",$F490=""),"",IF($B490="Entrada",$F490,-$F490))</f>
        <v>0</v>
      </c>
      <c r="K490" s="20">
        <f>IF($A490="","",IF(OR($B490="",$C490="",$F490="",$G490=""),"Preencher tudo",IF(IFERROR(INDEX(CatTipo,MATCH($C490,CatNome,0)),"")&lt;&gt;$B490,"Categoria x Tipo?","OK")))</f>
        <v>0</v>
      </c>
    </row>
    <row r="491" spans="1:11">
      <c r="A491" s="18"/>
      <c r="B491" s="19"/>
      <c r="C491" s="15"/>
      <c r="D491" s="15"/>
      <c r="E491" s="15"/>
      <c r="F491" s="17"/>
      <c r="G491" s="19"/>
      <c r="H491" s="20">
        <f>IF($A491="","",YEAR($A491))</f>
        <v>0</v>
      </c>
      <c r="I491" s="20">
        <f>IF($A491="","",MONTH($A491))</f>
        <v>0</v>
      </c>
      <c r="J491" s="21">
        <f>IF(OR($A491="",$F491=""),"",IF($B491="Entrada",$F491,-$F491))</f>
        <v>0</v>
      </c>
      <c r="K491" s="20">
        <f>IF($A491="","",IF(OR($B491="",$C491="",$F491="",$G491=""),"Preencher tudo",IF(IFERROR(INDEX(CatTipo,MATCH($C491,CatNome,0)),"")&lt;&gt;$B491,"Categoria x Tipo?","OK")))</f>
        <v>0</v>
      </c>
    </row>
    <row r="492" spans="1:11">
      <c r="A492" s="18"/>
      <c r="B492" s="19"/>
      <c r="C492" s="15"/>
      <c r="D492" s="15"/>
      <c r="E492" s="15"/>
      <c r="F492" s="17"/>
      <c r="G492" s="19"/>
      <c r="H492" s="20">
        <f>IF($A492="","",YEAR($A492))</f>
        <v>0</v>
      </c>
      <c r="I492" s="20">
        <f>IF($A492="","",MONTH($A492))</f>
        <v>0</v>
      </c>
      <c r="J492" s="21">
        <f>IF(OR($A492="",$F492=""),"",IF($B492="Entrada",$F492,-$F492))</f>
        <v>0</v>
      </c>
      <c r="K492" s="20">
        <f>IF($A492="","",IF(OR($B492="",$C492="",$F492="",$G492=""),"Preencher tudo",IF(IFERROR(INDEX(CatTipo,MATCH($C492,CatNome,0)),"")&lt;&gt;$B492,"Categoria x Tipo?","OK")))</f>
        <v>0</v>
      </c>
    </row>
    <row r="493" spans="1:11">
      <c r="A493" s="18"/>
      <c r="B493" s="19"/>
      <c r="C493" s="15"/>
      <c r="D493" s="15"/>
      <c r="E493" s="15"/>
      <c r="F493" s="17"/>
      <c r="G493" s="19"/>
      <c r="H493" s="20">
        <f>IF($A493="","",YEAR($A493))</f>
        <v>0</v>
      </c>
      <c r="I493" s="20">
        <f>IF($A493="","",MONTH($A493))</f>
        <v>0</v>
      </c>
      <c r="J493" s="21">
        <f>IF(OR($A493="",$F493=""),"",IF($B493="Entrada",$F493,-$F493))</f>
        <v>0</v>
      </c>
      <c r="K493" s="20">
        <f>IF($A493="","",IF(OR($B493="",$C493="",$F493="",$G493=""),"Preencher tudo",IF(IFERROR(INDEX(CatTipo,MATCH($C493,CatNome,0)),"")&lt;&gt;$B493,"Categoria x Tipo?","OK")))</f>
        <v>0</v>
      </c>
    </row>
    <row r="494" spans="1:11">
      <c r="A494" s="18"/>
      <c r="B494" s="19"/>
      <c r="C494" s="15"/>
      <c r="D494" s="15"/>
      <c r="E494" s="15"/>
      <c r="F494" s="17"/>
      <c r="G494" s="19"/>
      <c r="H494" s="20">
        <f>IF($A494="","",YEAR($A494))</f>
        <v>0</v>
      </c>
      <c r="I494" s="20">
        <f>IF($A494="","",MONTH($A494))</f>
        <v>0</v>
      </c>
      <c r="J494" s="21">
        <f>IF(OR($A494="",$F494=""),"",IF($B494="Entrada",$F494,-$F494))</f>
        <v>0</v>
      </c>
      <c r="K494" s="20">
        <f>IF($A494="","",IF(OR($B494="",$C494="",$F494="",$G494=""),"Preencher tudo",IF(IFERROR(INDEX(CatTipo,MATCH($C494,CatNome,0)),"")&lt;&gt;$B494,"Categoria x Tipo?","OK")))</f>
        <v>0</v>
      </c>
    </row>
    <row r="495" spans="1:11">
      <c r="A495" s="18"/>
      <c r="B495" s="19"/>
      <c r="C495" s="15"/>
      <c r="D495" s="15"/>
      <c r="E495" s="15"/>
      <c r="F495" s="17"/>
      <c r="G495" s="19"/>
      <c r="H495" s="20">
        <f>IF($A495="","",YEAR($A495))</f>
        <v>0</v>
      </c>
      <c r="I495" s="20">
        <f>IF($A495="","",MONTH($A495))</f>
        <v>0</v>
      </c>
      <c r="J495" s="21">
        <f>IF(OR($A495="",$F495=""),"",IF($B495="Entrada",$F495,-$F495))</f>
        <v>0</v>
      </c>
      <c r="K495" s="20">
        <f>IF($A495="","",IF(OR($B495="",$C495="",$F495="",$G495=""),"Preencher tudo",IF(IFERROR(INDEX(CatTipo,MATCH($C495,CatNome,0)),"")&lt;&gt;$B495,"Categoria x Tipo?","OK")))</f>
        <v>0</v>
      </c>
    </row>
    <row r="496" spans="1:11">
      <c r="A496" s="18"/>
      <c r="B496" s="19"/>
      <c r="C496" s="15"/>
      <c r="D496" s="15"/>
      <c r="E496" s="15"/>
      <c r="F496" s="17"/>
      <c r="G496" s="19"/>
      <c r="H496" s="20">
        <f>IF($A496="","",YEAR($A496))</f>
        <v>0</v>
      </c>
      <c r="I496" s="20">
        <f>IF($A496="","",MONTH($A496))</f>
        <v>0</v>
      </c>
      <c r="J496" s="21">
        <f>IF(OR($A496="",$F496=""),"",IF($B496="Entrada",$F496,-$F496))</f>
        <v>0</v>
      </c>
      <c r="K496" s="20">
        <f>IF($A496="","",IF(OR($B496="",$C496="",$F496="",$G496=""),"Preencher tudo",IF(IFERROR(INDEX(CatTipo,MATCH($C496,CatNome,0)),"")&lt;&gt;$B496,"Categoria x Tipo?","OK")))</f>
        <v>0</v>
      </c>
    </row>
    <row r="497" spans="1:11">
      <c r="A497" s="18"/>
      <c r="B497" s="19"/>
      <c r="C497" s="15"/>
      <c r="D497" s="15"/>
      <c r="E497" s="15"/>
      <c r="F497" s="17"/>
      <c r="G497" s="19"/>
      <c r="H497" s="20">
        <f>IF($A497="","",YEAR($A497))</f>
        <v>0</v>
      </c>
      <c r="I497" s="20">
        <f>IF($A497="","",MONTH($A497))</f>
        <v>0</v>
      </c>
      <c r="J497" s="21">
        <f>IF(OR($A497="",$F497=""),"",IF($B497="Entrada",$F497,-$F497))</f>
        <v>0</v>
      </c>
      <c r="K497" s="20">
        <f>IF($A497="","",IF(OR($B497="",$C497="",$F497="",$G497=""),"Preencher tudo",IF(IFERROR(INDEX(CatTipo,MATCH($C497,CatNome,0)),"")&lt;&gt;$B497,"Categoria x Tipo?","OK")))</f>
        <v>0</v>
      </c>
    </row>
    <row r="498" spans="1:11">
      <c r="A498" s="18"/>
      <c r="B498" s="19"/>
      <c r="C498" s="15"/>
      <c r="D498" s="15"/>
      <c r="E498" s="15"/>
      <c r="F498" s="17"/>
      <c r="G498" s="19"/>
      <c r="H498" s="20">
        <f>IF($A498="","",YEAR($A498))</f>
        <v>0</v>
      </c>
      <c r="I498" s="20">
        <f>IF($A498="","",MONTH($A498))</f>
        <v>0</v>
      </c>
      <c r="J498" s="21">
        <f>IF(OR($A498="",$F498=""),"",IF($B498="Entrada",$F498,-$F498))</f>
        <v>0</v>
      </c>
      <c r="K498" s="20">
        <f>IF($A498="","",IF(OR($B498="",$C498="",$F498="",$G498=""),"Preencher tudo",IF(IFERROR(INDEX(CatTipo,MATCH($C498,CatNome,0)),"")&lt;&gt;$B498,"Categoria x Tipo?","OK")))</f>
        <v>0</v>
      </c>
    </row>
    <row r="499" spans="1:11">
      <c r="A499" s="18"/>
      <c r="B499" s="19"/>
      <c r="C499" s="15"/>
      <c r="D499" s="15"/>
      <c r="E499" s="15"/>
      <c r="F499" s="17"/>
      <c r="G499" s="19"/>
      <c r="H499" s="20">
        <f>IF($A499="","",YEAR($A499))</f>
        <v>0</v>
      </c>
      <c r="I499" s="20">
        <f>IF($A499="","",MONTH($A499))</f>
        <v>0</v>
      </c>
      <c r="J499" s="21">
        <f>IF(OR($A499="",$F499=""),"",IF($B499="Entrada",$F499,-$F499))</f>
        <v>0</v>
      </c>
      <c r="K499" s="20">
        <f>IF($A499="","",IF(OR($B499="",$C499="",$F499="",$G499=""),"Preencher tudo",IF(IFERROR(INDEX(CatTipo,MATCH($C499,CatNome,0)),"")&lt;&gt;$B499,"Categoria x Tipo?","OK")))</f>
        <v>0</v>
      </c>
    </row>
    <row r="500" spans="1:11">
      <c r="A500" s="18"/>
      <c r="B500" s="19"/>
      <c r="C500" s="15"/>
      <c r="D500" s="15"/>
      <c r="E500" s="15"/>
      <c r="F500" s="17"/>
      <c r="G500" s="19"/>
      <c r="H500" s="20">
        <f>IF($A500="","",YEAR($A500))</f>
        <v>0</v>
      </c>
      <c r="I500" s="20">
        <f>IF($A500="","",MONTH($A500))</f>
        <v>0</v>
      </c>
      <c r="J500" s="21">
        <f>IF(OR($A500="",$F500=""),"",IF($B500="Entrada",$F500,-$F500))</f>
        <v>0</v>
      </c>
      <c r="K500" s="20">
        <f>IF($A500="","",IF(OR($B500="",$C500="",$F500="",$G500=""),"Preencher tudo",IF(IFERROR(INDEX(CatTipo,MATCH($C500,CatNome,0)),"")&lt;&gt;$B500,"Categoria x Tipo?","OK")))</f>
        <v>0</v>
      </c>
    </row>
    <row r="501" spans="1:11">
      <c r="A501" s="18"/>
      <c r="B501" s="19"/>
      <c r="C501" s="15"/>
      <c r="D501" s="15"/>
      <c r="E501" s="15"/>
      <c r="F501" s="17"/>
      <c r="G501" s="19"/>
      <c r="H501" s="20">
        <f>IF($A501="","",YEAR($A501))</f>
        <v>0</v>
      </c>
      <c r="I501" s="20">
        <f>IF($A501="","",MONTH($A501))</f>
        <v>0</v>
      </c>
      <c r="J501" s="21">
        <f>IF(OR($A501="",$F501=""),"",IF($B501="Entrada",$F501,-$F501))</f>
        <v>0</v>
      </c>
      <c r="K501" s="20">
        <f>IF($A501="","",IF(OR($B501="",$C501="",$F501="",$G501=""),"Preencher tudo",IF(IFERROR(INDEX(CatTipo,MATCH($C501,CatNome,0)),"")&lt;&gt;$B501,"Categoria x Tipo?","OK")))</f>
        <v>0</v>
      </c>
    </row>
    <row r="502" spans="1:11">
      <c r="A502" s="18"/>
      <c r="B502" s="19"/>
      <c r="C502" s="15"/>
      <c r="D502" s="15"/>
      <c r="E502" s="15"/>
      <c r="F502" s="17"/>
      <c r="G502" s="19"/>
      <c r="H502" s="20">
        <f>IF($A502="","",YEAR($A502))</f>
        <v>0</v>
      </c>
      <c r="I502" s="20">
        <f>IF($A502="","",MONTH($A502))</f>
        <v>0</v>
      </c>
      <c r="J502" s="21">
        <f>IF(OR($A502="",$F502=""),"",IF($B502="Entrada",$F502,-$F502))</f>
        <v>0</v>
      </c>
      <c r="K502" s="20">
        <f>IF($A502="","",IF(OR($B502="",$C502="",$F502="",$G502=""),"Preencher tudo",IF(IFERROR(INDEX(CatTipo,MATCH($C502,CatNome,0)),"")&lt;&gt;$B502,"Categoria x Tipo?","OK")))</f>
        <v>0</v>
      </c>
    </row>
    <row r="503" spans="1:11">
      <c r="A503" s="18"/>
      <c r="B503" s="19"/>
      <c r="C503" s="15"/>
      <c r="D503" s="15"/>
      <c r="E503" s="15"/>
      <c r="F503" s="17"/>
      <c r="G503" s="19"/>
      <c r="H503" s="20">
        <f>IF($A503="","",YEAR($A503))</f>
        <v>0</v>
      </c>
      <c r="I503" s="20">
        <f>IF($A503="","",MONTH($A503))</f>
        <v>0</v>
      </c>
      <c r="J503" s="21">
        <f>IF(OR($A503="",$F503=""),"",IF($B503="Entrada",$F503,-$F503))</f>
        <v>0</v>
      </c>
      <c r="K503" s="20">
        <f>IF($A503="","",IF(OR($B503="",$C503="",$F503="",$G503=""),"Preencher tudo",IF(IFERROR(INDEX(CatTipo,MATCH($C503,CatNome,0)),"")&lt;&gt;$B503,"Categoria x Tipo?","OK")))</f>
        <v>0</v>
      </c>
    </row>
    <row r="504" spans="1:11">
      <c r="A504" s="18"/>
      <c r="B504" s="19"/>
      <c r="C504" s="15"/>
      <c r="D504" s="15"/>
      <c r="E504" s="15"/>
      <c r="F504" s="17"/>
      <c r="G504" s="19"/>
      <c r="H504" s="20">
        <f>IF($A504="","",YEAR($A504))</f>
        <v>0</v>
      </c>
      <c r="I504" s="20">
        <f>IF($A504="","",MONTH($A504))</f>
        <v>0</v>
      </c>
      <c r="J504" s="21">
        <f>IF(OR($A504="",$F504=""),"",IF($B504="Entrada",$F504,-$F504))</f>
        <v>0</v>
      </c>
      <c r="K504" s="20">
        <f>IF($A504="","",IF(OR($B504="",$C504="",$F504="",$G504=""),"Preencher tudo",IF(IFERROR(INDEX(CatTipo,MATCH($C504,CatNome,0)),"")&lt;&gt;$B504,"Categoria x Tipo?","OK")))</f>
        <v>0</v>
      </c>
    </row>
    <row r="505" spans="1:11">
      <c r="A505" s="18"/>
      <c r="B505" s="19"/>
      <c r="C505" s="15"/>
      <c r="D505" s="15"/>
      <c r="E505" s="15"/>
      <c r="F505" s="17"/>
      <c r="G505" s="19"/>
      <c r="H505" s="20">
        <f>IF($A505="","",YEAR($A505))</f>
        <v>0</v>
      </c>
      <c r="I505" s="20">
        <f>IF($A505="","",MONTH($A505))</f>
        <v>0</v>
      </c>
      <c r="J505" s="21">
        <f>IF(OR($A505="",$F505=""),"",IF($B505="Entrada",$F505,-$F505))</f>
        <v>0</v>
      </c>
      <c r="K505" s="20">
        <f>IF($A505="","",IF(OR($B505="",$C505="",$F505="",$G505=""),"Preencher tudo",IF(IFERROR(INDEX(CatTipo,MATCH($C505,CatNome,0)),"")&lt;&gt;$B505,"Categoria x Tipo?","OK")))</f>
        <v>0</v>
      </c>
    </row>
    <row r="506" spans="1:11">
      <c r="A506" s="18"/>
      <c r="B506" s="19"/>
      <c r="C506" s="15"/>
      <c r="D506" s="15"/>
      <c r="E506" s="15"/>
      <c r="F506" s="17"/>
      <c r="G506" s="19"/>
      <c r="H506" s="20">
        <f>IF($A506="","",YEAR($A506))</f>
        <v>0</v>
      </c>
      <c r="I506" s="20">
        <f>IF($A506="","",MONTH($A506))</f>
        <v>0</v>
      </c>
      <c r="J506" s="21">
        <f>IF(OR($A506="",$F506=""),"",IF($B506="Entrada",$F506,-$F506))</f>
        <v>0</v>
      </c>
      <c r="K506" s="20">
        <f>IF($A506="","",IF(OR($B506="",$C506="",$F506="",$G506=""),"Preencher tudo",IF(IFERROR(INDEX(CatTipo,MATCH($C506,CatNome,0)),"")&lt;&gt;$B506,"Categoria x Tipo?","OK")))</f>
        <v>0</v>
      </c>
    </row>
    <row r="507" spans="1:11">
      <c r="A507" s="18"/>
      <c r="B507" s="19"/>
      <c r="C507" s="15"/>
      <c r="D507" s="15"/>
      <c r="E507" s="15"/>
      <c r="F507" s="17"/>
      <c r="G507" s="19"/>
      <c r="H507" s="20">
        <f>IF($A507="","",YEAR($A507))</f>
        <v>0</v>
      </c>
      <c r="I507" s="20">
        <f>IF($A507="","",MONTH($A507))</f>
        <v>0</v>
      </c>
      <c r="J507" s="21">
        <f>IF(OR($A507="",$F507=""),"",IF($B507="Entrada",$F507,-$F507))</f>
        <v>0</v>
      </c>
      <c r="K507" s="20">
        <f>IF($A507="","",IF(OR($B507="",$C507="",$F507="",$G507=""),"Preencher tudo",IF(IFERROR(INDEX(CatTipo,MATCH($C507,CatNome,0)),"")&lt;&gt;$B507,"Categoria x Tipo?","OK")))</f>
        <v>0</v>
      </c>
    </row>
    <row r="508" spans="1:11">
      <c r="A508" s="18"/>
      <c r="B508" s="19"/>
      <c r="C508" s="15"/>
      <c r="D508" s="15"/>
      <c r="E508" s="15"/>
      <c r="F508" s="17"/>
      <c r="G508" s="19"/>
      <c r="H508" s="20">
        <f>IF($A508="","",YEAR($A508))</f>
        <v>0</v>
      </c>
      <c r="I508" s="20">
        <f>IF($A508="","",MONTH($A508))</f>
        <v>0</v>
      </c>
      <c r="J508" s="21">
        <f>IF(OR($A508="",$F508=""),"",IF($B508="Entrada",$F508,-$F508))</f>
        <v>0</v>
      </c>
      <c r="K508" s="20">
        <f>IF($A508="","",IF(OR($B508="",$C508="",$F508="",$G508=""),"Preencher tudo",IF(IFERROR(INDEX(CatTipo,MATCH($C508,CatNome,0)),"")&lt;&gt;$B508,"Categoria x Tipo?","OK")))</f>
        <v>0</v>
      </c>
    </row>
    <row r="509" spans="1:11">
      <c r="A509" s="18"/>
      <c r="B509" s="19"/>
      <c r="C509" s="15"/>
      <c r="D509" s="15"/>
      <c r="E509" s="15"/>
      <c r="F509" s="17"/>
      <c r="G509" s="19"/>
      <c r="H509" s="20">
        <f>IF($A509="","",YEAR($A509))</f>
        <v>0</v>
      </c>
      <c r="I509" s="20">
        <f>IF($A509="","",MONTH($A509))</f>
        <v>0</v>
      </c>
      <c r="J509" s="21">
        <f>IF(OR($A509="",$F509=""),"",IF($B509="Entrada",$F509,-$F509))</f>
        <v>0</v>
      </c>
      <c r="K509" s="20">
        <f>IF($A509="","",IF(OR($B509="",$C509="",$F509="",$G509=""),"Preencher tudo",IF(IFERROR(INDEX(CatTipo,MATCH($C509,CatNome,0)),"")&lt;&gt;$B509,"Categoria x Tipo?","OK")))</f>
        <v>0</v>
      </c>
    </row>
    <row r="510" spans="1:11">
      <c r="A510" s="18"/>
      <c r="B510" s="19"/>
      <c r="C510" s="15"/>
      <c r="D510" s="15"/>
      <c r="E510" s="15"/>
      <c r="F510" s="17"/>
      <c r="G510" s="19"/>
      <c r="H510" s="20">
        <f>IF($A510="","",YEAR($A510))</f>
        <v>0</v>
      </c>
      <c r="I510" s="20">
        <f>IF($A510="","",MONTH($A510))</f>
        <v>0</v>
      </c>
      <c r="J510" s="21">
        <f>IF(OR($A510="",$F510=""),"",IF($B510="Entrada",$F510,-$F510))</f>
        <v>0</v>
      </c>
      <c r="K510" s="20">
        <f>IF($A510="","",IF(OR($B510="",$C510="",$F510="",$G510=""),"Preencher tudo",IF(IFERROR(INDEX(CatTipo,MATCH($C510,CatNome,0)),"")&lt;&gt;$B510,"Categoria x Tipo?","OK")))</f>
        <v>0</v>
      </c>
    </row>
    <row r="511" spans="1:11">
      <c r="A511" s="18"/>
      <c r="B511" s="19"/>
      <c r="C511" s="15"/>
      <c r="D511" s="15"/>
      <c r="E511" s="15"/>
      <c r="F511" s="17"/>
      <c r="G511" s="19"/>
      <c r="H511" s="20">
        <f>IF($A511="","",YEAR($A511))</f>
        <v>0</v>
      </c>
      <c r="I511" s="20">
        <f>IF($A511="","",MONTH($A511))</f>
        <v>0</v>
      </c>
      <c r="J511" s="21">
        <f>IF(OR($A511="",$F511=""),"",IF($B511="Entrada",$F511,-$F511))</f>
        <v>0</v>
      </c>
      <c r="K511" s="20">
        <f>IF($A511="","",IF(OR($B511="",$C511="",$F511="",$G511=""),"Preencher tudo",IF(IFERROR(INDEX(CatTipo,MATCH($C511,CatNome,0)),"")&lt;&gt;$B511,"Categoria x Tipo?","OK")))</f>
        <v>0</v>
      </c>
    </row>
    <row r="512" spans="1:11">
      <c r="A512" s="18"/>
      <c r="B512" s="19"/>
      <c r="C512" s="15"/>
      <c r="D512" s="15"/>
      <c r="E512" s="15"/>
      <c r="F512" s="17"/>
      <c r="G512" s="19"/>
      <c r="H512" s="20">
        <f>IF($A512="","",YEAR($A512))</f>
        <v>0</v>
      </c>
      <c r="I512" s="20">
        <f>IF($A512="","",MONTH($A512))</f>
        <v>0</v>
      </c>
      <c r="J512" s="21">
        <f>IF(OR($A512="",$F512=""),"",IF($B512="Entrada",$F512,-$F512))</f>
        <v>0</v>
      </c>
      <c r="K512" s="20">
        <f>IF($A512="","",IF(OR($B512="",$C512="",$F512="",$G512=""),"Preencher tudo",IF(IFERROR(INDEX(CatTipo,MATCH($C512,CatNome,0)),"")&lt;&gt;$B512,"Categoria x Tipo?","OK")))</f>
        <v>0</v>
      </c>
    </row>
    <row r="513" spans="1:11">
      <c r="A513" s="18"/>
      <c r="B513" s="19"/>
      <c r="C513" s="15"/>
      <c r="D513" s="15"/>
      <c r="E513" s="15"/>
      <c r="F513" s="17"/>
      <c r="G513" s="19"/>
      <c r="H513" s="20">
        <f>IF($A513="","",YEAR($A513))</f>
        <v>0</v>
      </c>
      <c r="I513" s="20">
        <f>IF($A513="","",MONTH($A513))</f>
        <v>0</v>
      </c>
      <c r="J513" s="21">
        <f>IF(OR($A513="",$F513=""),"",IF($B513="Entrada",$F513,-$F513))</f>
        <v>0</v>
      </c>
      <c r="K513" s="20">
        <f>IF($A513="","",IF(OR($B513="",$C513="",$F513="",$G513=""),"Preencher tudo",IF(IFERROR(INDEX(CatTipo,MATCH($C513,CatNome,0)),"")&lt;&gt;$B513,"Categoria x Tipo?","OK")))</f>
        <v>0</v>
      </c>
    </row>
    <row r="514" spans="1:11">
      <c r="A514" s="18"/>
      <c r="B514" s="19"/>
      <c r="C514" s="15"/>
      <c r="D514" s="15"/>
      <c r="E514" s="15"/>
      <c r="F514" s="17"/>
      <c r="G514" s="19"/>
      <c r="H514" s="20">
        <f>IF($A514="","",YEAR($A514))</f>
        <v>0</v>
      </c>
      <c r="I514" s="20">
        <f>IF($A514="","",MONTH($A514))</f>
        <v>0</v>
      </c>
      <c r="J514" s="21">
        <f>IF(OR($A514="",$F514=""),"",IF($B514="Entrada",$F514,-$F514))</f>
        <v>0</v>
      </c>
      <c r="K514" s="20">
        <f>IF($A514="","",IF(OR($B514="",$C514="",$F514="",$G514=""),"Preencher tudo",IF(IFERROR(INDEX(CatTipo,MATCH($C514,CatNome,0)),"")&lt;&gt;$B514,"Categoria x Tipo?","OK")))</f>
        <v>0</v>
      </c>
    </row>
    <row r="515" spans="1:11">
      <c r="A515" s="18"/>
      <c r="B515" s="19"/>
      <c r="C515" s="15"/>
      <c r="D515" s="15"/>
      <c r="E515" s="15"/>
      <c r="F515" s="17"/>
      <c r="G515" s="19"/>
      <c r="H515" s="20">
        <f>IF($A515="","",YEAR($A515))</f>
        <v>0</v>
      </c>
      <c r="I515" s="20">
        <f>IF($A515="","",MONTH($A515))</f>
        <v>0</v>
      </c>
      <c r="J515" s="21">
        <f>IF(OR($A515="",$F515=""),"",IF($B515="Entrada",$F515,-$F515))</f>
        <v>0</v>
      </c>
      <c r="K515" s="20">
        <f>IF($A515="","",IF(OR($B515="",$C515="",$F515="",$G515=""),"Preencher tudo",IF(IFERROR(INDEX(CatTipo,MATCH($C515,CatNome,0)),"")&lt;&gt;$B515,"Categoria x Tipo?","OK")))</f>
        <v>0</v>
      </c>
    </row>
    <row r="516" spans="1:11">
      <c r="A516" s="18"/>
      <c r="B516" s="19"/>
      <c r="C516" s="15"/>
      <c r="D516" s="15"/>
      <c r="E516" s="15"/>
      <c r="F516" s="17"/>
      <c r="G516" s="19"/>
      <c r="H516" s="20">
        <f>IF($A516="","",YEAR($A516))</f>
        <v>0</v>
      </c>
      <c r="I516" s="20">
        <f>IF($A516="","",MONTH($A516))</f>
        <v>0</v>
      </c>
      <c r="J516" s="21">
        <f>IF(OR($A516="",$F516=""),"",IF($B516="Entrada",$F516,-$F516))</f>
        <v>0</v>
      </c>
      <c r="K516" s="20">
        <f>IF($A516="","",IF(OR($B516="",$C516="",$F516="",$G516=""),"Preencher tudo",IF(IFERROR(INDEX(CatTipo,MATCH($C516,CatNome,0)),"")&lt;&gt;$B516,"Categoria x Tipo?","OK")))</f>
        <v>0</v>
      </c>
    </row>
    <row r="517" spans="1:11">
      <c r="A517" s="18"/>
      <c r="B517" s="19"/>
      <c r="C517" s="15"/>
      <c r="D517" s="15"/>
      <c r="E517" s="15"/>
      <c r="F517" s="17"/>
      <c r="G517" s="19"/>
      <c r="H517" s="20">
        <f>IF($A517="","",YEAR($A517))</f>
        <v>0</v>
      </c>
      <c r="I517" s="20">
        <f>IF($A517="","",MONTH($A517))</f>
        <v>0</v>
      </c>
      <c r="J517" s="21">
        <f>IF(OR($A517="",$F517=""),"",IF($B517="Entrada",$F517,-$F517))</f>
        <v>0</v>
      </c>
      <c r="K517" s="20">
        <f>IF($A517="","",IF(OR($B517="",$C517="",$F517="",$G517=""),"Preencher tudo",IF(IFERROR(INDEX(CatTipo,MATCH($C517,CatNome,0)),"")&lt;&gt;$B517,"Categoria x Tipo?","OK")))</f>
        <v>0</v>
      </c>
    </row>
    <row r="518" spans="1:11">
      <c r="A518" s="18"/>
      <c r="B518" s="19"/>
      <c r="C518" s="15"/>
      <c r="D518" s="15"/>
      <c r="E518" s="15"/>
      <c r="F518" s="17"/>
      <c r="G518" s="19"/>
      <c r="H518" s="20">
        <f>IF($A518="","",YEAR($A518))</f>
        <v>0</v>
      </c>
      <c r="I518" s="20">
        <f>IF($A518="","",MONTH($A518))</f>
        <v>0</v>
      </c>
      <c r="J518" s="21">
        <f>IF(OR($A518="",$F518=""),"",IF($B518="Entrada",$F518,-$F518))</f>
        <v>0</v>
      </c>
      <c r="K518" s="20">
        <f>IF($A518="","",IF(OR($B518="",$C518="",$F518="",$G518=""),"Preencher tudo",IF(IFERROR(INDEX(CatTipo,MATCH($C518,CatNome,0)),"")&lt;&gt;$B518,"Categoria x Tipo?","OK")))</f>
        <v>0</v>
      </c>
    </row>
    <row r="519" spans="1:11">
      <c r="A519" s="18"/>
      <c r="B519" s="19"/>
      <c r="C519" s="15"/>
      <c r="D519" s="15"/>
      <c r="E519" s="15"/>
      <c r="F519" s="17"/>
      <c r="G519" s="19"/>
      <c r="H519" s="20">
        <f>IF($A519="","",YEAR($A519))</f>
        <v>0</v>
      </c>
      <c r="I519" s="20">
        <f>IF($A519="","",MONTH($A519))</f>
        <v>0</v>
      </c>
      <c r="J519" s="21">
        <f>IF(OR($A519="",$F519=""),"",IF($B519="Entrada",$F519,-$F519))</f>
        <v>0</v>
      </c>
      <c r="K519" s="20">
        <f>IF($A519="","",IF(OR($B519="",$C519="",$F519="",$G519=""),"Preencher tudo",IF(IFERROR(INDEX(CatTipo,MATCH($C519,CatNome,0)),"")&lt;&gt;$B519,"Categoria x Tipo?","OK")))</f>
        <v>0</v>
      </c>
    </row>
    <row r="520" spans="1:11">
      <c r="A520" s="18"/>
      <c r="B520" s="19"/>
      <c r="C520" s="15"/>
      <c r="D520" s="15"/>
      <c r="E520" s="15"/>
      <c r="F520" s="17"/>
      <c r="G520" s="19"/>
      <c r="H520" s="20">
        <f>IF($A520="","",YEAR($A520))</f>
        <v>0</v>
      </c>
      <c r="I520" s="20">
        <f>IF($A520="","",MONTH($A520))</f>
        <v>0</v>
      </c>
      <c r="J520" s="21">
        <f>IF(OR($A520="",$F520=""),"",IF($B520="Entrada",$F520,-$F520))</f>
        <v>0</v>
      </c>
      <c r="K520" s="20">
        <f>IF($A520="","",IF(OR($B520="",$C520="",$F520="",$G520=""),"Preencher tudo",IF(IFERROR(INDEX(CatTipo,MATCH($C520,CatNome,0)),"")&lt;&gt;$B520,"Categoria x Tipo?","OK")))</f>
        <v>0</v>
      </c>
    </row>
    <row r="521" spans="1:11">
      <c r="A521" s="18"/>
      <c r="B521" s="19"/>
      <c r="C521" s="15"/>
      <c r="D521" s="15"/>
      <c r="E521" s="15"/>
      <c r="F521" s="17"/>
      <c r="G521" s="19"/>
      <c r="H521" s="20">
        <f>IF($A521="","",YEAR($A521))</f>
        <v>0</v>
      </c>
      <c r="I521" s="20">
        <f>IF($A521="","",MONTH($A521))</f>
        <v>0</v>
      </c>
      <c r="J521" s="21">
        <f>IF(OR($A521="",$F521=""),"",IF($B521="Entrada",$F521,-$F521))</f>
        <v>0</v>
      </c>
      <c r="K521" s="20">
        <f>IF($A521="","",IF(OR($B521="",$C521="",$F521="",$G521=""),"Preencher tudo",IF(IFERROR(INDEX(CatTipo,MATCH($C521,CatNome,0)),"")&lt;&gt;$B521,"Categoria x Tipo?","OK")))</f>
        <v>0</v>
      </c>
    </row>
    <row r="522" spans="1:11">
      <c r="A522" s="18"/>
      <c r="B522" s="19"/>
      <c r="C522" s="15"/>
      <c r="D522" s="15"/>
      <c r="E522" s="15"/>
      <c r="F522" s="17"/>
      <c r="G522" s="19"/>
      <c r="H522" s="20">
        <f>IF($A522="","",YEAR($A522))</f>
        <v>0</v>
      </c>
      <c r="I522" s="20">
        <f>IF($A522="","",MONTH($A522))</f>
        <v>0</v>
      </c>
      <c r="J522" s="21">
        <f>IF(OR($A522="",$F522=""),"",IF($B522="Entrada",$F522,-$F522))</f>
        <v>0</v>
      </c>
      <c r="K522" s="20">
        <f>IF($A522="","",IF(OR($B522="",$C522="",$F522="",$G522=""),"Preencher tudo",IF(IFERROR(INDEX(CatTipo,MATCH($C522,CatNome,0)),"")&lt;&gt;$B522,"Categoria x Tipo?","OK")))</f>
        <v>0</v>
      </c>
    </row>
    <row r="523" spans="1:11">
      <c r="A523" s="18"/>
      <c r="B523" s="19"/>
      <c r="C523" s="15"/>
      <c r="D523" s="15"/>
      <c r="E523" s="15"/>
      <c r="F523" s="17"/>
      <c r="G523" s="19"/>
      <c r="H523" s="20">
        <f>IF($A523="","",YEAR($A523))</f>
        <v>0</v>
      </c>
      <c r="I523" s="20">
        <f>IF($A523="","",MONTH($A523))</f>
        <v>0</v>
      </c>
      <c r="J523" s="21">
        <f>IF(OR($A523="",$F523=""),"",IF($B523="Entrada",$F523,-$F523))</f>
        <v>0</v>
      </c>
      <c r="K523" s="20">
        <f>IF($A523="","",IF(OR($B523="",$C523="",$F523="",$G523=""),"Preencher tudo",IF(IFERROR(INDEX(CatTipo,MATCH($C523,CatNome,0)),"")&lt;&gt;$B523,"Categoria x Tipo?","OK")))</f>
        <v>0</v>
      </c>
    </row>
    <row r="524" spans="1:11">
      <c r="A524" s="18"/>
      <c r="B524" s="19"/>
      <c r="C524" s="15"/>
      <c r="D524" s="15"/>
      <c r="E524" s="15"/>
      <c r="F524" s="17"/>
      <c r="G524" s="19"/>
      <c r="H524" s="20">
        <f>IF($A524="","",YEAR($A524))</f>
        <v>0</v>
      </c>
      <c r="I524" s="20">
        <f>IF($A524="","",MONTH($A524))</f>
        <v>0</v>
      </c>
      <c r="J524" s="21">
        <f>IF(OR($A524="",$F524=""),"",IF($B524="Entrada",$F524,-$F524))</f>
        <v>0</v>
      </c>
      <c r="K524" s="20">
        <f>IF($A524="","",IF(OR($B524="",$C524="",$F524="",$G524=""),"Preencher tudo",IF(IFERROR(INDEX(CatTipo,MATCH($C524,CatNome,0)),"")&lt;&gt;$B524,"Categoria x Tipo?","OK")))</f>
        <v>0</v>
      </c>
    </row>
    <row r="525" spans="1:11">
      <c r="A525" s="18"/>
      <c r="B525" s="19"/>
      <c r="C525" s="15"/>
      <c r="D525" s="15"/>
      <c r="E525" s="15"/>
      <c r="F525" s="17"/>
      <c r="G525" s="19"/>
      <c r="H525" s="20">
        <f>IF($A525="","",YEAR($A525))</f>
        <v>0</v>
      </c>
      <c r="I525" s="20">
        <f>IF($A525="","",MONTH($A525))</f>
        <v>0</v>
      </c>
      <c r="J525" s="21">
        <f>IF(OR($A525="",$F525=""),"",IF($B525="Entrada",$F525,-$F525))</f>
        <v>0</v>
      </c>
      <c r="K525" s="20">
        <f>IF($A525="","",IF(OR($B525="",$C525="",$F525="",$G525=""),"Preencher tudo",IF(IFERROR(INDEX(CatTipo,MATCH($C525,CatNome,0)),"")&lt;&gt;$B525,"Categoria x Tipo?","OK")))</f>
        <v>0</v>
      </c>
    </row>
    <row r="526" spans="1:11">
      <c r="A526" s="18"/>
      <c r="B526" s="19"/>
      <c r="C526" s="15"/>
      <c r="D526" s="15"/>
      <c r="E526" s="15"/>
      <c r="F526" s="17"/>
      <c r="G526" s="19"/>
      <c r="H526" s="20">
        <f>IF($A526="","",YEAR($A526))</f>
        <v>0</v>
      </c>
      <c r="I526" s="20">
        <f>IF($A526="","",MONTH($A526))</f>
        <v>0</v>
      </c>
      <c r="J526" s="21">
        <f>IF(OR($A526="",$F526=""),"",IF($B526="Entrada",$F526,-$F526))</f>
        <v>0</v>
      </c>
      <c r="K526" s="20">
        <f>IF($A526="","",IF(OR($B526="",$C526="",$F526="",$G526=""),"Preencher tudo",IF(IFERROR(INDEX(CatTipo,MATCH($C526,CatNome,0)),"")&lt;&gt;$B526,"Categoria x Tipo?","OK")))</f>
        <v>0</v>
      </c>
    </row>
    <row r="527" spans="1:11">
      <c r="A527" s="18"/>
      <c r="B527" s="19"/>
      <c r="C527" s="15"/>
      <c r="D527" s="15"/>
      <c r="E527" s="15"/>
      <c r="F527" s="17"/>
      <c r="G527" s="19"/>
      <c r="H527" s="20">
        <f>IF($A527="","",YEAR($A527))</f>
        <v>0</v>
      </c>
      <c r="I527" s="20">
        <f>IF($A527="","",MONTH($A527))</f>
        <v>0</v>
      </c>
      <c r="J527" s="21">
        <f>IF(OR($A527="",$F527=""),"",IF($B527="Entrada",$F527,-$F527))</f>
        <v>0</v>
      </c>
      <c r="K527" s="20">
        <f>IF($A527="","",IF(OR($B527="",$C527="",$F527="",$G527=""),"Preencher tudo",IF(IFERROR(INDEX(CatTipo,MATCH($C527,CatNome,0)),"")&lt;&gt;$B527,"Categoria x Tipo?","OK")))</f>
        <v>0</v>
      </c>
    </row>
    <row r="528" spans="1:11">
      <c r="A528" s="18"/>
      <c r="B528" s="19"/>
      <c r="C528" s="15"/>
      <c r="D528" s="15"/>
      <c r="E528" s="15"/>
      <c r="F528" s="17"/>
      <c r="G528" s="19"/>
      <c r="H528" s="20">
        <f>IF($A528="","",YEAR($A528))</f>
        <v>0</v>
      </c>
      <c r="I528" s="20">
        <f>IF($A528="","",MONTH($A528))</f>
        <v>0</v>
      </c>
      <c r="J528" s="21">
        <f>IF(OR($A528="",$F528=""),"",IF($B528="Entrada",$F528,-$F528))</f>
        <v>0</v>
      </c>
      <c r="K528" s="20">
        <f>IF($A528="","",IF(OR($B528="",$C528="",$F528="",$G528=""),"Preencher tudo",IF(IFERROR(INDEX(CatTipo,MATCH($C528,CatNome,0)),"")&lt;&gt;$B528,"Categoria x Tipo?","OK")))</f>
        <v>0</v>
      </c>
    </row>
    <row r="529" spans="1:11">
      <c r="A529" s="18"/>
      <c r="B529" s="19"/>
      <c r="C529" s="15"/>
      <c r="D529" s="15"/>
      <c r="E529" s="15"/>
      <c r="F529" s="17"/>
      <c r="G529" s="19"/>
      <c r="H529" s="20">
        <f>IF($A529="","",YEAR($A529))</f>
        <v>0</v>
      </c>
      <c r="I529" s="20">
        <f>IF($A529="","",MONTH($A529))</f>
        <v>0</v>
      </c>
      <c r="J529" s="21">
        <f>IF(OR($A529="",$F529=""),"",IF($B529="Entrada",$F529,-$F529))</f>
        <v>0</v>
      </c>
      <c r="K529" s="20">
        <f>IF($A529="","",IF(OR($B529="",$C529="",$F529="",$G529=""),"Preencher tudo",IF(IFERROR(INDEX(CatTipo,MATCH($C529,CatNome,0)),"")&lt;&gt;$B529,"Categoria x Tipo?","OK")))</f>
        <v>0</v>
      </c>
    </row>
    <row r="530" spans="1:11">
      <c r="A530" s="18"/>
      <c r="B530" s="19"/>
      <c r="C530" s="15"/>
      <c r="D530" s="15"/>
      <c r="E530" s="15"/>
      <c r="F530" s="17"/>
      <c r="G530" s="19"/>
      <c r="H530" s="20">
        <f>IF($A530="","",YEAR($A530))</f>
        <v>0</v>
      </c>
      <c r="I530" s="20">
        <f>IF($A530="","",MONTH($A530))</f>
        <v>0</v>
      </c>
      <c r="J530" s="21">
        <f>IF(OR($A530="",$F530=""),"",IF($B530="Entrada",$F530,-$F530))</f>
        <v>0</v>
      </c>
      <c r="K530" s="20">
        <f>IF($A530="","",IF(OR($B530="",$C530="",$F530="",$G530=""),"Preencher tudo",IF(IFERROR(INDEX(CatTipo,MATCH($C530,CatNome,0)),"")&lt;&gt;$B530,"Categoria x Tipo?","OK")))</f>
        <v>0</v>
      </c>
    </row>
    <row r="531" spans="1:11">
      <c r="A531" s="18"/>
      <c r="B531" s="19"/>
      <c r="C531" s="15"/>
      <c r="D531" s="15"/>
      <c r="E531" s="15"/>
      <c r="F531" s="17"/>
      <c r="G531" s="19"/>
      <c r="H531" s="20">
        <f>IF($A531="","",YEAR($A531))</f>
        <v>0</v>
      </c>
      <c r="I531" s="20">
        <f>IF($A531="","",MONTH($A531))</f>
        <v>0</v>
      </c>
      <c r="J531" s="21">
        <f>IF(OR($A531="",$F531=""),"",IF($B531="Entrada",$F531,-$F531))</f>
        <v>0</v>
      </c>
      <c r="K531" s="20">
        <f>IF($A531="","",IF(OR($B531="",$C531="",$F531="",$G531=""),"Preencher tudo",IF(IFERROR(INDEX(CatTipo,MATCH($C531,CatNome,0)),"")&lt;&gt;$B531,"Categoria x Tipo?","OK")))</f>
        <v>0</v>
      </c>
    </row>
    <row r="532" spans="1:11">
      <c r="A532" s="18"/>
      <c r="B532" s="19"/>
      <c r="C532" s="15"/>
      <c r="D532" s="15"/>
      <c r="E532" s="15"/>
      <c r="F532" s="17"/>
      <c r="G532" s="19"/>
      <c r="H532" s="20">
        <f>IF($A532="","",YEAR($A532))</f>
        <v>0</v>
      </c>
      <c r="I532" s="20">
        <f>IF($A532="","",MONTH($A532))</f>
        <v>0</v>
      </c>
      <c r="J532" s="21">
        <f>IF(OR($A532="",$F532=""),"",IF($B532="Entrada",$F532,-$F532))</f>
        <v>0</v>
      </c>
      <c r="K532" s="20">
        <f>IF($A532="","",IF(OR($B532="",$C532="",$F532="",$G532=""),"Preencher tudo",IF(IFERROR(INDEX(CatTipo,MATCH($C532,CatNome,0)),"")&lt;&gt;$B532,"Categoria x Tipo?","OK")))</f>
        <v>0</v>
      </c>
    </row>
    <row r="533" spans="1:11">
      <c r="A533" s="18"/>
      <c r="B533" s="19"/>
      <c r="C533" s="15"/>
      <c r="D533" s="15"/>
      <c r="E533" s="15"/>
      <c r="F533" s="17"/>
      <c r="G533" s="19"/>
      <c r="H533" s="20">
        <f>IF($A533="","",YEAR($A533))</f>
        <v>0</v>
      </c>
      <c r="I533" s="20">
        <f>IF($A533="","",MONTH($A533))</f>
        <v>0</v>
      </c>
      <c r="J533" s="21">
        <f>IF(OR($A533="",$F533=""),"",IF($B533="Entrada",$F533,-$F533))</f>
        <v>0</v>
      </c>
      <c r="K533" s="20">
        <f>IF($A533="","",IF(OR($B533="",$C533="",$F533="",$G533=""),"Preencher tudo",IF(IFERROR(INDEX(CatTipo,MATCH($C533,CatNome,0)),"")&lt;&gt;$B533,"Categoria x Tipo?","OK")))</f>
        <v>0</v>
      </c>
    </row>
    <row r="534" spans="1:11">
      <c r="A534" s="18"/>
      <c r="B534" s="19"/>
      <c r="C534" s="15"/>
      <c r="D534" s="15"/>
      <c r="E534" s="15"/>
      <c r="F534" s="17"/>
      <c r="G534" s="19"/>
      <c r="H534" s="20">
        <f>IF($A534="","",YEAR($A534))</f>
        <v>0</v>
      </c>
      <c r="I534" s="20">
        <f>IF($A534="","",MONTH($A534))</f>
        <v>0</v>
      </c>
      <c r="J534" s="21">
        <f>IF(OR($A534="",$F534=""),"",IF($B534="Entrada",$F534,-$F534))</f>
        <v>0</v>
      </c>
      <c r="K534" s="20">
        <f>IF($A534="","",IF(OR($B534="",$C534="",$F534="",$G534=""),"Preencher tudo",IF(IFERROR(INDEX(CatTipo,MATCH($C534,CatNome,0)),"")&lt;&gt;$B534,"Categoria x Tipo?","OK")))</f>
        <v>0</v>
      </c>
    </row>
    <row r="535" spans="1:11">
      <c r="A535" s="18"/>
      <c r="B535" s="19"/>
      <c r="C535" s="15"/>
      <c r="D535" s="15"/>
      <c r="E535" s="15"/>
      <c r="F535" s="17"/>
      <c r="G535" s="19"/>
      <c r="H535" s="20">
        <f>IF($A535="","",YEAR($A535))</f>
        <v>0</v>
      </c>
      <c r="I535" s="20">
        <f>IF($A535="","",MONTH($A535))</f>
        <v>0</v>
      </c>
      <c r="J535" s="21">
        <f>IF(OR($A535="",$F535=""),"",IF($B535="Entrada",$F535,-$F535))</f>
        <v>0</v>
      </c>
      <c r="K535" s="20">
        <f>IF($A535="","",IF(OR($B535="",$C535="",$F535="",$G535=""),"Preencher tudo",IF(IFERROR(INDEX(CatTipo,MATCH($C535,CatNome,0)),"")&lt;&gt;$B535,"Categoria x Tipo?","OK")))</f>
        <v>0</v>
      </c>
    </row>
    <row r="536" spans="1:11">
      <c r="A536" s="18"/>
      <c r="B536" s="19"/>
      <c r="C536" s="15"/>
      <c r="D536" s="15"/>
      <c r="E536" s="15"/>
      <c r="F536" s="17"/>
      <c r="G536" s="19"/>
      <c r="H536" s="20">
        <f>IF($A536="","",YEAR($A536))</f>
        <v>0</v>
      </c>
      <c r="I536" s="20">
        <f>IF($A536="","",MONTH($A536))</f>
        <v>0</v>
      </c>
      <c r="J536" s="21">
        <f>IF(OR($A536="",$F536=""),"",IF($B536="Entrada",$F536,-$F536))</f>
        <v>0</v>
      </c>
      <c r="K536" s="20">
        <f>IF($A536="","",IF(OR($B536="",$C536="",$F536="",$G536=""),"Preencher tudo",IF(IFERROR(INDEX(CatTipo,MATCH($C536,CatNome,0)),"")&lt;&gt;$B536,"Categoria x Tipo?","OK")))</f>
        <v>0</v>
      </c>
    </row>
    <row r="537" spans="1:11">
      <c r="A537" s="18"/>
      <c r="B537" s="19"/>
      <c r="C537" s="15"/>
      <c r="D537" s="15"/>
      <c r="E537" s="15"/>
      <c r="F537" s="17"/>
      <c r="G537" s="19"/>
      <c r="H537" s="20">
        <f>IF($A537="","",YEAR($A537))</f>
        <v>0</v>
      </c>
      <c r="I537" s="20">
        <f>IF($A537="","",MONTH($A537))</f>
        <v>0</v>
      </c>
      <c r="J537" s="21">
        <f>IF(OR($A537="",$F537=""),"",IF($B537="Entrada",$F537,-$F537))</f>
        <v>0</v>
      </c>
      <c r="K537" s="20">
        <f>IF($A537="","",IF(OR($B537="",$C537="",$F537="",$G537=""),"Preencher tudo",IF(IFERROR(INDEX(CatTipo,MATCH($C537,CatNome,0)),"")&lt;&gt;$B537,"Categoria x Tipo?","OK")))</f>
        <v>0</v>
      </c>
    </row>
    <row r="538" spans="1:11">
      <c r="A538" s="18"/>
      <c r="B538" s="19"/>
      <c r="C538" s="15"/>
      <c r="D538" s="15"/>
      <c r="E538" s="15"/>
      <c r="F538" s="17"/>
      <c r="G538" s="19"/>
      <c r="H538" s="20">
        <f>IF($A538="","",YEAR($A538))</f>
        <v>0</v>
      </c>
      <c r="I538" s="20">
        <f>IF($A538="","",MONTH($A538))</f>
        <v>0</v>
      </c>
      <c r="J538" s="21">
        <f>IF(OR($A538="",$F538=""),"",IF($B538="Entrada",$F538,-$F538))</f>
        <v>0</v>
      </c>
      <c r="K538" s="20">
        <f>IF($A538="","",IF(OR($B538="",$C538="",$F538="",$G538=""),"Preencher tudo",IF(IFERROR(INDEX(CatTipo,MATCH($C538,CatNome,0)),"")&lt;&gt;$B538,"Categoria x Tipo?","OK")))</f>
        <v>0</v>
      </c>
    </row>
    <row r="539" spans="1:11">
      <c r="A539" s="18"/>
      <c r="B539" s="19"/>
      <c r="C539" s="15"/>
      <c r="D539" s="15"/>
      <c r="E539" s="15"/>
      <c r="F539" s="17"/>
      <c r="G539" s="19"/>
      <c r="H539" s="20">
        <f>IF($A539="","",YEAR($A539))</f>
        <v>0</v>
      </c>
      <c r="I539" s="20">
        <f>IF($A539="","",MONTH($A539))</f>
        <v>0</v>
      </c>
      <c r="J539" s="21">
        <f>IF(OR($A539="",$F539=""),"",IF($B539="Entrada",$F539,-$F539))</f>
        <v>0</v>
      </c>
      <c r="K539" s="20">
        <f>IF($A539="","",IF(OR($B539="",$C539="",$F539="",$G539=""),"Preencher tudo",IF(IFERROR(INDEX(CatTipo,MATCH($C539,CatNome,0)),"")&lt;&gt;$B539,"Categoria x Tipo?","OK")))</f>
        <v>0</v>
      </c>
    </row>
    <row r="540" spans="1:11">
      <c r="A540" s="18"/>
      <c r="B540" s="19"/>
      <c r="C540" s="15"/>
      <c r="D540" s="15"/>
      <c r="E540" s="15"/>
      <c r="F540" s="17"/>
      <c r="G540" s="19"/>
      <c r="H540" s="20">
        <f>IF($A540="","",YEAR($A540))</f>
        <v>0</v>
      </c>
      <c r="I540" s="20">
        <f>IF($A540="","",MONTH($A540))</f>
        <v>0</v>
      </c>
      <c r="J540" s="21">
        <f>IF(OR($A540="",$F540=""),"",IF($B540="Entrada",$F540,-$F540))</f>
        <v>0</v>
      </c>
      <c r="K540" s="20">
        <f>IF($A540="","",IF(OR($B540="",$C540="",$F540="",$G540=""),"Preencher tudo",IF(IFERROR(INDEX(CatTipo,MATCH($C540,CatNome,0)),"")&lt;&gt;$B540,"Categoria x Tipo?","OK")))</f>
        <v>0</v>
      </c>
    </row>
    <row r="541" spans="1:11">
      <c r="A541" s="18"/>
      <c r="B541" s="19"/>
      <c r="C541" s="15"/>
      <c r="D541" s="15"/>
      <c r="E541" s="15"/>
      <c r="F541" s="17"/>
      <c r="G541" s="19"/>
      <c r="H541" s="20">
        <f>IF($A541="","",YEAR($A541))</f>
        <v>0</v>
      </c>
      <c r="I541" s="20">
        <f>IF($A541="","",MONTH($A541))</f>
        <v>0</v>
      </c>
      <c r="J541" s="21">
        <f>IF(OR($A541="",$F541=""),"",IF($B541="Entrada",$F541,-$F541))</f>
        <v>0</v>
      </c>
      <c r="K541" s="20">
        <f>IF($A541="","",IF(OR($B541="",$C541="",$F541="",$G541=""),"Preencher tudo",IF(IFERROR(INDEX(CatTipo,MATCH($C541,CatNome,0)),"")&lt;&gt;$B541,"Categoria x Tipo?","OK")))</f>
        <v>0</v>
      </c>
    </row>
    <row r="542" spans="1:11">
      <c r="A542" s="18"/>
      <c r="B542" s="19"/>
      <c r="C542" s="15"/>
      <c r="D542" s="15"/>
      <c r="E542" s="15"/>
      <c r="F542" s="17"/>
      <c r="G542" s="19"/>
      <c r="H542" s="20">
        <f>IF($A542="","",YEAR($A542))</f>
        <v>0</v>
      </c>
      <c r="I542" s="20">
        <f>IF($A542="","",MONTH($A542))</f>
        <v>0</v>
      </c>
      <c r="J542" s="21">
        <f>IF(OR($A542="",$F542=""),"",IF($B542="Entrada",$F542,-$F542))</f>
        <v>0</v>
      </c>
      <c r="K542" s="20">
        <f>IF($A542="","",IF(OR($B542="",$C542="",$F542="",$G542=""),"Preencher tudo",IF(IFERROR(INDEX(CatTipo,MATCH($C542,CatNome,0)),"")&lt;&gt;$B542,"Categoria x Tipo?","OK")))</f>
        <v>0</v>
      </c>
    </row>
    <row r="543" spans="1:11">
      <c r="A543" s="18"/>
      <c r="B543" s="19"/>
      <c r="C543" s="15"/>
      <c r="D543" s="15"/>
      <c r="E543" s="15"/>
      <c r="F543" s="17"/>
      <c r="G543" s="19"/>
      <c r="H543" s="20">
        <f>IF($A543="","",YEAR($A543))</f>
        <v>0</v>
      </c>
      <c r="I543" s="20">
        <f>IF($A543="","",MONTH($A543))</f>
        <v>0</v>
      </c>
      <c r="J543" s="21">
        <f>IF(OR($A543="",$F543=""),"",IF($B543="Entrada",$F543,-$F543))</f>
        <v>0</v>
      </c>
      <c r="K543" s="20">
        <f>IF($A543="","",IF(OR($B543="",$C543="",$F543="",$G543=""),"Preencher tudo",IF(IFERROR(INDEX(CatTipo,MATCH($C543,CatNome,0)),"")&lt;&gt;$B543,"Categoria x Tipo?","OK")))</f>
        <v>0</v>
      </c>
    </row>
    <row r="544" spans="1:11">
      <c r="A544" s="18"/>
      <c r="B544" s="19"/>
      <c r="C544" s="15"/>
      <c r="D544" s="15"/>
      <c r="E544" s="15"/>
      <c r="F544" s="17"/>
      <c r="G544" s="19"/>
      <c r="H544" s="20">
        <f>IF($A544="","",YEAR($A544))</f>
        <v>0</v>
      </c>
      <c r="I544" s="20">
        <f>IF($A544="","",MONTH($A544))</f>
        <v>0</v>
      </c>
      <c r="J544" s="21">
        <f>IF(OR($A544="",$F544=""),"",IF($B544="Entrada",$F544,-$F544))</f>
        <v>0</v>
      </c>
      <c r="K544" s="20">
        <f>IF($A544="","",IF(OR($B544="",$C544="",$F544="",$G544=""),"Preencher tudo",IF(IFERROR(INDEX(CatTipo,MATCH($C544,CatNome,0)),"")&lt;&gt;$B544,"Categoria x Tipo?","OK")))</f>
        <v>0</v>
      </c>
    </row>
    <row r="545" spans="1:11">
      <c r="A545" s="18"/>
      <c r="B545" s="19"/>
      <c r="C545" s="15"/>
      <c r="D545" s="15"/>
      <c r="E545" s="15"/>
      <c r="F545" s="17"/>
      <c r="G545" s="19"/>
      <c r="H545" s="20">
        <f>IF($A545="","",YEAR($A545))</f>
        <v>0</v>
      </c>
      <c r="I545" s="20">
        <f>IF($A545="","",MONTH($A545))</f>
        <v>0</v>
      </c>
      <c r="J545" s="21">
        <f>IF(OR($A545="",$F545=""),"",IF($B545="Entrada",$F545,-$F545))</f>
        <v>0</v>
      </c>
      <c r="K545" s="20">
        <f>IF($A545="","",IF(OR($B545="",$C545="",$F545="",$G545=""),"Preencher tudo",IF(IFERROR(INDEX(CatTipo,MATCH($C545,CatNome,0)),"")&lt;&gt;$B545,"Categoria x Tipo?","OK")))</f>
        <v>0</v>
      </c>
    </row>
    <row r="546" spans="1:11">
      <c r="A546" s="18"/>
      <c r="B546" s="19"/>
      <c r="C546" s="15"/>
      <c r="D546" s="15"/>
      <c r="E546" s="15"/>
      <c r="F546" s="17"/>
      <c r="G546" s="19"/>
      <c r="H546" s="20">
        <f>IF($A546="","",YEAR($A546))</f>
        <v>0</v>
      </c>
      <c r="I546" s="20">
        <f>IF($A546="","",MONTH($A546))</f>
        <v>0</v>
      </c>
      <c r="J546" s="21">
        <f>IF(OR($A546="",$F546=""),"",IF($B546="Entrada",$F546,-$F546))</f>
        <v>0</v>
      </c>
      <c r="K546" s="20">
        <f>IF($A546="","",IF(OR($B546="",$C546="",$F546="",$G546=""),"Preencher tudo",IF(IFERROR(INDEX(CatTipo,MATCH($C546,CatNome,0)),"")&lt;&gt;$B546,"Categoria x Tipo?","OK")))</f>
        <v>0</v>
      </c>
    </row>
    <row r="547" spans="1:11">
      <c r="A547" s="18"/>
      <c r="B547" s="19"/>
      <c r="C547" s="15"/>
      <c r="D547" s="15"/>
      <c r="E547" s="15"/>
      <c r="F547" s="17"/>
      <c r="G547" s="19"/>
      <c r="H547" s="20">
        <f>IF($A547="","",YEAR($A547))</f>
        <v>0</v>
      </c>
      <c r="I547" s="20">
        <f>IF($A547="","",MONTH($A547))</f>
        <v>0</v>
      </c>
      <c r="J547" s="21">
        <f>IF(OR($A547="",$F547=""),"",IF($B547="Entrada",$F547,-$F547))</f>
        <v>0</v>
      </c>
      <c r="K547" s="20">
        <f>IF($A547="","",IF(OR($B547="",$C547="",$F547="",$G547=""),"Preencher tudo",IF(IFERROR(INDEX(CatTipo,MATCH($C547,CatNome,0)),"")&lt;&gt;$B547,"Categoria x Tipo?","OK")))</f>
        <v>0</v>
      </c>
    </row>
    <row r="548" spans="1:11">
      <c r="A548" s="18"/>
      <c r="B548" s="19"/>
      <c r="C548" s="15"/>
      <c r="D548" s="15"/>
      <c r="E548" s="15"/>
      <c r="F548" s="17"/>
      <c r="G548" s="19"/>
      <c r="H548" s="20">
        <f>IF($A548="","",YEAR($A548))</f>
        <v>0</v>
      </c>
      <c r="I548" s="20">
        <f>IF($A548="","",MONTH($A548))</f>
        <v>0</v>
      </c>
      <c r="J548" s="21">
        <f>IF(OR($A548="",$F548=""),"",IF($B548="Entrada",$F548,-$F548))</f>
        <v>0</v>
      </c>
      <c r="K548" s="20">
        <f>IF($A548="","",IF(OR($B548="",$C548="",$F548="",$G548=""),"Preencher tudo",IF(IFERROR(INDEX(CatTipo,MATCH($C548,CatNome,0)),"")&lt;&gt;$B548,"Categoria x Tipo?","OK")))</f>
        <v>0</v>
      </c>
    </row>
    <row r="549" spans="1:11">
      <c r="A549" s="18"/>
      <c r="B549" s="19"/>
      <c r="C549" s="15"/>
      <c r="D549" s="15"/>
      <c r="E549" s="15"/>
      <c r="F549" s="17"/>
      <c r="G549" s="19"/>
      <c r="H549" s="20">
        <f>IF($A549="","",YEAR($A549))</f>
        <v>0</v>
      </c>
      <c r="I549" s="20">
        <f>IF($A549="","",MONTH($A549))</f>
        <v>0</v>
      </c>
      <c r="J549" s="21">
        <f>IF(OR($A549="",$F549=""),"",IF($B549="Entrada",$F549,-$F549))</f>
        <v>0</v>
      </c>
      <c r="K549" s="20">
        <f>IF($A549="","",IF(OR($B549="",$C549="",$F549="",$G549=""),"Preencher tudo",IF(IFERROR(INDEX(CatTipo,MATCH($C549,CatNome,0)),"")&lt;&gt;$B549,"Categoria x Tipo?","OK")))</f>
        <v>0</v>
      </c>
    </row>
    <row r="550" spans="1:11">
      <c r="A550" s="18"/>
      <c r="B550" s="19"/>
      <c r="C550" s="15"/>
      <c r="D550" s="15"/>
      <c r="E550" s="15"/>
      <c r="F550" s="17"/>
      <c r="G550" s="19"/>
      <c r="H550" s="20">
        <f>IF($A550="","",YEAR($A550))</f>
        <v>0</v>
      </c>
      <c r="I550" s="20">
        <f>IF($A550="","",MONTH($A550))</f>
        <v>0</v>
      </c>
      <c r="J550" s="21">
        <f>IF(OR($A550="",$F550=""),"",IF($B550="Entrada",$F550,-$F550))</f>
        <v>0</v>
      </c>
      <c r="K550" s="20">
        <f>IF($A550="","",IF(OR($B550="",$C550="",$F550="",$G550=""),"Preencher tudo",IF(IFERROR(INDEX(CatTipo,MATCH($C550,CatNome,0)),"")&lt;&gt;$B550,"Categoria x Tipo?","OK")))</f>
        <v>0</v>
      </c>
    </row>
    <row r="551" spans="1:11">
      <c r="A551" s="18"/>
      <c r="B551" s="19"/>
      <c r="C551" s="15"/>
      <c r="D551" s="15"/>
      <c r="E551" s="15"/>
      <c r="F551" s="17"/>
      <c r="G551" s="19"/>
      <c r="H551" s="20">
        <f>IF($A551="","",YEAR($A551))</f>
        <v>0</v>
      </c>
      <c r="I551" s="20">
        <f>IF($A551="","",MONTH($A551))</f>
        <v>0</v>
      </c>
      <c r="J551" s="21">
        <f>IF(OR($A551="",$F551=""),"",IF($B551="Entrada",$F551,-$F551))</f>
        <v>0</v>
      </c>
      <c r="K551" s="20">
        <f>IF($A551="","",IF(OR($B551="",$C551="",$F551="",$G551=""),"Preencher tudo",IF(IFERROR(INDEX(CatTipo,MATCH($C551,CatNome,0)),"")&lt;&gt;$B551,"Categoria x Tipo?","OK")))</f>
        <v>0</v>
      </c>
    </row>
    <row r="552" spans="1:11">
      <c r="A552" s="18"/>
      <c r="B552" s="19"/>
      <c r="C552" s="15"/>
      <c r="D552" s="15"/>
      <c r="E552" s="15"/>
      <c r="F552" s="17"/>
      <c r="G552" s="19"/>
      <c r="H552" s="20">
        <f>IF($A552="","",YEAR($A552))</f>
        <v>0</v>
      </c>
      <c r="I552" s="20">
        <f>IF($A552="","",MONTH($A552))</f>
        <v>0</v>
      </c>
      <c r="J552" s="21">
        <f>IF(OR($A552="",$F552=""),"",IF($B552="Entrada",$F552,-$F552))</f>
        <v>0</v>
      </c>
      <c r="K552" s="20">
        <f>IF($A552="","",IF(OR($B552="",$C552="",$F552="",$G552=""),"Preencher tudo",IF(IFERROR(INDEX(CatTipo,MATCH($C552,CatNome,0)),"")&lt;&gt;$B552,"Categoria x Tipo?","OK")))</f>
        <v>0</v>
      </c>
    </row>
    <row r="553" spans="1:11">
      <c r="A553" s="18"/>
      <c r="B553" s="19"/>
      <c r="C553" s="15"/>
      <c r="D553" s="15"/>
      <c r="E553" s="15"/>
      <c r="F553" s="17"/>
      <c r="G553" s="19"/>
      <c r="H553" s="20">
        <f>IF($A553="","",YEAR($A553))</f>
        <v>0</v>
      </c>
      <c r="I553" s="20">
        <f>IF($A553="","",MONTH($A553))</f>
        <v>0</v>
      </c>
      <c r="J553" s="21">
        <f>IF(OR($A553="",$F553=""),"",IF($B553="Entrada",$F553,-$F553))</f>
        <v>0</v>
      </c>
      <c r="K553" s="20">
        <f>IF($A553="","",IF(OR($B553="",$C553="",$F553="",$G553=""),"Preencher tudo",IF(IFERROR(INDEX(CatTipo,MATCH($C553,CatNome,0)),"")&lt;&gt;$B553,"Categoria x Tipo?","OK")))</f>
        <v>0</v>
      </c>
    </row>
    <row r="554" spans="1:11">
      <c r="A554" s="18"/>
      <c r="B554" s="19"/>
      <c r="C554" s="15"/>
      <c r="D554" s="15"/>
      <c r="E554" s="15"/>
      <c r="F554" s="17"/>
      <c r="G554" s="19"/>
      <c r="H554" s="20">
        <f>IF($A554="","",YEAR($A554))</f>
        <v>0</v>
      </c>
      <c r="I554" s="20">
        <f>IF($A554="","",MONTH($A554))</f>
        <v>0</v>
      </c>
      <c r="J554" s="21">
        <f>IF(OR($A554="",$F554=""),"",IF($B554="Entrada",$F554,-$F554))</f>
        <v>0</v>
      </c>
      <c r="K554" s="20">
        <f>IF($A554="","",IF(OR($B554="",$C554="",$F554="",$G554=""),"Preencher tudo",IF(IFERROR(INDEX(CatTipo,MATCH($C554,CatNome,0)),"")&lt;&gt;$B554,"Categoria x Tipo?","OK")))</f>
        <v>0</v>
      </c>
    </row>
    <row r="555" spans="1:11">
      <c r="A555" s="18"/>
      <c r="B555" s="19"/>
      <c r="C555" s="15"/>
      <c r="D555" s="15"/>
      <c r="E555" s="15"/>
      <c r="F555" s="17"/>
      <c r="G555" s="19"/>
      <c r="H555" s="20">
        <f>IF($A555="","",YEAR($A555))</f>
        <v>0</v>
      </c>
      <c r="I555" s="20">
        <f>IF($A555="","",MONTH($A555))</f>
        <v>0</v>
      </c>
      <c r="J555" s="21">
        <f>IF(OR($A555="",$F555=""),"",IF($B555="Entrada",$F555,-$F555))</f>
        <v>0</v>
      </c>
      <c r="K555" s="20">
        <f>IF($A555="","",IF(OR($B555="",$C555="",$F555="",$G555=""),"Preencher tudo",IF(IFERROR(INDEX(CatTipo,MATCH($C555,CatNome,0)),"")&lt;&gt;$B555,"Categoria x Tipo?","OK")))</f>
        <v>0</v>
      </c>
    </row>
    <row r="556" spans="1:11">
      <c r="A556" s="18"/>
      <c r="B556" s="19"/>
      <c r="C556" s="15"/>
      <c r="D556" s="15"/>
      <c r="E556" s="15"/>
      <c r="F556" s="17"/>
      <c r="G556" s="19"/>
      <c r="H556" s="20">
        <f>IF($A556="","",YEAR($A556))</f>
        <v>0</v>
      </c>
      <c r="I556" s="20">
        <f>IF($A556="","",MONTH($A556))</f>
        <v>0</v>
      </c>
      <c r="J556" s="21">
        <f>IF(OR($A556="",$F556=""),"",IF($B556="Entrada",$F556,-$F556))</f>
        <v>0</v>
      </c>
      <c r="K556" s="20">
        <f>IF($A556="","",IF(OR($B556="",$C556="",$F556="",$G556=""),"Preencher tudo",IF(IFERROR(INDEX(CatTipo,MATCH($C556,CatNome,0)),"")&lt;&gt;$B556,"Categoria x Tipo?","OK")))</f>
        <v>0</v>
      </c>
    </row>
    <row r="557" spans="1:11">
      <c r="A557" s="18"/>
      <c r="B557" s="19"/>
      <c r="C557" s="15"/>
      <c r="D557" s="15"/>
      <c r="E557" s="15"/>
      <c r="F557" s="17"/>
      <c r="G557" s="19"/>
      <c r="H557" s="20">
        <f>IF($A557="","",YEAR($A557))</f>
        <v>0</v>
      </c>
      <c r="I557" s="20">
        <f>IF($A557="","",MONTH($A557))</f>
        <v>0</v>
      </c>
      <c r="J557" s="21">
        <f>IF(OR($A557="",$F557=""),"",IF($B557="Entrada",$F557,-$F557))</f>
        <v>0</v>
      </c>
      <c r="K557" s="20">
        <f>IF($A557="","",IF(OR($B557="",$C557="",$F557="",$G557=""),"Preencher tudo",IF(IFERROR(INDEX(CatTipo,MATCH($C557,CatNome,0)),"")&lt;&gt;$B557,"Categoria x Tipo?","OK")))</f>
        <v>0</v>
      </c>
    </row>
    <row r="558" spans="1:11">
      <c r="A558" s="18"/>
      <c r="B558" s="19"/>
      <c r="C558" s="15"/>
      <c r="D558" s="15"/>
      <c r="E558" s="15"/>
      <c r="F558" s="17"/>
      <c r="G558" s="19"/>
      <c r="H558" s="20">
        <f>IF($A558="","",YEAR($A558))</f>
        <v>0</v>
      </c>
      <c r="I558" s="20">
        <f>IF($A558="","",MONTH($A558))</f>
        <v>0</v>
      </c>
      <c r="J558" s="21">
        <f>IF(OR($A558="",$F558=""),"",IF($B558="Entrada",$F558,-$F558))</f>
        <v>0</v>
      </c>
      <c r="K558" s="20">
        <f>IF($A558="","",IF(OR($B558="",$C558="",$F558="",$G558=""),"Preencher tudo",IF(IFERROR(INDEX(CatTipo,MATCH($C558,CatNome,0)),"")&lt;&gt;$B558,"Categoria x Tipo?","OK")))</f>
        <v>0</v>
      </c>
    </row>
    <row r="559" spans="1:11">
      <c r="A559" s="18"/>
      <c r="B559" s="19"/>
      <c r="C559" s="15"/>
      <c r="D559" s="15"/>
      <c r="E559" s="15"/>
      <c r="F559" s="17"/>
      <c r="G559" s="19"/>
      <c r="H559" s="20">
        <f>IF($A559="","",YEAR($A559))</f>
        <v>0</v>
      </c>
      <c r="I559" s="20">
        <f>IF($A559="","",MONTH($A559))</f>
        <v>0</v>
      </c>
      <c r="J559" s="21">
        <f>IF(OR($A559="",$F559=""),"",IF($B559="Entrada",$F559,-$F559))</f>
        <v>0</v>
      </c>
      <c r="K559" s="20">
        <f>IF($A559="","",IF(OR($B559="",$C559="",$F559="",$G559=""),"Preencher tudo",IF(IFERROR(INDEX(CatTipo,MATCH($C559,CatNome,0)),"")&lt;&gt;$B559,"Categoria x Tipo?","OK")))</f>
        <v>0</v>
      </c>
    </row>
    <row r="560" spans="1:11">
      <c r="A560" s="18"/>
      <c r="B560" s="19"/>
      <c r="C560" s="15"/>
      <c r="D560" s="15"/>
      <c r="E560" s="15"/>
      <c r="F560" s="17"/>
      <c r="G560" s="19"/>
      <c r="H560" s="20">
        <f>IF($A560="","",YEAR($A560))</f>
        <v>0</v>
      </c>
      <c r="I560" s="20">
        <f>IF($A560="","",MONTH($A560))</f>
        <v>0</v>
      </c>
      <c r="J560" s="21">
        <f>IF(OR($A560="",$F560=""),"",IF($B560="Entrada",$F560,-$F560))</f>
        <v>0</v>
      </c>
      <c r="K560" s="20">
        <f>IF($A560="","",IF(OR($B560="",$C560="",$F560="",$G560=""),"Preencher tudo",IF(IFERROR(INDEX(CatTipo,MATCH($C560,CatNome,0)),"")&lt;&gt;$B560,"Categoria x Tipo?","OK")))</f>
        <v>0</v>
      </c>
    </row>
    <row r="561" spans="1:11">
      <c r="A561" s="18"/>
      <c r="B561" s="19"/>
      <c r="C561" s="15"/>
      <c r="D561" s="15"/>
      <c r="E561" s="15"/>
      <c r="F561" s="17"/>
      <c r="G561" s="19"/>
      <c r="H561" s="20">
        <f>IF($A561="","",YEAR($A561))</f>
        <v>0</v>
      </c>
      <c r="I561" s="20">
        <f>IF($A561="","",MONTH($A561))</f>
        <v>0</v>
      </c>
      <c r="J561" s="21">
        <f>IF(OR($A561="",$F561=""),"",IF($B561="Entrada",$F561,-$F561))</f>
        <v>0</v>
      </c>
      <c r="K561" s="20">
        <f>IF($A561="","",IF(OR($B561="",$C561="",$F561="",$G561=""),"Preencher tudo",IF(IFERROR(INDEX(CatTipo,MATCH($C561,CatNome,0)),"")&lt;&gt;$B561,"Categoria x Tipo?","OK")))</f>
        <v>0</v>
      </c>
    </row>
    <row r="562" spans="1:11">
      <c r="A562" s="18"/>
      <c r="B562" s="19"/>
      <c r="C562" s="15"/>
      <c r="D562" s="15"/>
      <c r="E562" s="15"/>
      <c r="F562" s="17"/>
      <c r="G562" s="19"/>
      <c r="H562" s="20">
        <f>IF($A562="","",YEAR($A562))</f>
        <v>0</v>
      </c>
      <c r="I562" s="20">
        <f>IF($A562="","",MONTH($A562))</f>
        <v>0</v>
      </c>
      <c r="J562" s="21">
        <f>IF(OR($A562="",$F562=""),"",IF($B562="Entrada",$F562,-$F562))</f>
        <v>0</v>
      </c>
      <c r="K562" s="20">
        <f>IF($A562="","",IF(OR($B562="",$C562="",$F562="",$G562=""),"Preencher tudo",IF(IFERROR(INDEX(CatTipo,MATCH($C562,CatNome,0)),"")&lt;&gt;$B562,"Categoria x Tipo?","OK")))</f>
        <v>0</v>
      </c>
    </row>
    <row r="563" spans="1:11">
      <c r="A563" s="18"/>
      <c r="B563" s="19"/>
      <c r="C563" s="15"/>
      <c r="D563" s="15"/>
      <c r="E563" s="15"/>
      <c r="F563" s="17"/>
      <c r="G563" s="19"/>
      <c r="H563" s="20">
        <f>IF($A563="","",YEAR($A563))</f>
        <v>0</v>
      </c>
      <c r="I563" s="20">
        <f>IF($A563="","",MONTH($A563))</f>
        <v>0</v>
      </c>
      <c r="J563" s="21">
        <f>IF(OR($A563="",$F563=""),"",IF($B563="Entrada",$F563,-$F563))</f>
        <v>0</v>
      </c>
      <c r="K563" s="20">
        <f>IF($A563="","",IF(OR($B563="",$C563="",$F563="",$G563=""),"Preencher tudo",IF(IFERROR(INDEX(CatTipo,MATCH($C563,CatNome,0)),"")&lt;&gt;$B563,"Categoria x Tipo?","OK")))</f>
        <v>0</v>
      </c>
    </row>
    <row r="564" spans="1:11">
      <c r="A564" s="18"/>
      <c r="B564" s="19"/>
      <c r="C564" s="15"/>
      <c r="D564" s="15"/>
      <c r="E564" s="15"/>
      <c r="F564" s="17"/>
      <c r="G564" s="19"/>
      <c r="H564" s="20">
        <f>IF($A564="","",YEAR($A564))</f>
        <v>0</v>
      </c>
      <c r="I564" s="20">
        <f>IF($A564="","",MONTH($A564))</f>
        <v>0</v>
      </c>
      <c r="J564" s="21">
        <f>IF(OR($A564="",$F564=""),"",IF($B564="Entrada",$F564,-$F564))</f>
        <v>0</v>
      </c>
      <c r="K564" s="20">
        <f>IF($A564="","",IF(OR($B564="",$C564="",$F564="",$G564=""),"Preencher tudo",IF(IFERROR(INDEX(CatTipo,MATCH($C564,CatNome,0)),"")&lt;&gt;$B564,"Categoria x Tipo?","OK")))</f>
        <v>0</v>
      </c>
    </row>
    <row r="565" spans="1:11">
      <c r="A565" s="18"/>
      <c r="B565" s="19"/>
      <c r="C565" s="15"/>
      <c r="D565" s="15"/>
      <c r="E565" s="15"/>
      <c r="F565" s="17"/>
      <c r="G565" s="19"/>
      <c r="H565" s="20">
        <f>IF($A565="","",YEAR($A565))</f>
        <v>0</v>
      </c>
      <c r="I565" s="20">
        <f>IF($A565="","",MONTH($A565))</f>
        <v>0</v>
      </c>
      <c r="J565" s="21">
        <f>IF(OR($A565="",$F565=""),"",IF($B565="Entrada",$F565,-$F565))</f>
        <v>0</v>
      </c>
      <c r="K565" s="20">
        <f>IF($A565="","",IF(OR($B565="",$C565="",$F565="",$G565=""),"Preencher tudo",IF(IFERROR(INDEX(CatTipo,MATCH($C565,CatNome,0)),"")&lt;&gt;$B565,"Categoria x Tipo?","OK")))</f>
        <v>0</v>
      </c>
    </row>
    <row r="566" spans="1:11">
      <c r="A566" s="18"/>
      <c r="B566" s="19"/>
      <c r="C566" s="15"/>
      <c r="D566" s="15"/>
      <c r="E566" s="15"/>
      <c r="F566" s="17"/>
      <c r="G566" s="19"/>
      <c r="H566" s="20">
        <f>IF($A566="","",YEAR($A566))</f>
        <v>0</v>
      </c>
      <c r="I566" s="20">
        <f>IF($A566="","",MONTH($A566))</f>
        <v>0</v>
      </c>
      <c r="J566" s="21">
        <f>IF(OR($A566="",$F566=""),"",IF($B566="Entrada",$F566,-$F566))</f>
        <v>0</v>
      </c>
      <c r="K566" s="20">
        <f>IF($A566="","",IF(OR($B566="",$C566="",$F566="",$G566=""),"Preencher tudo",IF(IFERROR(INDEX(CatTipo,MATCH($C566,CatNome,0)),"")&lt;&gt;$B566,"Categoria x Tipo?","OK")))</f>
        <v>0</v>
      </c>
    </row>
    <row r="567" spans="1:11">
      <c r="A567" s="18"/>
      <c r="B567" s="19"/>
      <c r="C567" s="15"/>
      <c r="D567" s="15"/>
      <c r="E567" s="15"/>
      <c r="F567" s="17"/>
      <c r="G567" s="19"/>
      <c r="H567" s="20">
        <f>IF($A567="","",YEAR($A567))</f>
        <v>0</v>
      </c>
      <c r="I567" s="20">
        <f>IF($A567="","",MONTH($A567))</f>
        <v>0</v>
      </c>
      <c r="J567" s="21">
        <f>IF(OR($A567="",$F567=""),"",IF($B567="Entrada",$F567,-$F567))</f>
        <v>0</v>
      </c>
      <c r="K567" s="20">
        <f>IF($A567="","",IF(OR($B567="",$C567="",$F567="",$G567=""),"Preencher tudo",IF(IFERROR(INDEX(CatTipo,MATCH($C567,CatNome,0)),"")&lt;&gt;$B567,"Categoria x Tipo?","OK")))</f>
        <v>0</v>
      </c>
    </row>
    <row r="568" spans="1:11">
      <c r="A568" s="18"/>
      <c r="B568" s="19"/>
      <c r="C568" s="15"/>
      <c r="D568" s="15"/>
      <c r="E568" s="15"/>
      <c r="F568" s="17"/>
      <c r="G568" s="19"/>
      <c r="H568" s="20">
        <f>IF($A568="","",YEAR($A568))</f>
        <v>0</v>
      </c>
      <c r="I568" s="20">
        <f>IF($A568="","",MONTH($A568))</f>
        <v>0</v>
      </c>
      <c r="J568" s="21">
        <f>IF(OR($A568="",$F568=""),"",IF($B568="Entrada",$F568,-$F568))</f>
        <v>0</v>
      </c>
      <c r="K568" s="20">
        <f>IF($A568="","",IF(OR($B568="",$C568="",$F568="",$G568=""),"Preencher tudo",IF(IFERROR(INDEX(CatTipo,MATCH($C568,CatNome,0)),"")&lt;&gt;$B568,"Categoria x Tipo?","OK")))</f>
        <v>0</v>
      </c>
    </row>
    <row r="569" spans="1:11">
      <c r="A569" s="18"/>
      <c r="B569" s="19"/>
      <c r="C569" s="15"/>
      <c r="D569" s="15"/>
      <c r="E569" s="15"/>
      <c r="F569" s="17"/>
      <c r="G569" s="19"/>
      <c r="H569" s="20">
        <f>IF($A569="","",YEAR($A569))</f>
        <v>0</v>
      </c>
      <c r="I569" s="20">
        <f>IF($A569="","",MONTH($A569))</f>
        <v>0</v>
      </c>
      <c r="J569" s="21">
        <f>IF(OR($A569="",$F569=""),"",IF($B569="Entrada",$F569,-$F569))</f>
        <v>0</v>
      </c>
      <c r="K569" s="20">
        <f>IF($A569="","",IF(OR($B569="",$C569="",$F569="",$G569=""),"Preencher tudo",IF(IFERROR(INDEX(CatTipo,MATCH($C569,CatNome,0)),"")&lt;&gt;$B569,"Categoria x Tipo?","OK")))</f>
        <v>0</v>
      </c>
    </row>
    <row r="570" spans="1:11">
      <c r="A570" s="18"/>
      <c r="B570" s="19"/>
      <c r="C570" s="15"/>
      <c r="D570" s="15"/>
      <c r="E570" s="15"/>
      <c r="F570" s="17"/>
      <c r="G570" s="19"/>
      <c r="H570" s="20">
        <f>IF($A570="","",YEAR($A570))</f>
        <v>0</v>
      </c>
      <c r="I570" s="20">
        <f>IF($A570="","",MONTH($A570))</f>
        <v>0</v>
      </c>
      <c r="J570" s="21">
        <f>IF(OR($A570="",$F570=""),"",IF($B570="Entrada",$F570,-$F570))</f>
        <v>0</v>
      </c>
      <c r="K570" s="20">
        <f>IF($A570="","",IF(OR($B570="",$C570="",$F570="",$G570=""),"Preencher tudo",IF(IFERROR(INDEX(CatTipo,MATCH($C570,CatNome,0)),"")&lt;&gt;$B570,"Categoria x Tipo?","OK")))</f>
        <v>0</v>
      </c>
    </row>
    <row r="571" spans="1:11">
      <c r="A571" s="18"/>
      <c r="B571" s="19"/>
      <c r="C571" s="15"/>
      <c r="D571" s="15"/>
      <c r="E571" s="15"/>
      <c r="F571" s="17"/>
      <c r="G571" s="19"/>
      <c r="H571" s="20">
        <f>IF($A571="","",YEAR($A571))</f>
        <v>0</v>
      </c>
      <c r="I571" s="20">
        <f>IF($A571="","",MONTH($A571))</f>
        <v>0</v>
      </c>
      <c r="J571" s="21">
        <f>IF(OR($A571="",$F571=""),"",IF($B571="Entrada",$F571,-$F571))</f>
        <v>0</v>
      </c>
      <c r="K571" s="20">
        <f>IF($A571="","",IF(OR($B571="",$C571="",$F571="",$G571=""),"Preencher tudo",IF(IFERROR(INDEX(CatTipo,MATCH($C571,CatNome,0)),"")&lt;&gt;$B571,"Categoria x Tipo?","OK")))</f>
        <v>0</v>
      </c>
    </row>
    <row r="572" spans="1:11">
      <c r="A572" s="18"/>
      <c r="B572" s="19"/>
      <c r="C572" s="15"/>
      <c r="D572" s="15"/>
      <c r="E572" s="15"/>
      <c r="F572" s="17"/>
      <c r="G572" s="19"/>
      <c r="H572" s="20">
        <f>IF($A572="","",YEAR($A572))</f>
        <v>0</v>
      </c>
      <c r="I572" s="20">
        <f>IF($A572="","",MONTH($A572))</f>
        <v>0</v>
      </c>
      <c r="J572" s="21">
        <f>IF(OR($A572="",$F572=""),"",IF($B572="Entrada",$F572,-$F572))</f>
        <v>0</v>
      </c>
      <c r="K572" s="20">
        <f>IF($A572="","",IF(OR($B572="",$C572="",$F572="",$G572=""),"Preencher tudo",IF(IFERROR(INDEX(CatTipo,MATCH($C572,CatNome,0)),"")&lt;&gt;$B572,"Categoria x Tipo?","OK")))</f>
        <v>0</v>
      </c>
    </row>
    <row r="573" spans="1:11">
      <c r="A573" s="18"/>
      <c r="B573" s="19"/>
      <c r="C573" s="15"/>
      <c r="D573" s="15"/>
      <c r="E573" s="15"/>
      <c r="F573" s="17"/>
      <c r="G573" s="19"/>
      <c r="H573" s="20">
        <f>IF($A573="","",YEAR($A573))</f>
        <v>0</v>
      </c>
      <c r="I573" s="20">
        <f>IF($A573="","",MONTH($A573))</f>
        <v>0</v>
      </c>
      <c r="J573" s="21">
        <f>IF(OR($A573="",$F573=""),"",IF($B573="Entrada",$F573,-$F573))</f>
        <v>0</v>
      </c>
      <c r="K573" s="20">
        <f>IF($A573="","",IF(OR($B573="",$C573="",$F573="",$G573=""),"Preencher tudo",IF(IFERROR(INDEX(CatTipo,MATCH($C573,CatNome,0)),"")&lt;&gt;$B573,"Categoria x Tipo?","OK")))</f>
        <v>0</v>
      </c>
    </row>
    <row r="574" spans="1:11">
      <c r="A574" s="18"/>
      <c r="B574" s="19"/>
      <c r="C574" s="15"/>
      <c r="D574" s="15"/>
      <c r="E574" s="15"/>
      <c r="F574" s="17"/>
      <c r="G574" s="19"/>
      <c r="H574" s="20">
        <f>IF($A574="","",YEAR($A574))</f>
        <v>0</v>
      </c>
      <c r="I574" s="20">
        <f>IF($A574="","",MONTH($A574))</f>
        <v>0</v>
      </c>
      <c r="J574" s="21">
        <f>IF(OR($A574="",$F574=""),"",IF($B574="Entrada",$F574,-$F574))</f>
        <v>0</v>
      </c>
      <c r="K574" s="20">
        <f>IF($A574="","",IF(OR($B574="",$C574="",$F574="",$G574=""),"Preencher tudo",IF(IFERROR(INDEX(CatTipo,MATCH($C574,CatNome,0)),"")&lt;&gt;$B574,"Categoria x Tipo?","OK")))</f>
        <v>0</v>
      </c>
    </row>
    <row r="575" spans="1:11">
      <c r="A575" s="18"/>
      <c r="B575" s="19"/>
      <c r="C575" s="15"/>
      <c r="D575" s="15"/>
      <c r="E575" s="15"/>
      <c r="F575" s="17"/>
      <c r="G575" s="19"/>
      <c r="H575" s="20">
        <f>IF($A575="","",YEAR($A575))</f>
        <v>0</v>
      </c>
      <c r="I575" s="20">
        <f>IF($A575="","",MONTH($A575))</f>
        <v>0</v>
      </c>
      <c r="J575" s="21">
        <f>IF(OR($A575="",$F575=""),"",IF($B575="Entrada",$F575,-$F575))</f>
        <v>0</v>
      </c>
      <c r="K575" s="20">
        <f>IF($A575="","",IF(OR($B575="",$C575="",$F575="",$G575=""),"Preencher tudo",IF(IFERROR(INDEX(CatTipo,MATCH($C575,CatNome,0)),"")&lt;&gt;$B575,"Categoria x Tipo?","OK")))</f>
        <v>0</v>
      </c>
    </row>
    <row r="576" spans="1:11">
      <c r="A576" s="18"/>
      <c r="B576" s="19"/>
      <c r="C576" s="15"/>
      <c r="D576" s="15"/>
      <c r="E576" s="15"/>
      <c r="F576" s="17"/>
      <c r="G576" s="19"/>
      <c r="H576" s="20">
        <f>IF($A576="","",YEAR($A576))</f>
        <v>0</v>
      </c>
      <c r="I576" s="20">
        <f>IF($A576="","",MONTH($A576))</f>
        <v>0</v>
      </c>
      <c r="J576" s="21">
        <f>IF(OR($A576="",$F576=""),"",IF($B576="Entrada",$F576,-$F576))</f>
        <v>0</v>
      </c>
      <c r="K576" s="20">
        <f>IF($A576="","",IF(OR($B576="",$C576="",$F576="",$G576=""),"Preencher tudo",IF(IFERROR(INDEX(CatTipo,MATCH($C576,CatNome,0)),"")&lt;&gt;$B576,"Categoria x Tipo?","OK")))</f>
        <v>0</v>
      </c>
    </row>
    <row r="577" spans="1:11">
      <c r="A577" s="18"/>
      <c r="B577" s="19"/>
      <c r="C577" s="15"/>
      <c r="D577" s="15"/>
      <c r="E577" s="15"/>
      <c r="F577" s="17"/>
      <c r="G577" s="19"/>
      <c r="H577" s="20">
        <f>IF($A577="","",YEAR($A577))</f>
        <v>0</v>
      </c>
      <c r="I577" s="20">
        <f>IF($A577="","",MONTH($A577))</f>
        <v>0</v>
      </c>
      <c r="J577" s="21">
        <f>IF(OR($A577="",$F577=""),"",IF($B577="Entrada",$F577,-$F577))</f>
        <v>0</v>
      </c>
      <c r="K577" s="20">
        <f>IF($A577="","",IF(OR($B577="",$C577="",$F577="",$G577=""),"Preencher tudo",IF(IFERROR(INDEX(CatTipo,MATCH($C577,CatNome,0)),"")&lt;&gt;$B577,"Categoria x Tipo?","OK")))</f>
        <v>0</v>
      </c>
    </row>
    <row r="578" spans="1:11">
      <c r="A578" s="18"/>
      <c r="B578" s="19"/>
      <c r="C578" s="15"/>
      <c r="D578" s="15"/>
      <c r="E578" s="15"/>
      <c r="F578" s="17"/>
      <c r="G578" s="19"/>
      <c r="H578" s="20">
        <f>IF($A578="","",YEAR($A578))</f>
        <v>0</v>
      </c>
      <c r="I578" s="20">
        <f>IF($A578="","",MONTH($A578))</f>
        <v>0</v>
      </c>
      <c r="J578" s="21">
        <f>IF(OR($A578="",$F578=""),"",IF($B578="Entrada",$F578,-$F578))</f>
        <v>0</v>
      </c>
      <c r="K578" s="20">
        <f>IF($A578="","",IF(OR($B578="",$C578="",$F578="",$G578=""),"Preencher tudo",IF(IFERROR(INDEX(CatTipo,MATCH($C578,CatNome,0)),"")&lt;&gt;$B578,"Categoria x Tipo?","OK")))</f>
        <v>0</v>
      </c>
    </row>
    <row r="579" spans="1:11">
      <c r="A579" s="18"/>
      <c r="B579" s="19"/>
      <c r="C579" s="15"/>
      <c r="D579" s="15"/>
      <c r="E579" s="15"/>
      <c r="F579" s="17"/>
      <c r="G579" s="19"/>
      <c r="H579" s="20">
        <f>IF($A579="","",YEAR($A579))</f>
        <v>0</v>
      </c>
      <c r="I579" s="20">
        <f>IF($A579="","",MONTH($A579))</f>
        <v>0</v>
      </c>
      <c r="J579" s="21">
        <f>IF(OR($A579="",$F579=""),"",IF($B579="Entrada",$F579,-$F579))</f>
        <v>0</v>
      </c>
      <c r="K579" s="20">
        <f>IF($A579="","",IF(OR($B579="",$C579="",$F579="",$G579=""),"Preencher tudo",IF(IFERROR(INDEX(CatTipo,MATCH($C579,CatNome,0)),"")&lt;&gt;$B579,"Categoria x Tipo?","OK")))</f>
        <v>0</v>
      </c>
    </row>
    <row r="580" spans="1:11">
      <c r="A580" s="18"/>
      <c r="B580" s="19"/>
      <c r="C580" s="15"/>
      <c r="D580" s="15"/>
      <c r="E580" s="15"/>
      <c r="F580" s="17"/>
      <c r="G580" s="19"/>
      <c r="H580" s="20">
        <f>IF($A580="","",YEAR($A580))</f>
        <v>0</v>
      </c>
      <c r="I580" s="20">
        <f>IF($A580="","",MONTH($A580))</f>
        <v>0</v>
      </c>
      <c r="J580" s="21">
        <f>IF(OR($A580="",$F580=""),"",IF($B580="Entrada",$F580,-$F580))</f>
        <v>0</v>
      </c>
      <c r="K580" s="20">
        <f>IF($A580="","",IF(OR($B580="",$C580="",$F580="",$G580=""),"Preencher tudo",IF(IFERROR(INDEX(CatTipo,MATCH($C580,CatNome,0)),"")&lt;&gt;$B580,"Categoria x Tipo?","OK")))</f>
        <v>0</v>
      </c>
    </row>
    <row r="581" spans="1:11">
      <c r="A581" s="18"/>
      <c r="B581" s="19"/>
      <c r="C581" s="15"/>
      <c r="D581" s="15"/>
      <c r="E581" s="15"/>
      <c r="F581" s="17"/>
      <c r="G581" s="19"/>
      <c r="H581" s="20">
        <f>IF($A581="","",YEAR($A581))</f>
        <v>0</v>
      </c>
      <c r="I581" s="20">
        <f>IF($A581="","",MONTH($A581))</f>
        <v>0</v>
      </c>
      <c r="J581" s="21">
        <f>IF(OR($A581="",$F581=""),"",IF($B581="Entrada",$F581,-$F581))</f>
        <v>0</v>
      </c>
      <c r="K581" s="20">
        <f>IF($A581="","",IF(OR($B581="",$C581="",$F581="",$G581=""),"Preencher tudo",IF(IFERROR(INDEX(CatTipo,MATCH($C581,CatNome,0)),"")&lt;&gt;$B581,"Categoria x Tipo?","OK")))</f>
        <v>0</v>
      </c>
    </row>
    <row r="582" spans="1:11">
      <c r="A582" s="18"/>
      <c r="B582" s="19"/>
      <c r="C582" s="15"/>
      <c r="D582" s="15"/>
      <c r="E582" s="15"/>
      <c r="F582" s="17"/>
      <c r="G582" s="19"/>
      <c r="H582" s="20">
        <f>IF($A582="","",YEAR($A582))</f>
        <v>0</v>
      </c>
      <c r="I582" s="20">
        <f>IF($A582="","",MONTH($A582))</f>
        <v>0</v>
      </c>
      <c r="J582" s="21">
        <f>IF(OR($A582="",$F582=""),"",IF($B582="Entrada",$F582,-$F582))</f>
        <v>0</v>
      </c>
      <c r="K582" s="20">
        <f>IF($A582="","",IF(OR($B582="",$C582="",$F582="",$G582=""),"Preencher tudo",IF(IFERROR(INDEX(CatTipo,MATCH($C582,CatNome,0)),"")&lt;&gt;$B582,"Categoria x Tipo?","OK")))</f>
        <v>0</v>
      </c>
    </row>
    <row r="583" spans="1:11">
      <c r="A583" s="18"/>
      <c r="B583" s="19"/>
      <c r="C583" s="15"/>
      <c r="D583" s="15"/>
      <c r="E583" s="15"/>
      <c r="F583" s="17"/>
      <c r="G583" s="19"/>
      <c r="H583" s="20">
        <f>IF($A583="","",YEAR($A583))</f>
        <v>0</v>
      </c>
      <c r="I583" s="20">
        <f>IF($A583="","",MONTH($A583))</f>
        <v>0</v>
      </c>
      <c r="J583" s="21">
        <f>IF(OR($A583="",$F583=""),"",IF($B583="Entrada",$F583,-$F583))</f>
        <v>0</v>
      </c>
      <c r="K583" s="20">
        <f>IF($A583="","",IF(OR($B583="",$C583="",$F583="",$G583=""),"Preencher tudo",IF(IFERROR(INDEX(CatTipo,MATCH($C583,CatNome,0)),"")&lt;&gt;$B583,"Categoria x Tipo?","OK")))</f>
        <v>0</v>
      </c>
    </row>
    <row r="584" spans="1:11">
      <c r="A584" s="18"/>
      <c r="B584" s="19"/>
      <c r="C584" s="15"/>
      <c r="D584" s="15"/>
      <c r="E584" s="15"/>
      <c r="F584" s="17"/>
      <c r="G584" s="19"/>
      <c r="H584" s="20">
        <f>IF($A584="","",YEAR($A584))</f>
        <v>0</v>
      </c>
      <c r="I584" s="20">
        <f>IF($A584="","",MONTH($A584))</f>
        <v>0</v>
      </c>
      <c r="J584" s="21">
        <f>IF(OR($A584="",$F584=""),"",IF($B584="Entrada",$F584,-$F584))</f>
        <v>0</v>
      </c>
      <c r="K584" s="20">
        <f>IF($A584="","",IF(OR($B584="",$C584="",$F584="",$G584=""),"Preencher tudo",IF(IFERROR(INDEX(CatTipo,MATCH($C584,CatNome,0)),"")&lt;&gt;$B584,"Categoria x Tipo?","OK")))</f>
        <v>0</v>
      </c>
    </row>
    <row r="585" spans="1:11">
      <c r="A585" s="18"/>
      <c r="B585" s="19"/>
      <c r="C585" s="15"/>
      <c r="D585" s="15"/>
      <c r="E585" s="15"/>
      <c r="F585" s="17"/>
      <c r="G585" s="19"/>
      <c r="H585" s="20">
        <f>IF($A585="","",YEAR($A585))</f>
        <v>0</v>
      </c>
      <c r="I585" s="20">
        <f>IF($A585="","",MONTH($A585))</f>
        <v>0</v>
      </c>
      <c r="J585" s="21">
        <f>IF(OR($A585="",$F585=""),"",IF($B585="Entrada",$F585,-$F585))</f>
        <v>0</v>
      </c>
      <c r="K585" s="20">
        <f>IF($A585="","",IF(OR($B585="",$C585="",$F585="",$G585=""),"Preencher tudo",IF(IFERROR(INDEX(CatTipo,MATCH($C585,CatNome,0)),"")&lt;&gt;$B585,"Categoria x Tipo?","OK")))</f>
        <v>0</v>
      </c>
    </row>
    <row r="586" spans="1:11">
      <c r="A586" s="18"/>
      <c r="B586" s="19"/>
      <c r="C586" s="15"/>
      <c r="D586" s="15"/>
      <c r="E586" s="15"/>
      <c r="F586" s="17"/>
      <c r="G586" s="19"/>
      <c r="H586" s="20">
        <f>IF($A586="","",YEAR($A586))</f>
        <v>0</v>
      </c>
      <c r="I586" s="20">
        <f>IF($A586="","",MONTH($A586))</f>
        <v>0</v>
      </c>
      <c r="J586" s="21">
        <f>IF(OR($A586="",$F586=""),"",IF($B586="Entrada",$F586,-$F586))</f>
        <v>0</v>
      </c>
      <c r="K586" s="20">
        <f>IF($A586="","",IF(OR($B586="",$C586="",$F586="",$G586=""),"Preencher tudo",IF(IFERROR(INDEX(CatTipo,MATCH($C586,CatNome,0)),"")&lt;&gt;$B586,"Categoria x Tipo?","OK")))</f>
        <v>0</v>
      </c>
    </row>
    <row r="587" spans="1:11">
      <c r="A587" s="18"/>
      <c r="B587" s="19"/>
      <c r="C587" s="15"/>
      <c r="D587" s="15"/>
      <c r="E587" s="15"/>
      <c r="F587" s="17"/>
      <c r="G587" s="19"/>
      <c r="H587" s="20">
        <f>IF($A587="","",YEAR($A587))</f>
        <v>0</v>
      </c>
      <c r="I587" s="20">
        <f>IF($A587="","",MONTH($A587))</f>
        <v>0</v>
      </c>
      <c r="J587" s="21">
        <f>IF(OR($A587="",$F587=""),"",IF($B587="Entrada",$F587,-$F587))</f>
        <v>0</v>
      </c>
      <c r="K587" s="20">
        <f>IF($A587="","",IF(OR($B587="",$C587="",$F587="",$G587=""),"Preencher tudo",IF(IFERROR(INDEX(CatTipo,MATCH($C587,CatNome,0)),"")&lt;&gt;$B587,"Categoria x Tipo?","OK")))</f>
        <v>0</v>
      </c>
    </row>
    <row r="588" spans="1:11">
      <c r="A588" s="18"/>
      <c r="B588" s="19"/>
      <c r="C588" s="15"/>
      <c r="D588" s="15"/>
      <c r="E588" s="15"/>
      <c r="F588" s="17"/>
      <c r="G588" s="19"/>
      <c r="H588" s="20">
        <f>IF($A588="","",YEAR($A588))</f>
        <v>0</v>
      </c>
      <c r="I588" s="20">
        <f>IF($A588="","",MONTH($A588))</f>
        <v>0</v>
      </c>
      <c r="J588" s="21">
        <f>IF(OR($A588="",$F588=""),"",IF($B588="Entrada",$F588,-$F588))</f>
        <v>0</v>
      </c>
      <c r="K588" s="20">
        <f>IF($A588="","",IF(OR($B588="",$C588="",$F588="",$G588=""),"Preencher tudo",IF(IFERROR(INDEX(CatTipo,MATCH($C588,CatNome,0)),"")&lt;&gt;$B588,"Categoria x Tipo?","OK")))</f>
        <v>0</v>
      </c>
    </row>
    <row r="589" spans="1:11">
      <c r="A589" s="18"/>
      <c r="B589" s="19"/>
      <c r="C589" s="15"/>
      <c r="D589" s="15"/>
      <c r="E589" s="15"/>
      <c r="F589" s="17"/>
      <c r="G589" s="19"/>
      <c r="H589" s="20">
        <f>IF($A589="","",YEAR($A589))</f>
        <v>0</v>
      </c>
      <c r="I589" s="20">
        <f>IF($A589="","",MONTH($A589))</f>
        <v>0</v>
      </c>
      <c r="J589" s="21">
        <f>IF(OR($A589="",$F589=""),"",IF($B589="Entrada",$F589,-$F589))</f>
        <v>0</v>
      </c>
      <c r="K589" s="20">
        <f>IF($A589="","",IF(OR($B589="",$C589="",$F589="",$G589=""),"Preencher tudo",IF(IFERROR(INDEX(CatTipo,MATCH($C589,CatNome,0)),"")&lt;&gt;$B589,"Categoria x Tipo?","OK")))</f>
        <v>0</v>
      </c>
    </row>
    <row r="590" spans="1:11">
      <c r="A590" s="18"/>
      <c r="B590" s="19"/>
      <c r="C590" s="15"/>
      <c r="D590" s="15"/>
      <c r="E590" s="15"/>
      <c r="F590" s="17"/>
      <c r="G590" s="19"/>
      <c r="H590" s="20">
        <f>IF($A590="","",YEAR($A590))</f>
        <v>0</v>
      </c>
      <c r="I590" s="20">
        <f>IF($A590="","",MONTH($A590))</f>
        <v>0</v>
      </c>
      <c r="J590" s="21">
        <f>IF(OR($A590="",$F590=""),"",IF($B590="Entrada",$F590,-$F590))</f>
        <v>0</v>
      </c>
      <c r="K590" s="20">
        <f>IF($A590="","",IF(OR($B590="",$C590="",$F590="",$G590=""),"Preencher tudo",IF(IFERROR(INDEX(CatTipo,MATCH($C590,CatNome,0)),"")&lt;&gt;$B590,"Categoria x Tipo?","OK")))</f>
        <v>0</v>
      </c>
    </row>
    <row r="591" spans="1:11">
      <c r="A591" s="18"/>
      <c r="B591" s="19"/>
      <c r="C591" s="15"/>
      <c r="D591" s="15"/>
      <c r="E591" s="15"/>
      <c r="F591" s="17"/>
      <c r="G591" s="19"/>
      <c r="H591" s="20">
        <f>IF($A591="","",YEAR($A591))</f>
        <v>0</v>
      </c>
      <c r="I591" s="20">
        <f>IF($A591="","",MONTH($A591))</f>
        <v>0</v>
      </c>
      <c r="J591" s="21">
        <f>IF(OR($A591="",$F591=""),"",IF($B591="Entrada",$F591,-$F591))</f>
        <v>0</v>
      </c>
      <c r="K591" s="20">
        <f>IF($A591="","",IF(OR($B591="",$C591="",$F591="",$G591=""),"Preencher tudo",IF(IFERROR(INDEX(CatTipo,MATCH($C591,CatNome,0)),"")&lt;&gt;$B591,"Categoria x Tipo?","OK")))</f>
        <v>0</v>
      </c>
    </row>
    <row r="592" spans="1:11">
      <c r="A592" s="18"/>
      <c r="B592" s="19"/>
      <c r="C592" s="15"/>
      <c r="D592" s="15"/>
      <c r="E592" s="15"/>
      <c r="F592" s="17"/>
      <c r="G592" s="19"/>
      <c r="H592" s="20">
        <f>IF($A592="","",YEAR($A592))</f>
        <v>0</v>
      </c>
      <c r="I592" s="20">
        <f>IF($A592="","",MONTH($A592))</f>
        <v>0</v>
      </c>
      <c r="J592" s="21">
        <f>IF(OR($A592="",$F592=""),"",IF($B592="Entrada",$F592,-$F592))</f>
        <v>0</v>
      </c>
      <c r="K592" s="20">
        <f>IF($A592="","",IF(OR($B592="",$C592="",$F592="",$G592=""),"Preencher tudo",IF(IFERROR(INDEX(CatTipo,MATCH($C592,CatNome,0)),"")&lt;&gt;$B592,"Categoria x Tipo?","OK")))</f>
        <v>0</v>
      </c>
    </row>
    <row r="593" spans="1:11">
      <c r="A593" s="18"/>
      <c r="B593" s="19"/>
      <c r="C593" s="15"/>
      <c r="D593" s="15"/>
      <c r="E593" s="15"/>
      <c r="F593" s="17"/>
      <c r="G593" s="19"/>
      <c r="H593" s="20">
        <f>IF($A593="","",YEAR($A593))</f>
        <v>0</v>
      </c>
      <c r="I593" s="20">
        <f>IF($A593="","",MONTH($A593))</f>
        <v>0</v>
      </c>
      <c r="J593" s="21">
        <f>IF(OR($A593="",$F593=""),"",IF($B593="Entrada",$F593,-$F593))</f>
        <v>0</v>
      </c>
      <c r="K593" s="20">
        <f>IF($A593="","",IF(OR($B593="",$C593="",$F593="",$G593=""),"Preencher tudo",IF(IFERROR(INDEX(CatTipo,MATCH($C593,CatNome,0)),"")&lt;&gt;$B593,"Categoria x Tipo?","OK")))</f>
        <v>0</v>
      </c>
    </row>
    <row r="594" spans="1:11">
      <c r="A594" s="18"/>
      <c r="B594" s="19"/>
      <c r="C594" s="15"/>
      <c r="D594" s="15"/>
      <c r="E594" s="15"/>
      <c r="F594" s="17"/>
      <c r="G594" s="19"/>
      <c r="H594" s="20">
        <f>IF($A594="","",YEAR($A594))</f>
        <v>0</v>
      </c>
      <c r="I594" s="20">
        <f>IF($A594="","",MONTH($A594))</f>
        <v>0</v>
      </c>
      <c r="J594" s="21">
        <f>IF(OR($A594="",$F594=""),"",IF($B594="Entrada",$F594,-$F594))</f>
        <v>0</v>
      </c>
      <c r="K594" s="20">
        <f>IF($A594="","",IF(OR($B594="",$C594="",$F594="",$G594=""),"Preencher tudo",IF(IFERROR(INDEX(CatTipo,MATCH($C594,CatNome,0)),"")&lt;&gt;$B594,"Categoria x Tipo?","OK")))</f>
        <v>0</v>
      </c>
    </row>
    <row r="595" spans="1:11">
      <c r="A595" s="18"/>
      <c r="B595" s="19"/>
      <c r="C595" s="15"/>
      <c r="D595" s="15"/>
      <c r="E595" s="15"/>
      <c r="F595" s="17"/>
      <c r="G595" s="19"/>
      <c r="H595" s="20">
        <f>IF($A595="","",YEAR($A595))</f>
        <v>0</v>
      </c>
      <c r="I595" s="20">
        <f>IF($A595="","",MONTH($A595))</f>
        <v>0</v>
      </c>
      <c r="J595" s="21">
        <f>IF(OR($A595="",$F595=""),"",IF($B595="Entrada",$F595,-$F595))</f>
        <v>0</v>
      </c>
      <c r="K595" s="20">
        <f>IF($A595="","",IF(OR($B595="",$C595="",$F595="",$G595=""),"Preencher tudo",IF(IFERROR(INDEX(CatTipo,MATCH($C595,CatNome,0)),"")&lt;&gt;$B595,"Categoria x Tipo?","OK")))</f>
        <v>0</v>
      </c>
    </row>
    <row r="596" spans="1:11">
      <c r="A596" s="18"/>
      <c r="B596" s="19"/>
      <c r="C596" s="15"/>
      <c r="D596" s="15"/>
      <c r="E596" s="15"/>
      <c r="F596" s="17"/>
      <c r="G596" s="19"/>
      <c r="H596" s="20">
        <f>IF($A596="","",YEAR($A596))</f>
        <v>0</v>
      </c>
      <c r="I596" s="20">
        <f>IF($A596="","",MONTH($A596))</f>
        <v>0</v>
      </c>
      <c r="J596" s="21">
        <f>IF(OR($A596="",$F596=""),"",IF($B596="Entrada",$F596,-$F596))</f>
        <v>0</v>
      </c>
      <c r="K596" s="20">
        <f>IF($A596="","",IF(OR($B596="",$C596="",$F596="",$G596=""),"Preencher tudo",IF(IFERROR(INDEX(CatTipo,MATCH($C596,CatNome,0)),"")&lt;&gt;$B596,"Categoria x Tipo?","OK")))</f>
        <v>0</v>
      </c>
    </row>
    <row r="597" spans="1:11">
      <c r="A597" s="18"/>
      <c r="B597" s="19"/>
      <c r="C597" s="15"/>
      <c r="D597" s="15"/>
      <c r="E597" s="15"/>
      <c r="F597" s="17"/>
      <c r="G597" s="19"/>
      <c r="H597" s="20">
        <f>IF($A597="","",YEAR($A597))</f>
        <v>0</v>
      </c>
      <c r="I597" s="20">
        <f>IF($A597="","",MONTH($A597))</f>
        <v>0</v>
      </c>
      <c r="J597" s="21">
        <f>IF(OR($A597="",$F597=""),"",IF($B597="Entrada",$F597,-$F597))</f>
        <v>0</v>
      </c>
      <c r="K597" s="20">
        <f>IF($A597="","",IF(OR($B597="",$C597="",$F597="",$G597=""),"Preencher tudo",IF(IFERROR(INDEX(CatTipo,MATCH($C597,CatNome,0)),"")&lt;&gt;$B597,"Categoria x Tipo?","OK")))</f>
        <v>0</v>
      </c>
    </row>
    <row r="598" spans="1:11">
      <c r="A598" s="18"/>
      <c r="B598" s="19"/>
      <c r="C598" s="15"/>
      <c r="D598" s="15"/>
      <c r="E598" s="15"/>
      <c r="F598" s="17"/>
      <c r="G598" s="19"/>
      <c r="H598" s="20">
        <f>IF($A598="","",YEAR($A598))</f>
        <v>0</v>
      </c>
      <c r="I598" s="20">
        <f>IF($A598="","",MONTH($A598))</f>
        <v>0</v>
      </c>
      <c r="J598" s="21">
        <f>IF(OR($A598="",$F598=""),"",IF($B598="Entrada",$F598,-$F598))</f>
        <v>0</v>
      </c>
      <c r="K598" s="20">
        <f>IF($A598="","",IF(OR($B598="",$C598="",$F598="",$G598=""),"Preencher tudo",IF(IFERROR(INDEX(CatTipo,MATCH($C598,CatNome,0)),"")&lt;&gt;$B598,"Categoria x Tipo?","OK")))</f>
        <v>0</v>
      </c>
    </row>
    <row r="599" spans="1:11">
      <c r="A599" s="18"/>
      <c r="B599" s="19"/>
      <c r="C599" s="15"/>
      <c r="D599" s="15"/>
      <c r="E599" s="15"/>
      <c r="F599" s="17"/>
      <c r="G599" s="19"/>
      <c r="H599" s="20">
        <f>IF($A599="","",YEAR($A599))</f>
        <v>0</v>
      </c>
      <c r="I599" s="20">
        <f>IF($A599="","",MONTH($A599))</f>
        <v>0</v>
      </c>
      <c r="J599" s="21">
        <f>IF(OR($A599="",$F599=""),"",IF($B599="Entrada",$F599,-$F599))</f>
        <v>0</v>
      </c>
      <c r="K599" s="20">
        <f>IF($A599="","",IF(OR($B599="",$C599="",$F599="",$G599=""),"Preencher tudo",IF(IFERROR(INDEX(CatTipo,MATCH($C599,CatNome,0)),"")&lt;&gt;$B599,"Categoria x Tipo?","OK")))</f>
        <v>0</v>
      </c>
    </row>
    <row r="600" spans="1:11">
      <c r="A600" s="18"/>
      <c r="B600" s="19"/>
      <c r="C600" s="15"/>
      <c r="D600" s="15"/>
      <c r="E600" s="15"/>
      <c r="F600" s="17"/>
      <c r="G600" s="19"/>
      <c r="H600" s="20">
        <f>IF($A600="","",YEAR($A600))</f>
        <v>0</v>
      </c>
      <c r="I600" s="20">
        <f>IF($A600="","",MONTH($A600))</f>
        <v>0</v>
      </c>
      <c r="J600" s="21">
        <f>IF(OR($A600="",$F600=""),"",IF($B600="Entrada",$F600,-$F600))</f>
        <v>0</v>
      </c>
      <c r="K600" s="20">
        <f>IF($A600="","",IF(OR($B600="",$C600="",$F600="",$G600=""),"Preencher tudo",IF(IFERROR(INDEX(CatTipo,MATCH($C600,CatNome,0)),"")&lt;&gt;$B600,"Categoria x Tipo?","OK")))</f>
        <v>0</v>
      </c>
    </row>
    <row r="601" spans="1:11">
      <c r="A601" s="18"/>
      <c r="B601" s="19"/>
      <c r="C601" s="15"/>
      <c r="D601" s="15"/>
      <c r="E601" s="15"/>
      <c r="F601" s="17"/>
      <c r="G601" s="19"/>
      <c r="H601" s="20">
        <f>IF($A601="","",YEAR($A601))</f>
        <v>0</v>
      </c>
      <c r="I601" s="20">
        <f>IF($A601="","",MONTH($A601))</f>
        <v>0</v>
      </c>
      <c r="J601" s="21">
        <f>IF(OR($A601="",$F601=""),"",IF($B601="Entrada",$F601,-$F601))</f>
        <v>0</v>
      </c>
      <c r="K601" s="20">
        <f>IF($A601="","",IF(OR($B601="",$C601="",$F601="",$G601=""),"Preencher tudo",IF(IFERROR(INDEX(CatTipo,MATCH($C601,CatNome,0)),"")&lt;&gt;$B601,"Categoria x Tipo?","OK")))</f>
        <v>0</v>
      </c>
    </row>
    <row r="602" spans="1:11">
      <c r="A602" s="18"/>
      <c r="B602" s="19"/>
      <c r="C602" s="15"/>
      <c r="D602" s="15"/>
      <c r="E602" s="15"/>
      <c r="F602" s="17"/>
      <c r="G602" s="19"/>
      <c r="H602" s="20">
        <f>IF($A602="","",YEAR($A602))</f>
        <v>0</v>
      </c>
      <c r="I602" s="20">
        <f>IF($A602="","",MONTH($A602))</f>
        <v>0</v>
      </c>
      <c r="J602" s="21">
        <f>IF(OR($A602="",$F602=""),"",IF($B602="Entrada",$F602,-$F602))</f>
        <v>0</v>
      </c>
      <c r="K602" s="20">
        <f>IF($A602="","",IF(OR($B602="",$C602="",$F602="",$G602=""),"Preencher tudo",IF(IFERROR(INDEX(CatTipo,MATCH($C602,CatNome,0)),"")&lt;&gt;$B602,"Categoria x Tipo?","OK")))</f>
        <v>0</v>
      </c>
    </row>
    <row r="603" spans="1:11">
      <c r="A603" s="18"/>
      <c r="B603" s="19"/>
      <c r="C603" s="15"/>
      <c r="D603" s="15"/>
      <c r="E603" s="15"/>
      <c r="F603" s="17"/>
      <c r="G603" s="19"/>
      <c r="H603" s="20">
        <f>IF($A603="","",YEAR($A603))</f>
        <v>0</v>
      </c>
      <c r="I603" s="20">
        <f>IF($A603="","",MONTH($A603))</f>
        <v>0</v>
      </c>
      <c r="J603" s="21">
        <f>IF(OR($A603="",$F603=""),"",IF($B603="Entrada",$F603,-$F603))</f>
        <v>0</v>
      </c>
      <c r="K603" s="20">
        <f>IF($A603="","",IF(OR($B603="",$C603="",$F603="",$G603=""),"Preencher tudo",IF(IFERROR(INDEX(CatTipo,MATCH($C603,CatNome,0)),"")&lt;&gt;$B603,"Categoria x Tipo?","OK")))</f>
        <v>0</v>
      </c>
    </row>
    <row r="604" spans="1:11">
      <c r="A604" s="18"/>
      <c r="B604" s="19"/>
      <c r="C604" s="15"/>
      <c r="D604" s="15"/>
      <c r="E604" s="15"/>
      <c r="F604" s="17"/>
      <c r="G604" s="19"/>
      <c r="H604" s="20">
        <f>IF($A604="","",YEAR($A604))</f>
        <v>0</v>
      </c>
      <c r="I604" s="20">
        <f>IF($A604="","",MONTH($A604))</f>
        <v>0</v>
      </c>
      <c r="J604" s="21">
        <f>IF(OR($A604="",$F604=""),"",IF($B604="Entrada",$F604,-$F604))</f>
        <v>0</v>
      </c>
      <c r="K604" s="20">
        <f>IF($A604="","",IF(OR($B604="",$C604="",$F604="",$G604=""),"Preencher tudo",IF(IFERROR(INDEX(CatTipo,MATCH($C604,CatNome,0)),"")&lt;&gt;$B604,"Categoria x Tipo?","OK")))</f>
        <v>0</v>
      </c>
    </row>
    <row r="605" spans="1:11">
      <c r="A605" s="18"/>
      <c r="B605" s="19"/>
      <c r="C605" s="15"/>
      <c r="D605" s="15"/>
      <c r="E605" s="15"/>
      <c r="F605" s="17"/>
      <c r="G605" s="19"/>
      <c r="H605" s="20">
        <f>IF($A605="","",YEAR($A605))</f>
        <v>0</v>
      </c>
      <c r="I605" s="20">
        <f>IF($A605="","",MONTH($A605))</f>
        <v>0</v>
      </c>
      <c r="J605" s="21">
        <f>IF(OR($A605="",$F605=""),"",IF($B605="Entrada",$F605,-$F605))</f>
        <v>0</v>
      </c>
      <c r="K605" s="20">
        <f>IF($A605="","",IF(OR($B605="",$C605="",$F605="",$G605=""),"Preencher tudo",IF(IFERROR(INDEX(CatTipo,MATCH($C605,CatNome,0)),"")&lt;&gt;$B605,"Categoria x Tipo?","OK")))</f>
        <v>0</v>
      </c>
    </row>
    <row r="606" spans="1:11">
      <c r="A606" s="18"/>
      <c r="B606" s="19"/>
      <c r="C606" s="15"/>
      <c r="D606" s="15"/>
      <c r="E606" s="15"/>
      <c r="F606" s="17"/>
      <c r="G606" s="19"/>
      <c r="H606" s="20">
        <f>IF($A606="","",YEAR($A606))</f>
        <v>0</v>
      </c>
      <c r="I606" s="20">
        <f>IF($A606="","",MONTH($A606))</f>
        <v>0</v>
      </c>
      <c r="J606" s="21">
        <f>IF(OR($A606="",$F606=""),"",IF($B606="Entrada",$F606,-$F606))</f>
        <v>0</v>
      </c>
      <c r="K606" s="20">
        <f>IF($A606="","",IF(OR($B606="",$C606="",$F606="",$G606=""),"Preencher tudo",IF(IFERROR(INDEX(CatTipo,MATCH($C606,CatNome,0)),"")&lt;&gt;$B606,"Categoria x Tipo?","OK")))</f>
        <v>0</v>
      </c>
    </row>
    <row r="607" spans="1:11">
      <c r="A607" s="18"/>
      <c r="B607" s="19"/>
      <c r="C607" s="15"/>
      <c r="D607" s="15"/>
      <c r="E607" s="15"/>
      <c r="F607" s="17"/>
      <c r="G607" s="19"/>
      <c r="H607" s="20">
        <f>IF($A607="","",YEAR($A607))</f>
        <v>0</v>
      </c>
      <c r="I607" s="20">
        <f>IF($A607="","",MONTH($A607))</f>
        <v>0</v>
      </c>
      <c r="J607" s="21">
        <f>IF(OR($A607="",$F607=""),"",IF($B607="Entrada",$F607,-$F607))</f>
        <v>0</v>
      </c>
      <c r="K607" s="20">
        <f>IF($A607="","",IF(OR($B607="",$C607="",$F607="",$G607=""),"Preencher tudo",IF(IFERROR(INDEX(CatTipo,MATCH($C607,CatNome,0)),"")&lt;&gt;$B607,"Categoria x Tipo?","OK")))</f>
        <v>0</v>
      </c>
    </row>
    <row r="608" spans="1:11">
      <c r="A608" s="18"/>
      <c r="B608" s="19"/>
      <c r="C608" s="15"/>
      <c r="D608" s="15"/>
      <c r="E608" s="15"/>
      <c r="F608" s="17"/>
      <c r="G608" s="19"/>
      <c r="H608" s="20">
        <f>IF($A608="","",YEAR($A608))</f>
        <v>0</v>
      </c>
      <c r="I608" s="20">
        <f>IF($A608="","",MONTH($A608))</f>
        <v>0</v>
      </c>
      <c r="J608" s="21">
        <f>IF(OR($A608="",$F608=""),"",IF($B608="Entrada",$F608,-$F608))</f>
        <v>0</v>
      </c>
      <c r="K608" s="20">
        <f>IF($A608="","",IF(OR($B608="",$C608="",$F608="",$G608=""),"Preencher tudo",IF(IFERROR(INDEX(CatTipo,MATCH($C608,CatNome,0)),"")&lt;&gt;$B608,"Categoria x Tipo?","OK")))</f>
        <v>0</v>
      </c>
    </row>
    <row r="609" spans="1:11">
      <c r="A609" s="18"/>
      <c r="B609" s="19"/>
      <c r="C609" s="15"/>
      <c r="D609" s="15"/>
      <c r="E609" s="15"/>
      <c r="F609" s="17"/>
      <c r="G609" s="19"/>
      <c r="H609" s="20">
        <f>IF($A609="","",YEAR($A609))</f>
        <v>0</v>
      </c>
      <c r="I609" s="20">
        <f>IF($A609="","",MONTH($A609))</f>
        <v>0</v>
      </c>
      <c r="J609" s="21">
        <f>IF(OR($A609="",$F609=""),"",IF($B609="Entrada",$F609,-$F609))</f>
        <v>0</v>
      </c>
      <c r="K609" s="20">
        <f>IF($A609="","",IF(OR($B609="",$C609="",$F609="",$G609=""),"Preencher tudo",IF(IFERROR(INDEX(CatTipo,MATCH($C609,CatNome,0)),"")&lt;&gt;$B609,"Categoria x Tipo?","OK")))</f>
        <v>0</v>
      </c>
    </row>
    <row r="610" spans="1:11">
      <c r="A610" s="18"/>
      <c r="B610" s="19"/>
      <c r="C610" s="15"/>
      <c r="D610" s="15"/>
      <c r="E610" s="15"/>
      <c r="F610" s="17"/>
      <c r="G610" s="19"/>
      <c r="H610" s="20">
        <f>IF($A610="","",YEAR($A610))</f>
        <v>0</v>
      </c>
      <c r="I610" s="20">
        <f>IF($A610="","",MONTH($A610))</f>
        <v>0</v>
      </c>
      <c r="J610" s="21">
        <f>IF(OR($A610="",$F610=""),"",IF($B610="Entrada",$F610,-$F610))</f>
        <v>0</v>
      </c>
      <c r="K610" s="20">
        <f>IF($A610="","",IF(OR($B610="",$C610="",$F610="",$G610=""),"Preencher tudo",IF(IFERROR(INDEX(CatTipo,MATCH($C610,CatNome,0)),"")&lt;&gt;$B610,"Categoria x Tipo?","OK")))</f>
        <v>0</v>
      </c>
    </row>
    <row r="611" spans="1:11">
      <c r="A611" s="18"/>
      <c r="B611" s="19"/>
      <c r="C611" s="15"/>
      <c r="D611" s="15"/>
      <c r="E611" s="15"/>
      <c r="F611" s="17"/>
      <c r="G611" s="19"/>
      <c r="H611" s="20">
        <f>IF($A611="","",YEAR($A611))</f>
        <v>0</v>
      </c>
      <c r="I611" s="20">
        <f>IF($A611="","",MONTH($A611))</f>
        <v>0</v>
      </c>
      <c r="J611" s="21">
        <f>IF(OR($A611="",$F611=""),"",IF($B611="Entrada",$F611,-$F611))</f>
        <v>0</v>
      </c>
      <c r="K611" s="20">
        <f>IF($A611="","",IF(OR($B611="",$C611="",$F611="",$G611=""),"Preencher tudo",IF(IFERROR(INDEX(CatTipo,MATCH($C611,CatNome,0)),"")&lt;&gt;$B611,"Categoria x Tipo?","OK")))</f>
        <v>0</v>
      </c>
    </row>
    <row r="612" spans="1:11">
      <c r="A612" s="18"/>
      <c r="B612" s="19"/>
      <c r="C612" s="15"/>
      <c r="D612" s="15"/>
      <c r="E612" s="15"/>
      <c r="F612" s="17"/>
      <c r="G612" s="19"/>
      <c r="H612" s="20">
        <f>IF($A612="","",YEAR($A612))</f>
        <v>0</v>
      </c>
      <c r="I612" s="20">
        <f>IF($A612="","",MONTH($A612))</f>
        <v>0</v>
      </c>
      <c r="J612" s="21">
        <f>IF(OR($A612="",$F612=""),"",IF($B612="Entrada",$F612,-$F612))</f>
        <v>0</v>
      </c>
      <c r="K612" s="20">
        <f>IF($A612="","",IF(OR($B612="",$C612="",$F612="",$G612=""),"Preencher tudo",IF(IFERROR(INDEX(CatTipo,MATCH($C612,CatNome,0)),"")&lt;&gt;$B612,"Categoria x Tipo?","OK")))</f>
        <v>0</v>
      </c>
    </row>
    <row r="613" spans="1:11">
      <c r="A613" s="18"/>
      <c r="B613" s="19"/>
      <c r="C613" s="15"/>
      <c r="D613" s="15"/>
      <c r="E613" s="15"/>
      <c r="F613" s="17"/>
      <c r="G613" s="19"/>
      <c r="H613" s="20">
        <f>IF($A613="","",YEAR($A613))</f>
        <v>0</v>
      </c>
      <c r="I613" s="20">
        <f>IF($A613="","",MONTH($A613))</f>
        <v>0</v>
      </c>
      <c r="J613" s="21">
        <f>IF(OR($A613="",$F613=""),"",IF($B613="Entrada",$F613,-$F613))</f>
        <v>0</v>
      </c>
      <c r="K613" s="20">
        <f>IF($A613="","",IF(OR($B613="",$C613="",$F613="",$G613=""),"Preencher tudo",IF(IFERROR(INDEX(CatTipo,MATCH($C613,CatNome,0)),"")&lt;&gt;$B613,"Categoria x Tipo?","OK")))</f>
        <v>0</v>
      </c>
    </row>
    <row r="614" spans="1:11">
      <c r="A614" s="18"/>
      <c r="B614" s="19"/>
      <c r="C614" s="15"/>
      <c r="D614" s="15"/>
      <c r="E614" s="15"/>
      <c r="F614" s="17"/>
      <c r="G614" s="19"/>
      <c r="H614" s="20">
        <f>IF($A614="","",YEAR($A614))</f>
        <v>0</v>
      </c>
      <c r="I614" s="20">
        <f>IF($A614="","",MONTH($A614))</f>
        <v>0</v>
      </c>
      <c r="J614" s="21">
        <f>IF(OR($A614="",$F614=""),"",IF($B614="Entrada",$F614,-$F614))</f>
        <v>0</v>
      </c>
      <c r="K614" s="20">
        <f>IF($A614="","",IF(OR($B614="",$C614="",$F614="",$G614=""),"Preencher tudo",IF(IFERROR(INDEX(CatTipo,MATCH($C614,CatNome,0)),"")&lt;&gt;$B614,"Categoria x Tipo?","OK")))</f>
        <v>0</v>
      </c>
    </row>
    <row r="615" spans="1:11">
      <c r="A615" s="18"/>
      <c r="B615" s="19"/>
      <c r="C615" s="15"/>
      <c r="D615" s="15"/>
      <c r="E615" s="15"/>
      <c r="F615" s="17"/>
      <c r="G615" s="19"/>
      <c r="H615" s="20">
        <f>IF($A615="","",YEAR($A615))</f>
        <v>0</v>
      </c>
      <c r="I615" s="20">
        <f>IF($A615="","",MONTH($A615))</f>
        <v>0</v>
      </c>
      <c r="J615" s="21">
        <f>IF(OR($A615="",$F615=""),"",IF($B615="Entrada",$F615,-$F615))</f>
        <v>0</v>
      </c>
      <c r="K615" s="20">
        <f>IF($A615="","",IF(OR($B615="",$C615="",$F615="",$G615=""),"Preencher tudo",IF(IFERROR(INDEX(CatTipo,MATCH($C615,CatNome,0)),"")&lt;&gt;$B615,"Categoria x Tipo?","OK")))</f>
        <v>0</v>
      </c>
    </row>
    <row r="616" spans="1:11">
      <c r="A616" s="18"/>
      <c r="B616" s="19"/>
      <c r="C616" s="15"/>
      <c r="D616" s="15"/>
      <c r="E616" s="15"/>
      <c r="F616" s="17"/>
      <c r="G616" s="19"/>
      <c r="H616" s="20">
        <f>IF($A616="","",YEAR($A616))</f>
        <v>0</v>
      </c>
      <c r="I616" s="20">
        <f>IF($A616="","",MONTH($A616))</f>
        <v>0</v>
      </c>
      <c r="J616" s="21">
        <f>IF(OR($A616="",$F616=""),"",IF($B616="Entrada",$F616,-$F616))</f>
        <v>0</v>
      </c>
      <c r="K616" s="20">
        <f>IF($A616="","",IF(OR($B616="",$C616="",$F616="",$G616=""),"Preencher tudo",IF(IFERROR(INDEX(CatTipo,MATCH($C616,CatNome,0)),"")&lt;&gt;$B616,"Categoria x Tipo?","OK")))</f>
        <v>0</v>
      </c>
    </row>
    <row r="617" spans="1:11">
      <c r="A617" s="18"/>
      <c r="B617" s="19"/>
      <c r="C617" s="15"/>
      <c r="D617" s="15"/>
      <c r="E617" s="15"/>
      <c r="F617" s="17"/>
      <c r="G617" s="19"/>
      <c r="H617" s="20">
        <f>IF($A617="","",YEAR($A617))</f>
        <v>0</v>
      </c>
      <c r="I617" s="20">
        <f>IF($A617="","",MONTH($A617))</f>
        <v>0</v>
      </c>
      <c r="J617" s="21">
        <f>IF(OR($A617="",$F617=""),"",IF($B617="Entrada",$F617,-$F617))</f>
        <v>0</v>
      </c>
      <c r="K617" s="20">
        <f>IF($A617="","",IF(OR($B617="",$C617="",$F617="",$G617=""),"Preencher tudo",IF(IFERROR(INDEX(CatTipo,MATCH($C617,CatNome,0)),"")&lt;&gt;$B617,"Categoria x Tipo?","OK")))</f>
        <v>0</v>
      </c>
    </row>
    <row r="618" spans="1:11">
      <c r="A618" s="18"/>
      <c r="B618" s="19"/>
      <c r="C618" s="15"/>
      <c r="D618" s="15"/>
      <c r="E618" s="15"/>
      <c r="F618" s="17"/>
      <c r="G618" s="19"/>
      <c r="H618" s="20">
        <f>IF($A618="","",YEAR($A618))</f>
        <v>0</v>
      </c>
      <c r="I618" s="20">
        <f>IF($A618="","",MONTH($A618))</f>
        <v>0</v>
      </c>
      <c r="J618" s="21">
        <f>IF(OR($A618="",$F618=""),"",IF($B618="Entrada",$F618,-$F618))</f>
        <v>0</v>
      </c>
      <c r="K618" s="20">
        <f>IF($A618="","",IF(OR($B618="",$C618="",$F618="",$G618=""),"Preencher tudo",IF(IFERROR(INDEX(CatTipo,MATCH($C618,CatNome,0)),"")&lt;&gt;$B618,"Categoria x Tipo?","OK")))</f>
        <v>0</v>
      </c>
    </row>
    <row r="619" spans="1:11">
      <c r="A619" s="18"/>
      <c r="B619" s="19"/>
      <c r="C619" s="15"/>
      <c r="D619" s="15"/>
      <c r="E619" s="15"/>
      <c r="F619" s="17"/>
      <c r="G619" s="19"/>
      <c r="H619" s="20">
        <f>IF($A619="","",YEAR($A619))</f>
        <v>0</v>
      </c>
      <c r="I619" s="20">
        <f>IF($A619="","",MONTH($A619))</f>
        <v>0</v>
      </c>
      <c r="J619" s="21">
        <f>IF(OR($A619="",$F619=""),"",IF($B619="Entrada",$F619,-$F619))</f>
        <v>0</v>
      </c>
      <c r="K619" s="20">
        <f>IF($A619="","",IF(OR($B619="",$C619="",$F619="",$G619=""),"Preencher tudo",IF(IFERROR(INDEX(CatTipo,MATCH($C619,CatNome,0)),"")&lt;&gt;$B619,"Categoria x Tipo?","OK")))</f>
        <v>0</v>
      </c>
    </row>
    <row r="620" spans="1:11">
      <c r="A620" s="18"/>
      <c r="B620" s="19"/>
      <c r="C620" s="15"/>
      <c r="D620" s="15"/>
      <c r="E620" s="15"/>
      <c r="F620" s="17"/>
      <c r="G620" s="19"/>
      <c r="H620" s="20">
        <f>IF($A620="","",YEAR($A620))</f>
        <v>0</v>
      </c>
      <c r="I620" s="20">
        <f>IF($A620="","",MONTH($A620))</f>
        <v>0</v>
      </c>
      <c r="J620" s="21">
        <f>IF(OR($A620="",$F620=""),"",IF($B620="Entrada",$F620,-$F620))</f>
        <v>0</v>
      </c>
      <c r="K620" s="20">
        <f>IF($A620="","",IF(OR($B620="",$C620="",$F620="",$G620=""),"Preencher tudo",IF(IFERROR(INDEX(CatTipo,MATCH($C620,CatNome,0)),"")&lt;&gt;$B620,"Categoria x Tipo?","OK")))</f>
        <v>0</v>
      </c>
    </row>
    <row r="621" spans="1:11">
      <c r="A621" s="18"/>
      <c r="B621" s="19"/>
      <c r="C621" s="15"/>
      <c r="D621" s="15"/>
      <c r="E621" s="15"/>
      <c r="F621" s="17"/>
      <c r="G621" s="19"/>
      <c r="H621" s="20">
        <f>IF($A621="","",YEAR($A621))</f>
        <v>0</v>
      </c>
      <c r="I621" s="20">
        <f>IF($A621="","",MONTH($A621))</f>
        <v>0</v>
      </c>
      <c r="J621" s="21">
        <f>IF(OR($A621="",$F621=""),"",IF($B621="Entrada",$F621,-$F621))</f>
        <v>0</v>
      </c>
      <c r="K621" s="20">
        <f>IF($A621="","",IF(OR($B621="",$C621="",$F621="",$G621=""),"Preencher tudo",IF(IFERROR(INDEX(CatTipo,MATCH($C621,CatNome,0)),"")&lt;&gt;$B621,"Categoria x Tipo?","OK")))</f>
        <v>0</v>
      </c>
    </row>
    <row r="622" spans="1:11">
      <c r="A622" s="18"/>
      <c r="B622" s="19"/>
      <c r="C622" s="15"/>
      <c r="D622" s="15"/>
      <c r="E622" s="15"/>
      <c r="F622" s="17"/>
      <c r="G622" s="19"/>
      <c r="H622" s="20">
        <f>IF($A622="","",YEAR($A622))</f>
        <v>0</v>
      </c>
      <c r="I622" s="20">
        <f>IF($A622="","",MONTH($A622))</f>
        <v>0</v>
      </c>
      <c r="J622" s="21">
        <f>IF(OR($A622="",$F622=""),"",IF($B622="Entrada",$F622,-$F622))</f>
        <v>0</v>
      </c>
      <c r="K622" s="20">
        <f>IF($A622="","",IF(OR($B622="",$C622="",$F622="",$G622=""),"Preencher tudo",IF(IFERROR(INDEX(CatTipo,MATCH($C622,CatNome,0)),"")&lt;&gt;$B622,"Categoria x Tipo?","OK")))</f>
        <v>0</v>
      </c>
    </row>
    <row r="623" spans="1:11">
      <c r="A623" s="18"/>
      <c r="B623" s="19"/>
      <c r="C623" s="15"/>
      <c r="D623" s="15"/>
      <c r="E623" s="15"/>
      <c r="F623" s="17"/>
      <c r="G623" s="19"/>
      <c r="H623" s="20">
        <f>IF($A623="","",YEAR($A623))</f>
        <v>0</v>
      </c>
      <c r="I623" s="20">
        <f>IF($A623="","",MONTH($A623))</f>
        <v>0</v>
      </c>
      <c r="J623" s="21">
        <f>IF(OR($A623="",$F623=""),"",IF($B623="Entrada",$F623,-$F623))</f>
        <v>0</v>
      </c>
      <c r="K623" s="20">
        <f>IF($A623="","",IF(OR($B623="",$C623="",$F623="",$G623=""),"Preencher tudo",IF(IFERROR(INDEX(CatTipo,MATCH($C623,CatNome,0)),"")&lt;&gt;$B623,"Categoria x Tipo?","OK")))</f>
        <v>0</v>
      </c>
    </row>
    <row r="624" spans="1:11">
      <c r="A624" s="18"/>
      <c r="B624" s="19"/>
      <c r="C624" s="15"/>
      <c r="D624" s="15"/>
      <c r="E624" s="15"/>
      <c r="F624" s="17"/>
      <c r="G624" s="19"/>
      <c r="H624" s="20">
        <f>IF($A624="","",YEAR($A624))</f>
        <v>0</v>
      </c>
      <c r="I624" s="20">
        <f>IF($A624="","",MONTH($A624))</f>
        <v>0</v>
      </c>
      <c r="J624" s="21">
        <f>IF(OR($A624="",$F624=""),"",IF($B624="Entrada",$F624,-$F624))</f>
        <v>0</v>
      </c>
      <c r="K624" s="20">
        <f>IF($A624="","",IF(OR($B624="",$C624="",$F624="",$G624=""),"Preencher tudo",IF(IFERROR(INDEX(CatTipo,MATCH($C624,CatNome,0)),"")&lt;&gt;$B624,"Categoria x Tipo?","OK")))</f>
        <v>0</v>
      </c>
    </row>
    <row r="625" spans="1:11">
      <c r="A625" s="18"/>
      <c r="B625" s="19"/>
      <c r="C625" s="15"/>
      <c r="D625" s="15"/>
      <c r="E625" s="15"/>
      <c r="F625" s="17"/>
      <c r="G625" s="19"/>
      <c r="H625" s="20">
        <f>IF($A625="","",YEAR($A625))</f>
        <v>0</v>
      </c>
      <c r="I625" s="20">
        <f>IF($A625="","",MONTH($A625))</f>
        <v>0</v>
      </c>
      <c r="J625" s="21">
        <f>IF(OR($A625="",$F625=""),"",IF($B625="Entrada",$F625,-$F625))</f>
        <v>0</v>
      </c>
      <c r="K625" s="20">
        <f>IF($A625="","",IF(OR($B625="",$C625="",$F625="",$G625=""),"Preencher tudo",IF(IFERROR(INDEX(CatTipo,MATCH($C625,CatNome,0)),"")&lt;&gt;$B625,"Categoria x Tipo?","OK")))</f>
        <v>0</v>
      </c>
    </row>
    <row r="626" spans="1:11">
      <c r="A626" s="18"/>
      <c r="B626" s="19"/>
      <c r="C626" s="15"/>
      <c r="D626" s="15"/>
      <c r="E626" s="15"/>
      <c r="F626" s="17"/>
      <c r="G626" s="19"/>
      <c r="H626" s="20">
        <f>IF($A626="","",YEAR($A626))</f>
        <v>0</v>
      </c>
      <c r="I626" s="20">
        <f>IF($A626="","",MONTH($A626))</f>
        <v>0</v>
      </c>
      <c r="J626" s="21">
        <f>IF(OR($A626="",$F626=""),"",IF($B626="Entrada",$F626,-$F626))</f>
        <v>0</v>
      </c>
      <c r="K626" s="20">
        <f>IF($A626="","",IF(OR($B626="",$C626="",$F626="",$G626=""),"Preencher tudo",IF(IFERROR(INDEX(CatTipo,MATCH($C626,CatNome,0)),"")&lt;&gt;$B626,"Categoria x Tipo?","OK")))</f>
        <v>0</v>
      </c>
    </row>
    <row r="627" spans="1:11">
      <c r="A627" s="18"/>
      <c r="B627" s="19"/>
      <c r="C627" s="15"/>
      <c r="D627" s="15"/>
      <c r="E627" s="15"/>
      <c r="F627" s="17"/>
      <c r="G627" s="19"/>
      <c r="H627" s="20">
        <f>IF($A627="","",YEAR($A627))</f>
        <v>0</v>
      </c>
      <c r="I627" s="20">
        <f>IF($A627="","",MONTH($A627))</f>
        <v>0</v>
      </c>
      <c r="J627" s="21">
        <f>IF(OR($A627="",$F627=""),"",IF($B627="Entrada",$F627,-$F627))</f>
        <v>0</v>
      </c>
      <c r="K627" s="20">
        <f>IF($A627="","",IF(OR($B627="",$C627="",$F627="",$G627=""),"Preencher tudo",IF(IFERROR(INDEX(CatTipo,MATCH($C627,CatNome,0)),"")&lt;&gt;$B627,"Categoria x Tipo?","OK")))</f>
        <v>0</v>
      </c>
    </row>
    <row r="628" spans="1:11">
      <c r="A628" s="18"/>
      <c r="B628" s="19"/>
      <c r="C628" s="15"/>
      <c r="D628" s="15"/>
      <c r="E628" s="15"/>
      <c r="F628" s="17"/>
      <c r="G628" s="19"/>
      <c r="H628" s="20">
        <f>IF($A628="","",YEAR($A628))</f>
        <v>0</v>
      </c>
      <c r="I628" s="20">
        <f>IF($A628="","",MONTH($A628))</f>
        <v>0</v>
      </c>
      <c r="J628" s="21">
        <f>IF(OR($A628="",$F628=""),"",IF($B628="Entrada",$F628,-$F628))</f>
        <v>0</v>
      </c>
      <c r="K628" s="20">
        <f>IF($A628="","",IF(OR($B628="",$C628="",$F628="",$G628=""),"Preencher tudo",IF(IFERROR(INDEX(CatTipo,MATCH($C628,CatNome,0)),"")&lt;&gt;$B628,"Categoria x Tipo?","OK")))</f>
        <v>0</v>
      </c>
    </row>
    <row r="629" spans="1:11">
      <c r="A629" s="18"/>
      <c r="B629" s="19"/>
      <c r="C629" s="15"/>
      <c r="D629" s="15"/>
      <c r="E629" s="15"/>
      <c r="F629" s="17"/>
      <c r="G629" s="19"/>
      <c r="H629" s="20">
        <f>IF($A629="","",YEAR($A629))</f>
        <v>0</v>
      </c>
      <c r="I629" s="20">
        <f>IF($A629="","",MONTH($A629))</f>
        <v>0</v>
      </c>
      <c r="J629" s="21">
        <f>IF(OR($A629="",$F629=""),"",IF($B629="Entrada",$F629,-$F629))</f>
        <v>0</v>
      </c>
      <c r="K629" s="20">
        <f>IF($A629="","",IF(OR($B629="",$C629="",$F629="",$G629=""),"Preencher tudo",IF(IFERROR(INDEX(CatTipo,MATCH($C629,CatNome,0)),"")&lt;&gt;$B629,"Categoria x Tipo?","OK")))</f>
        <v>0</v>
      </c>
    </row>
    <row r="630" spans="1:11">
      <c r="A630" s="18"/>
      <c r="B630" s="19"/>
      <c r="C630" s="15"/>
      <c r="D630" s="15"/>
      <c r="E630" s="15"/>
      <c r="F630" s="17"/>
      <c r="G630" s="19"/>
      <c r="H630" s="20">
        <f>IF($A630="","",YEAR($A630))</f>
        <v>0</v>
      </c>
      <c r="I630" s="20">
        <f>IF($A630="","",MONTH($A630))</f>
        <v>0</v>
      </c>
      <c r="J630" s="21">
        <f>IF(OR($A630="",$F630=""),"",IF($B630="Entrada",$F630,-$F630))</f>
        <v>0</v>
      </c>
      <c r="K630" s="20">
        <f>IF($A630="","",IF(OR($B630="",$C630="",$F630="",$G630=""),"Preencher tudo",IF(IFERROR(INDEX(CatTipo,MATCH($C630,CatNome,0)),"")&lt;&gt;$B630,"Categoria x Tipo?","OK")))</f>
        <v>0</v>
      </c>
    </row>
    <row r="631" spans="1:11">
      <c r="A631" s="18"/>
      <c r="B631" s="19"/>
      <c r="C631" s="15"/>
      <c r="D631" s="15"/>
      <c r="E631" s="15"/>
      <c r="F631" s="17"/>
      <c r="G631" s="19"/>
      <c r="H631" s="20">
        <f>IF($A631="","",YEAR($A631))</f>
        <v>0</v>
      </c>
      <c r="I631" s="20">
        <f>IF($A631="","",MONTH($A631))</f>
        <v>0</v>
      </c>
      <c r="J631" s="21">
        <f>IF(OR($A631="",$F631=""),"",IF($B631="Entrada",$F631,-$F631))</f>
        <v>0</v>
      </c>
      <c r="K631" s="20">
        <f>IF($A631="","",IF(OR($B631="",$C631="",$F631="",$G631=""),"Preencher tudo",IF(IFERROR(INDEX(CatTipo,MATCH($C631,CatNome,0)),"")&lt;&gt;$B631,"Categoria x Tipo?","OK")))</f>
        <v>0</v>
      </c>
    </row>
    <row r="632" spans="1:11">
      <c r="A632" s="18"/>
      <c r="B632" s="19"/>
      <c r="C632" s="15"/>
      <c r="D632" s="15"/>
      <c r="E632" s="15"/>
      <c r="F632" s="17"/>
      <c r="G632" s="19"/>
      <c r="H632" s="20">
        <f>IF($A632="","",YEAR($A632))</f>
        <v>0</v>
      </c>
      <c r="I632" s="20">
        <f>IF($A632="","",MONTH($A632))</f>
        <v>0</v>
      </c>
      <c r="J632" s="21">
        <f>IF(OR($A632="",$F632=""),"",IF($B632="Entrada",$F632,-$F632))</f>
        <v>0</v>
      </c>
      <c r="K632" s="20">
        <f>IF($A632="","",IF(OR($B632="",$C632="",$F632="",$G632=""),"Preencher tudo",IF(IFERROR(INDEX(CatTipo,MATCH($C632,CatNome,0)),"")&lt;&gt;$B632,"Categoria x Tipo?","OK")))</f>
        <v>0</v>
      </c>
    </row>
    <row r="633" spans="1:11">
      <c r="A633" s="18"/>
      <c r="B633" s="19"/>
      <c r="C633" s="15"/>
      <c r="D633" s="15"/>
      <c r="E633" s="15"/>
      <c r="F633" s="17"/>
      <c r="G633" s="19"/>
      <c r="H633" s="20">
        <f>IF($A633="","",YEAR($A633))</f>
        <v>0</v>
      </c>
      <c r="I633" s="20">
        <f>IF($A633="","",MONTH($A633))</f>
        <v>0</v>
      </c>
      <c r="J633" s="21">
        <f>IF(OR($A633="",$F633=""),"",IF($B633="Entrada",$F633,-$F633))</f>
        <v>0</v>
      </c>
      <c r="K633" s="20">
        <f>IF($A633="","",IF(OR($B633="",$C633="",$F633="",$G633=""),"Preencher tudo",IF(IFERROR(INDEX(CatTipo,MATCH($C633,CatNome,0)),"")&lt;&gt;$B633,"Categoria x Tipo?","OK")))</f>
        <v>0</v>
      </c>
    </row>
    <row r="634" spans="1:11">
      <c r="A634" s="18"/>
      <c r="B634" s="19"/>
      <c r="C634" s="15"/>
      <c r="D634" s="15"/>
      <c r="E634" s="15"/>
      <c r="F634" s="17"/>
      <c r="G634" s="19"/>
      <c r="H634" s="20">
        <f>IF($A634="","",YEAR($A634))</f>
        <v>0</v>
      </c>
      <c r="I634" s="20">
        <f>IF($A634="","",MONTH($A634))</f>
        <v>0</v>
      </c>
      <c r="J634" s="21">
        <f>IF(OR($A634="",$F634=""),"",IF($B634="Entrada",$F634,-$F634))</f>
        <v>0</v>
      </c>
      <c r="K634" s="20">
        <f>IF($A634="","",IF(OR($B634="",$C634="",$F634="",$G634=""),"Preencher tudo",IF(IFERROR(INDEX(CatTipo,MATCH($C634,CatNome,0)),"")&lt;&gt;$B634,"Categoria x Tipo?","OK")))</f>
        <v>0</v>
      </c>
    </row>
    <row r="635" spans="1:11">
      <c r="A635" s="18"/>
      <c r="B635" s="19"/>
      <c r="C635" s="15"/>
      <c r="D635" s="15"/>
      <c r="E635" s="15"/>
      <c r="F635" s="17"/>
      <c r="G635" s="19"/>
      <c r="H635" s="20">
        <f>IF($A635="","",YEAR($A635))</f>
        <v>0</v>
      </c>
      <c r="I635" s="20">
        <f>IF($A635="","",MONTH($A635))</f>
        <v>0</v>
      </c>
      <c r="J635" s="21">
        <f>IF(OR($A635="",$F635=""),"",IF($B635="Entrada",$F635,-$F635))</f>
        <v>0</v>
      </c>
      <c r="K635" s="20">
        <f>IF($A635="","",IF(OR($B635="",$C635="",$F635="",$G635=""),"Preencher tudo",IF(IFERROR(INDEX(CatTipo,MATCH($C635,CatNome,0)),"")&lt;&gt;$B635,"Categoria x Tipo?","OK")))</f>
        <v>0</v>
      </c>
    </row>
    <row r="636" spans="1:11">
      <c r="A636" s="18"/>
      <c r="B636" s="19"/>
      <c r="C636" s="15"/>
      <c r="D636" s="15"/>
      <c r="E636" s="15"/>
      <c r="F636" s="17"/>
      <c r="G636" s="19"/>
      <c r="H636" s="20">
        <f>IF($A636="","",YEAR($A636))</f>
        <v>0</v>
      </c>
      <c r="I636" s="20">
        <f>IF($A636="","",MONTH($A636))</f>
        <v>0</v>
      </c>
      <c r="J636" s="21">
        <f>IF(OR($A636="",$F636=""),"",IF($B636="Entrada",$F636,-$F636))</f>
        <v>0</v>
      </c>
      <c r="K636" s="20">
        <f>IF($A636="","",IF(OR($B636="",$C636="",$F636="",$G636=""),"Preencher tudo",IF(IFERROR(INDEX(CatTipo,MATCH($C636,CatNome,0)),"")&lt;&gt;$B636,"Categoria x Tipo?","OK")))</f>
        <v>0</v>
      </c>
    </row>
    <row r="637" spans="1:11">
      <c r="A637" s="18"/>
      <c r="B637" s="19"/>
      <c r="C637" s="15"/>
      <c r="D637" s="15"/>
      <c r="E637" s="15"/>
      <c r="F637" s="17"/>
      <c r="G637" s="19"/>
      <c r="H637" s="20">
        <f>IF($A637="","",YEAR($A637))</f>
        <v>0</v>
      </c>
      <c r="I637" s="20">
        <f>IF($A637="","",MONTH($A637))</f>
        <v>0</v>
      </c>
      <c r="J637" s="21">
        <f>IF(OR($A637="",$F637=""),"",IF($B637="Entrada",$F637,-$F637))</f>
        <v>0</v>
      </c>
      <c r="K637" s="20">
        <f>IF($A637="","",IF(OR($B637="",$C637="",$F637="",$G637=""),"Preencher tudo",IF(IFERROR(INDEX(CatTipo,MATCH($C637,CatNome,0)),"")&lt;&gt;$B637,"Categoria x Tipo?","OK")))</f>
        <v>0</v>
      </c>
    </row>
    <row r="638" spans="1:11">
      <c r="A638" s="18"/>
      <c r="B638" s="19"/>
      <c r="C638" s="15"/>
      <c r="D638" s="15"/>
      <c r="E638" s="15"/>
      <c r="F638" s="17"/>
      <c r="G638" s="19"/>
      <c r="H638" s="20">
        <f>IF($A638="","",YEAR($A638))</f>
        <v>0</v>
      </c>
      <c r="I638" s="20">
        <f>IF($A638="","",MONTH($A638))</f>
        <v>0</v>
      </c>
      <c r="J638" s="21">
        <f>IF(OR($A638="",$F638=""),"",IF($B638="Entrada",$F638,-$F638))</f>
        <v>0</v>
      </c>
      <c r="K638" s="20">
        <f>IF($A638="","",IF(OR($B638="",$C638="",$F638="",$G638=""),"Preencher tudo",IF(IFERROR(INDEX(CatTipo,MATCH($C638,CatNome,0)),"")&lt;&gt;$B638,"Categoria x Tipo?","OK")))</f>
        <v>0</v>
      </c>
    </row>
    <row r="639" spans="1:11">
      <c r="A639" s="18"/>
      <c r="B639" s="19"/>
      <c r="C639" s="15"/>
      <c r="D639" s="15"/>
      <c r="E639" s="15"/>
      <c r="F639" s="17"/>
      <c r="G639" s="19"/>
      <c r="H639" s="20">
        <f>IF($A639="","",YEAR($A639))</f>
        <v>0</v>
      </c>
      <c r="I639" s="20">
        <f>IF($A639="","",MONTH($A639))</f>
        <v>0</v>
      </c>
      <c r="J639" s="21">
        <f>IF(OR($A639="",$F639=""),"",IF($B639="Entrada",$F639,-$F639))</f>
        <v>0</v>
      </c>
      <c r="K639" s="20">
        <f>IF($A639="","",IF(OR($B639="",$C639="",$F639="",$G639=""),"Preencher tudo",IF(IFERROR(INDEX(CatTipo,MATCH($C639,CatNome,0)),"")&lt;&gt;$B639,"Categoria x Tipo?","OK")))</f>
        <v>0</v>
      </c>
    </row>
    <row r="640" spans="1:11">
      <c r="A640" s="18"/>
      <c r="B640" s="19"/>
      <c r="C640" s="15"/>
      <c r="D640" s="15"/>
      <c r="E640" s="15"/>
      <c r="F640" s="17"/>
      <c r="G640" s="19"/>
      <c r="H640" s="20">
        <f>IF($A640="","",YEAR($A640))</f>
        <v>0</v>
      </c>
      <c r="I640" s="20">
        <f>IF($A640="","",MONTH($A640))</f>
        <v>0</v>
      </c>
      <c r="J640" s="21">
        <f>IF(OR($A640="",$F640=""),"",IF($B640="Entrada",$F640,-$F640))</f>
        <v>0</v>
      </c>
      <c r="K640" s="20">
        <f>IF($A640="","",IF(OR($B640="",$C640="",$F640="",$G640=""),"Preencher tudo",IF(IFERROR(INDEX(CatTipo,MATCH($C640,CatNome,0)),"")&lt;&gt;$B640,"Categoria x Tipo?","OK")))</f>
        <v>0</v>
      </c>
    </row>
    <row r="641" spans="1:11">
      <c r="A641" s="18"/>
      <c r="B641" s="19"/>
      <c r="C641" s="15"/>
      <c r="D641" s="15"/>
      <c r="E641" s="15"/>
      <c r="F641" s="17"/>
      <c r="G641" s="19"/>
      <c r="H641" s="20">
        <f>IF($A641="","",YEAR($A641))</f>
        <v>0</v>
      </c>
      <c r="I641" s="20">
        <f>IF($A641="","",MONTH($A641))</f>
        <v>0</v>
      </c>
      <c r="J641" s="21">
        <f>IF(OR($A641="",$F641=""),"",IF($B641="Entrada",$F641,-$F641))</f>
        <v>0</v>
      </c>
      <c r="K641" s="20">
        <f>IF($A641="","",IF(OR($B641="",$C641="",$F641="",$G641=""),"Preencher tudo",IF(IFERROR(INDEX(CatTipo,MATCH($C641,CatNome,0)),"")&lt;&gt;$B641,"Categoria x Tipo?","OK")))</f>
        <v>0</v>
      </c>
    </row>
    <row r="642" spans="1:11">
      <c r="A642" s="18"/>
      <c r="B642" s="19"/>
      <c r="C642" s="15"/>
      <c r="D642" s="15"/>
      <c r="E642" s="15"/>
      <c r="F642" s="17"/>
      <c r="G642" s="19"/>
      <c r="H642" s="20">
        <f>IF($A642="","",YEAR($A642))</f>
        <v>0</v>
      </c>
      <c r="I642" s="20">
        <f>IF($A642="","",MONTH($A642))</f>
        <v>0</v>
      </c>
      <c r="J642" s="21">
        <f>IF(OR($A642="",$F642=""),"",IF($B642="Entrada",$F642,-$F642))</f>
        <v>0</v>
      </c>
      <c r="K642" s="20">
        <f>IF($A642="","",IF(OR($B642="",$C642="",$F642="",$G642=""),"Preencher tudo",IF(IFERROR(INDEX(CatTipo,MATCH($C642,CatNome,0)),"")&lt;&gt;$B642,"Categoria x Tipo?","OK")))</f>
        <v>0</v>
      </c>
    </row>
    <row r="643" spans="1:11">
      <c r="A643" s="18"/>
      <c r="B643" s="19"/>
      <c r="C643" s="15"/>
      <c r="D643" s="15"/>
      <c r="E643" s="15"/>
      <c r="F643" s="17"/>
      <c r="G643" s="19"/>
      <c r="H643" s="20">
        <f>IF($A643="","",YEAR($A643))</f>
        <v>0</v>
      </c>
      <c r="I643" s="20">
        <f>IF($A643="","",MONTH($A643))</f>
        <v>0</v>
      </c>
      <c r="J643" s="21">
        <f>IF(OR($A643="",$F643=""),"",IF($B643="Entrada",$F643,-$F643))</f>
        <v>0</v>
      </c>
      <c r="K643" s="20">
        <f>IF($A643="","",IF(OR($B643="",$C643="",$F643="",$G643=""),"Preencher tudo",IF(IFERROR(INDEX(CatTipo,MATCH($C643,CatNome,0)),"")&lt;&gt;$B643,"Categoria x Tipo?","OK")))</f>
        <v>0</v>
      </c>
    </row>
    <row r="644" spans="1:11">
      <c r="A644" s="18"/>
      <c r="B644" s="19"/>
      <c r="C644" s="15"/>
      <c r="D644" s="15"/>
      <c r="E644" s="15"/>
      <c r="F644" s="17"/>
      <c r="G644" s="19"/>
      <c r="H644" s="20">
        <f>IF($A644="","",YEAR($A644))</f>
        <v>0</v>
      </c>
      <c r="I644" s="20">
        <f>IF($A644="","",MONTH($A644))</f>
        <v>0</v>
      </c>
      <c r="J644" s="21">
        <f>IF(OR($A644="",$F644=""),"",IF($B644="Entrada",$F644,-$F644))</f>
        <v>0</v>
      </c>
      <c r="K644" s="20">
        <f>IF($A644="","",IF(OR($B644="",$C644="",$F644="",$G644=""),"Preencher tudo",IF(IFERROR(INDEX(CatTipo,MATCH($C644,CatNome,0)),"")&lt;&gt;$B644,"Categoria x Tipo?","OK")))</f>
        <v>0</v>
      </c>
    </row>
    <row r="645" spans="1:11">
      <c r="A645" s="18"/>
      <c r="B645" s="19"/>
      <c r="C645" s="15"/>
      <c r="D645" s="15"/>
      <c r="E645" s="15"/>
      <c r="F645" s="17"/>
      <c r="G645" s="19"/>
      <c r="H645" s="20">
        <f>IF($A645="","",YEAR($A645))</f>
        <v>0</v>
      </c>
      <c r="I645" s="20">
        <f>IF($A645="","",MONTH($A645))</f>
        <v>0</v>
      </c>
      <c r="J645" s="21">
        <f>IF(OR($A645="",$F645=""),"",IF($B645="Entrada",$F645,-$F645))</f>
        <v>0</v>
      </c>
      <c r="K645" s="20">
        <f>IF($A645="","",IF(OR($B645="",$C645="",$F645="",$G645=""),"Preencher tudo",IF(IFERROR(INDEX(CatTipo,MATCH($C645,CatNome,0)),"")&lt;&gt;$B645,"Categoria x Tipo?","OK")))</f>
        <v>0</v>
      </c>
    </row>
    <row r="646" spans="1:11">
      <c r="A646" s="18"/>
      <c r="B646" s="19"/>
      <c r="C646" s="15"/>
      <c r="D646" s="15"/>
      <c r="E646" s="15"/>
      <c r="F646" s="17"/>
      <c r="G646" s="19"/>
      <c r="H646" s="20">
        <f>IF($A646="","",YEAR($A646))</f>
        <v>0</v>
      </c>
      <c r="I646" s="20">
        <f>IF($A646="","",MONTH($A646))</f>
        <v>0</v>
      </c>
      <c r="J646" s="21">
        <f>IF(OR($A646="",$F646=""),"",IF($B646="Entrada",$F646,-$F646))</f>
        <v>0</v>
      </c>
      <c r="K646" s="20">
        <f>IF($A646="","",IF(OR($B646="",$C646="",$F646="",$G646=""),"Preencher tudo",IF(IFERROR(INDEX(CatTipo,MATCH($C646,CatNome,0)),"")&lt;&gt;$B646,"Categoria x Tipo?","OK")))</f>
        <v>0</v>
      </c>
    </row>
    <row r="647" spans="1:11">
      <c r="A647" s="18"/>
      <c r="B647" s="19"/>
      <c r="C647" s="15"/>
      <c r="D647" s="15"/>
      <c r="E647" s="15"/>
      <c r="F647" s="17"/>
      <c r="G647" s="19"/>
      <c r="H647" s="20">
        <f>IF($A647="","",YEAR($A647))</f>
        <v>0</v>
      </c>
      <c r="I647" s="20">
        <f>IF($A647="","",MONTH($A647))</f>
        <v>0</v>
      </c>
      <c r="J647" s="21">
        <f>IF(OR($A647="",$F647=""),"",IF($B647="Entrada",$F647,-$F647))</f>
        <v>0</v>
      </c>
      <c r="K647" s="20">
        <f>IF($A647="","",IF(OR($B647="",$C647="",$F647="",$G647=""),"Preencher tudo",IF(IFERROR(INDEX(CatTipo,MATCH($C647,CatNome,0)),"")&lt;&gt;$B647,"Categoria x Tipo?","OK")))</f>
        <v>0</v>
      </c>
    </row>
    <row r="648" spans="1:11">
      <c r="A648" s="18"/>
      <c r="B648" s="19"/>
      <c r="C648" s="15"/>
      <c r="D648" s="15"/>
      <c r="E648" s="15"/>
      <c r="F648" s="17"/>
      <c r="G648" s="19"/>
      <c r="H648" s="20">
        <f>IF($A648="","",YEAR($A648))</f>
        <v>0</v>
      </c>
      <c r="I648" s="20">
        <f>IF($A648="","",MONTH($A648))</f>
        <v>0</v>
      </c>
      <c r="J648" s="21">
        <f>IF(OR($A648="",$F648=""),"",IF($B648="Entrada",$F648,-$F648))</f>
        <v>0</v>
      </c>
      <c r="K648" s="20">
        <f>IF($A648="","",IF(OR($B648="",$C648="",$F648="",$G648=""),"Preencher tudo",IF(IFERROR(INDEX(CatTipo,MATCH($C648,CatNome,0)),"")&lt;&gt;$B648,"Categoria x Tipo?","OK")))</f>
        <v>0</v>
      </c>
    </row>
    <row r="649" spans="1:11">
      <c r="A649" s="18"/>
      <c r="B649" s="19"/>
      <c r="C649" s="15"/>
      <c r="D649" s="15"/>
      <c r="E649" s="15"/>
      <c r="F649" s="17"/>
      <c r="G649" s="19"/>
      <c r="H649" s="20">
        <f>IF($A649="","",YEAR($A649))</f>
        <v>0</v>
      </c>
      <c r="I649" s="20">
        <f>IF($A649="","",MONTH($A649))</f>
        <v>0</v>
      </c>
      <c r="J649" s="21">
        <f>IF(OR($A649="",$F649=""),"",IF($B649="Entrada",$F649,-$F649))</f>
        <v>0</v>
      </c>
      <c r="K649" s="20">
        <f>IF($A649="","",IF(OR($B649="",$C649="",$F649="",$G649=""),"Preencher tudo",IF(IFERROR(INDEX(CatTipo,MATCH($C649,CatNome,0)),"")&lt;&gt;$B649,"Categoria x Tipo?","OK")))</f>
        <v>0</v>
      </c>
    </row>
    <row r="650" spans="1:11">
      <c r="A650" s="18"/>
      <c r="B650" s="19"/>
      <c r="C650" s="15"/>
      <c r="D650" s="15"/>
      <c r="E650" s="15"/>
      <c r="F650" s="17"/>
      <c r="G650" s="19"/>
      <c r="H650" s="20">
        <f>IF($A650="","",YEAR($A650))</f>
        <v>0</v>
      </c>
      <c r="I650" s="20">
        <f>IF($A650="","",MONTH($A650))</f>
        <v>0</v>
      </c>
      <c r="J650" s="21">
        <f>IF(OR($A650="",$F650=""),"",IF($B650="Entrada",$F650,-$F650))</f>
        <v>0</v>
      </c>
      <c r="K650" s="20">
        <f>IF($A650="","",IF(OR($B650="",$C650="",$F650="",$G650=""),"Preencher tudo",IF(IFERROR(INDEX(CatTipo,MATCH($C650,CatNome,0)),"")&lt;&gt;$B650,"Categoria x Tipo?","OK")))</f>
        <v>0</v>
      </c>
    </row>
    <row r="651" spans="1:11">
      <c r="A651" s="18"/>
      <c r="B651" s="19"/>
      <c r="C651" s="15"/>
      <c r="D651" s="15"/>
      <c r="E651" s="15"/>
      <c r="F651" s="17"/>
      <c r="G651" s="19"/>
      <c r="H651" s="20">
        <f>IF($A651="","",YEAR($A651))</f>
        <v>0</v>
      </c>
      <c r="I651" s="20">
        <f>IF($A651="","",MONTH($A651))</f>
        <v>0</v>
      </c>
      <c r="J651" s="21">
        <f>IF(OR($A651="",$F651=""),"",IF($B651="Entrada",$F651,-$F651))</f>
        <v>0</v>
      </c>
      <c r="K651" s="20">
        <f>IF($A651="","",IF(OR($B651="",$C651="",$F651="",$G651=""),"Preencher tudo",IF(IFERROR(INDEX(CatTipo,MATCH($C651,CatNome,0)),"")&lt;&gt;$B651,"Categoria x Tipo?","OK")))</f>
        <v>0</v>
      </c>
    </row>
    <row r="652" spans="1:11">
      <c r="A652" s="18"/>
      <c r="B652" s="19"/>
      <c r="C652" s="15"/>
      <c r="D652" s="15"/>
      <c r="E652" s="15"/>
      <c r="F652" s="17"/>
      <c r="G652" s="19"/>
      <c r="H652" s="20">
        <f>IF($A652="","",YEAR($A652))</f>
        <v>0</v>
      </c>
      <c r="I652" s="20">
        <f>IF($A652="","",MONTH($A652))</f>
        <v>0</v>
      </c>
      <c r="J652" s="21">
        <f>IF(OR($A652="",$F652=""),"",IF($B652="Entrada",$F652,-$F652))</f>
        <v>0</v>
      </c>
      <c r="K652" s="20">
        <f>IF($A652="","",IF(OR($B652="",$C652="",$F652="",$G652=""),"Preencher tudo",IF(IFERROR(INDEX(CatTipo,MATCH($C652,CatNome,0)),"")&lt;&gt;$B652,"Categoria x Tipo?","OK")))</f>
        <v>0</v>
      </c>
    </row>
    <row r="653" spans="1:11">
      <c r="A653" s="18"/>
      <c r="B653" s="19"/>
      <c r="C653" s="15"/>
      <c r="D653" s="15"/>
      <c r="E653" s="15"/>
      <c r="F653" s="17"/>
      <c r="G653" s="19"/>
      <c r="H653" s="20">
        <f>IF($A653="","",YEAR($A653))</f>
        <v>0</v>
      </c>
      <c r="I653" s="20">
        <f>IF($A653="","",MONTH($A653))</f>
        <v>0</v>
      </c>
      <c r="J653" s="21">
        <f>IF(OR($A653="",$F653=""),"",IF($B653="Entrada",$F653,-$F653))</f>
        <v>0</v>
      </c>
      <c r="K653" s="20">
        <f>IF($A653="","",IF(OR($B653="",$C653="",$F653="",$G653=""),"Preencher tudo",IF(IFERROR(INDEX(CatTipo,MATCH($C653,CatNome,0)),"")&lt;&gt;$B653,"Categoria x Tipo?","OK")))</f>
        <v>0</v>
      </c>
    </row>
    <row r="654" spans="1:11">
      <c r="A654" s="18"/>
      <c r="B654" s="19"/>
      <c r="C654" s="15"/>
      <c r="D654" s="15"/>
      <c r="E654" s="15"/>
      <c r="F654" s="17"/>
      <c r="G654" s="19"/>
      <c r="H654" s="20">
        <f>IF($A654="","",YEAR($A654))</f>
        <v>0</v>
      </c>
      <c r="I654" s="20">
        <f>IF($A654="","",MONTH($A654))</f>
        <v>0</v>
      </c>
      <c r="J654" s="21">
        <f>IF(OR($A654="",$F654=""),"",IF($B654="Entrada",$F654,-$F654))</f>
        <v>0</v>
      </c>
      <c r="K654" s="20">
        <f>IF($A654="","",IF(OR($B654="",$C654="",$F654="",$G654=""),"Preencher tudo",IF(IFERROR(INDEX(CatTipo,MATCH($C654,CatNome,0)),"")&lt;&gt;$B654,"Categoria x Tipo?","OK")))</f>
        <v>0</v>
      </c>
    </row>
    <row r="655" spans="1:11">
      <c r="A655" s="18"/>
      <c r="B655" s="19"/>
      <c r="C655" s="15"/>
      <c r="D655" s="15"/>
      <c r="E655" s="15"/>
      <c r="F655" s="17"/>
      <c r="G655" s="19"/>
      <c r="H655" s="20">
        <f>IF($A655="","",YEAR($A655))</f>
        <v>0</v>
      </c>
      <c r="I655" s="20">
        <f>IF($A655="","",MONTH($A655))</f>
        <v>0</v>
      </c>
      <c r="J655" s="21">
        <f>IF(OR($A655="",$F655=""),"",IF($B655="Entrada",$F655,-$F655))</f>
        <v>0</v>
      </c>
      <c r="K655" s="20">
        <f>IF($A655="","",IF(OR($B655="",$C655="",$F655="",$G655=""),"Preencher tudo",IF(IFERROR(INDEX(CatTipo,MATCH($C655,CatNome,0)),"")&lt;&gt;$B655,"Categoria x Tipo?","OK")))</f>
        <v>0</v>
      </c>
    </row>
    <row r="656" spans="1:11">
      <c r="A656" s="18"/>
      <c r="B656" s="19"/>
      <c r="C656" s="15"/>
      <c r="D656" s="15"/>
      <c r="E656" s="15"/>
      <c r="F656" s="17"/>
      <c r="G656" s="19"/>
      <c r="H656" s="20">
        <f>IF($A656="","",YEAR($A656))</f>
        <v>0</v>
      </c>
      <c r="I656" s="20">
        <f>IF($A656="","",MONTH($A656))</f>
        <v>0</v>
      </c>
      <c r="J656" s="21">
        <f>IF(OR($A656="",$F656=""),"",IF($B656="Entrada",$F656,-$F656))</f>
        <v>0</v>
      </c>
      <c r="K656" s="20">
        <f>IF($A656="","",IF(OR($B656="",$C656="",$F656="",$G656=""),"Preencher tudo",IF(IFERROR(INDEX(CatTipo,MATCH($C656,CatNome,0)),"")&lt;&gt;$B656,"Categoria x Tipo?","OK")))</f>
        <v>0</v>
      </c>
    </row>
    <row r="657" spans="1:11">
      <c r="A657" s="18"/>
      <c r="B657" s="19"/>
      <c r="C657" s="15"/>
      <c r="D657" s="15"/>
      <c r="E657" s="15"/>
      <c r="F657" s="17"/>
      <c r="G657" s="19"/>
      <c r="H657" s="20">
        <f>IF($A657="","",YEAR($A657))</f>
        <v>0</v>
      </c>
      <c r="I657" s="20">
        <f>IF($A657="","",MONTH($A657))</f>
        <v>0</v>
      </c>
      <c r="J657" s="21">
        <f>IF(OR($A657="",$F657=""),"",IF($B657="Entrada",$F657,-$F657))</f>
        <v>0</v>
      </c>
      <c r="K657" s="20">
        <f>IF($A657="","",IF(OR($B657="",$C657="",$F657="",$G657=""),"Preencher tudo",IF(IFERROR(INDEX(CatTipo,MATCH($C657,CatNome,0)),"")&lt;&gt;$B657,"Categoria x Tipo?","OK")))</f>
        <v>0</v>
      </c>
    </row>
    <row r="658" spans="1:11">
      <c r="A658" s="18"/>
      <c r="B658" s="19"/>
      <c r="C658" s="15"/>
      <c r="D658" s="15"/>
      <c r="E658" s="15"/>
      <c r="F658" s="17"/>
      <c r="G658" s="19"/>
      <c r="H658" s="20">
        <f>IF($A658="","",YEAR($A658))</f>
        <v>0</v>
      </c>
      <c r="I658" s="20">
        <f>IF($A658="","",MONTH($A658))</f>
        <v>0</v>
      </c>
      <c r="J658" s="21">
        <f>IF(OR($A658="",$F658=""),"",IF($B658="Entrada",$F658,-$F658))</f>
        <v>0</v>
      </c>
      <c r="K658" s="20">
        <f>IF($A658="","",IF(OR($B658="",$C658="",$F658="",$G658=""),"Preencher tudo",IF(IFERROR(INDEX(CatTipo,MATCH($C658,CatNome,0)),"")&lt;&gt;$B658,"Categoria x Tipo?","OK")))</f>
        <v>0</v>
      </c>
    </row>
    <row r="659" spans="1:11">
      <c r="A659" s="18"/>
      <c r="B659" s="19"/>
      <c r="C659" s="15"/>
      <c r="D659" s="15"/>
      <c r="E659" s="15"/>
      <c r="F659" s="17"/>
      <c r="G659" s="19"/>
      <c r="H659" s="20">
        <f>IF($A659="","",YEAR($A659))</f>
        <v>0</v>
      </c>
      <c r="I659" s="20">
        <f>IF($A659="","",MONTH($A659))</f>
        <v>0</v>
      </c>
      <c r="J659" s="21">
        <f>IF(OR($A659="",$F659=""),"",IF($B659="Entrada",$F659,-$F659))</f>
        <v>0</v>
      </c>
      <c r="K659" s="20">
        <f>IF($A659="","",IF(OR($B659="",$C659="",$F659="",$G659=""),"Preencher tudo",IF(IFERROR(INDEX(CatTipo,MATCH($C659,CatNome,0)),"")&lt;&gt;$B659,"Categoria x Tipo?","OK")))</f>
        <v>0</v>
      </c>
    </row>
    <row r="660" spans="1:11">
      <c r="A660" s="18"/>
      <c r="B660" s="19"/>
      <c r="C660" s="15"/>
      <c r="D660" s="15"/>
      <c r="E660" s="15"/>
      <c r="F660" s="17"/>
      <c r="G660" s="19"/>
      <c r="H660" s="20">
        <f>IF($A660="","",YEAR($A660))</f>
        <v>0</v>
      </c>
      <c r="I660" s="20">
        <f>IF($A660="","",MONTH($A660))</f>
        <v>0</v>
      </c>
      <c r="J660" s="21">
        <f>IF(OR($A660="",$F660=""),"",IF($B660="Entrada",$F660,-$F660))</f>
        <v>0</v>
      </c>
      <c r="K660" s="20">
        <f>IF($A660="","",IF(OR($B660="",$C660="",$F660="",$G660=""),"Preencher tudo",IF(IFERROR(INDEX(CatTipo,MATCH($C660,CatNome,0)),"")&lt;&gt;$B660,"Categoria x Tipo?","OK")))</f>
        <v>0</v>
      </c>
    </row>
    <row r="661" spans="1:11">
      <c r="A661" s="18"/>
      <c r="B661" s="19"/>
      <c r="C661" s="15"/>
      <c r="D661" s="15"/>
      <c r="E661" s="15"/>
      <c r="F661" s="17"/>
      <c r="G661" s="19"/>
      <c r="H661" s="20">
        <f>IF($A661="","",YEAR($A661))</f>
        <v>0</v>
      </c>
      <c r="I661" s="20">
        <f>IF($A661="","",MONTH($A661))</f>
        <v>0</v>
      </c>
      <c r="J661" s="21">
        <f>IF(OR($A661="",$F661=""),"",IF($B661="Entrada",$F661,-$F661))</f>
        <v>0</v>
      </c>
      <c r="K661" s="20">
        <f>IF($A661="","",IF(OR($B661="",$C661="",$F661="",$G661=""),"Preencher tudo",IF(IFERROR(INDEX(CatTipo,MATCH($C661,CatNome,0)),"")&lt;&gt;$B661,"Categoria x Tipo?","OK")))</f>
        <v>0</v>
      </c>
    </row>
    <row r="662" spans="1:11">
      <c r="A662" s="18"/>
      <c r="B662" s="19"/>
      <c r="C662" s="15"/>
      <c r="D662" s="15"/>
      <c r="E662" s="15"/>
      <c r="F662" s="17"/>
      <c r="G662" s="19"/>
      <c r="H662" s="20">
        <f>IF($A662="","",YEAR($A662))</f>
        <v>0</v>
      </c>
      <c r="I662" s="20">
        <f>IF($A662="","",MONTH($A662))</f>
        <v>0</v>
      </c>
      <c r="J662" s="21">
        <f>IF(OR($A662="",$F662=""),"",IF($B662="Entrada",$F662,-$F662))</f>
        <v>0</v>
      </c>
      <c r="K662" s="20">
        <f>IF($A662="","",IF(OR($B662="",$C662="",$F662="",$G662=""),"Preencher tudo",IF(IFERROR(INDEX(CatTipo,MATCH($C662,CatNome,0)),"")&lt;&gt;$B662,"Categoria x Tipo?","OK")))</f>
        <v>0</v>
      </c>
    </row>
    <row r="663" spans="1:11">
      <c r="A663" s="18"/>
      <c r="B663" s="19"/>
      <c r="C663" s="15"/>
      <c r="D663" s="15"/>
      <c r="E663" s="15"/>
      <c r="F663" s="17"/>
      <c r="G663" s="19"/>
      <c r="H663" s="20">
        <f>IF($A663="","",YEAR($A663))</f>
        <v>0</v>
      </c>
      <c r="I663" s="20">
        <f>IF($A663="","",MONTH($A663))</f>
        <v>0</v>
      </c>
      <c r="J663" s="21">
        <f>IF(OR($A663="",$F663=""),"",IF($B663="Entrada",$F663,-$F663))</f>
        <v>0</v>
      </c>
      <c r="K663" s="20">
        <f>IF($A663="","",IF(OR($B663="",$C663="",$F663="",$G663=""),"Preencher tudo",IF(IFERROR(INDEX(CatTipo,MATCH($C663,CatNome,0)),"")&lt;&gt;$B663,"Categoria x Tipo?","OK")))</f>
        <v>0</v>
      </c>
    </row>
    <row r="664" spans="1:11">
      <c r="A664" s="18"/>
      <c r="B664" s="19"/>
      <c r="C664" s="15"/>
      <c r="D664" s="15"/>
      <c r="E664" s="15"/>
      <c r="F664" s="17"/>
      <c r="G664" s="19"/>
      <c r="H664" s="20">
        <f>IF($A664="","",YEAR($A664))</f>
        <v>0</v>
      </c>
      <c r="I664" s="20">
        <f>IF($A664="","",MONTH($A664))</f>
        <v>0</v>
      </c>
      <c r="J664" s="21">
        <f>IF(OR($A664="",$F664=""),"",IF($B664="Entrada",$F664,-$F664))</f>
        <v>0</v>
      </c>
      <c r="K664" s="20">
        <f>IF($A664="","",IF(OR($B664="",$C664="",$F664="",$G664=""),"Preencher tudo",IF(IFERROR(INDEX(CatTipo,MATCH($C664,CatNome,0)),"")&lt;&gt;$B664,"Categoria x Tipo?","OK")))</f>
        <v>0</v>
      </c>
    </row>
    <row r="665" spans="1:11">
      <c r="A665" s="18"/>
      <c r="B665" s="19"/>
      <c r="C665" s="15"/>
      <c r="D665" s="15"/>
      <c r="E665" s="15"/>
      <c r="F665" s="17"/>
      <c r="G665" s="19"/>
      <c r="H665" s="20">
        <f>IF($A665="","",YEAR($A665))</f>
        <v>0</v>
      </c>
      <c r="I665" s="20">
        <f>IF($A665="","",MONTH($A665))</f>
        <v>0</v>
      </c>
      <c r="J665" s="21">
        <f>IF(OR($A665="",$F665=""),"",IF($B665="Entrada",$F665,-$F665))</f>
        <v>0</v>
      </c>
      <c r="K665" s="20">
        <f>IF($A665="","",IF(OR($B665="",$C665="",$F665="",$G665=""),"Preencher tudo",IF(IFERROR(INDEX(CatTipo,MATCH($C665,CatNome,0)),"")&lt;&gt;$B665,"Categoria x Tipo?","OK")))</f>
        <v>0</v>
      </c>
    </row>
    <row r="666" spans="1:11">
      <c r="A666" s="18"/>
      <c r="B666" s="19"/>
      <c r="C666" s="15"/>
      <c r="D666" s="15"/>
      <c r="E666" s="15"/>
      <c r="F666" s="17"/>
      <c r="G666" s="19"/>
      <c r="H666" s="20">
        <f>IF($A666="","",YEAR($A666))</f>
        <v>0</v>
      </c>
      <c r="I666" s="20">
        <f>IF($A666="","",MONTH($A666))</f>
        <v>0</v>
      </c>
      <c r="J666" s="21">
        <f>IF(OR($A666="",$F666=""),"",IF($B666="Entrada",$F666,-$F666))</f>
        <v>0</v>
      </c>
      <c r="K666" s="20">
        <f>IF($A666="","",IF(OR($B666="",$C666="",$F666="",$G666=""),"Preencher tudo",IF(IFERROR(INDEX(CatTipo,MATCH($C666,CatNome,0)),"")&lt;&gt;$B666,"Categoria x Tipo?","OK")))</f>
        <v>0</v>
      </c>
    </row>
    <row r="667" spans="1:11">
      <c r="A667" s="18"/>
      <c r="B667" s="19"/>
      <c r="C667" s="15"/>
      <c r="D667" s="15"/>
      <c r="E667" s="15"/>
      <c r="F667" s="17"/>
      <c r="G667" s="19"/>
      <c r="H667" s="20">
        <f>IF($A667="","",YEAR($A667))</f>
        <v>0</v>
      </c>
      <c r="I667" s="20">
        <f>IF($A667="","",MONTH($A667))</f>
        <v>0</v>
      </c>
      <c r="J667" s="21">
        <f>IF(OR($A667="",$F667=""),"",IF($B667="Entrada",$F667,-$F667))</f>
        <v>0</v>
      </c>
      <c r="K667" s="20">
        <f>IF($A667="","",IF(OR($B667="",$C667="",$F667="",$G667=""),"Preencher tudo",IF(IFERROR(INDEX(CatTipo,MATCH($C667,CatNome,0)),"")&lt;&gt;$B667,"Categoria x Tipo?","OK")))</f>
        <v>0</v>
      </c>
    </row>
    <row r="668" spans="1:11">
      <c r="A668" s="18"/>
      <c r="B668" s="19"/>
      <c r="C668" s="15"/>
      <c r="D668" s="15"/>
      <c r="E668" s="15"/>
      <c r="F668" s="17"/>
      <c r="G668" s="19"/>
      <c r="H668" s="20">
        <f>IF($A668="","",YEAR($A668))</f>
        <v>0</v>
      </c>
      <c r="I668" s="20">
        <f>IF($A668="","",MONTH($A668))</f>
        <v>0</v>
      </c>
      <c r="J668" s="21">
        <f>IF(OR($A668="",$F668=""),"",IF($B668="Entrada",$F668,-$F668))</f>
        <v>0</v>
      </c>
      <c r="K668" s="20">
        <f>IF($A668="","",IF(OR($B668="",$C668="",$F668="",$G668=""),"Preencher tudo",IF(IFERROR(INDEX(CatTipo,MATCH($C668,CatNome,0)),"")&lt;&gt;$B668,"Categoria x Tipo?","OK")))</f>
        <v>0</v>
      </c>
    </row>
    <row r="669" spans="1:11">
      <c r="A669" s="18"/>
      <c r="B669" s="19"/>
      <c r="C669" s="15"/>
      <c r="D669" s="15"/>
      <c r="E669" s="15"/>
      <c r="F669" s="17"/>
      <c r="G669" s="19"/>
      <c r="H669" s="20">
        <f>IF($A669="","",YEAR($A669))</f>
        <v>0</v>
      </c>
      <c r="I669" s="20">
        <f>IF($A669="","",MONTH($A669))</f>
        <v>0</v>
      </c>
      <c r="J669" s="21">
        <f>IF(OR($A669="",$F669=""),"",IF($B669="Entrada",$F669,-$F669))</f>
        <v>0</v>
      </c>
      <c r="K669" s="20">
        <f>IF($A669="","",IF(OR($B669="",$C669="",$F669="",$G669=""),"Preencher tudo",IF(IFERROR(INDEX(CatTipo,MATCH($C669,CatNome,0)),"")&lt;&gt;$B669,"Categoria x Tipo?","OK")))</f>
        <v>0</v>
      </c>
    </row>
    <row r="670" spans="1:11">
      <c r="A670" s="18"/>
      <c r="B670" s="19"/>
      <c r="C670" s="15"/>
      <c r="D670" s="15"/>
      <c r="E670" s="15"/>
      <c r="F670" s="17"/>
      <c r="G670" s="19"/>
      <c r="H670" s="20">
        <f>IF($A670="","",YEAR($A670))</f>
        <v>0</v>
      </c>
      <c r="I670" s="20">
        <f>IF($A670="","",MONTH($A670))</f>
        <v>0</v>
      </c>
      <c r="J670" s="21">
        <f>IF(OR($A670="",$F670=""),"",IF($B670="Entrada",$F670,-$F670))</f>
        <v>0</v>
      </c>
      <c r="K670" s="20">
        <f>IF($A670="","",IF(OR($B670="",$C670="",$F670="",$G670=""),"Preencher tudo",IF(IFERROR(INDEX(CatTipo,MATCH($C670,CatNome,0)),"")&lt;&gt;$B670,"Categoria x Tipo?","OK")))</f>
        <v>0</v>
      </c>
    </row>
    <row r="671" spans="1:11">
      <c r="A671" s="18"/>
      <c r="B671" s="19"/>
      <c r="C671" s="15"/>
      <c r="D671" s="15"/>
      <c r="E671" s="15"/>
      <c r="F671" s="17"/>
      <c r="G671" s="19"/>
      <c r="H671" s="20">
        <f>IF($A671="","",YEAR($A671))</f>
        <v>0</v>
      </c>
      <c r="I671" s="20">
        <f>IF($A671="","",MONTH($A671))</f>
        <v>0</v>
      </c>
      <c r="J671" s="21">
        <f>IF(OR($A671="",$F671=""),"",IF($B671="Entrada",$F671,-$F671))</f>
        <v>0</v>
      </c>
      <c r="K671" s="20">
        <f>IF($A671="","",IF(OR($B671="",$C671="",$F671="",$G671=""),"Preencher tudo",IF(IFERROR(INDEX(CatTipo,MATCH($C671,CatNome,0)),"")&lt;&gt;$B671,"Categoria x Tipo?","OK")))</f>
        <v>0</v>
      </c>
    </row>
    <row r="672" spans="1:11">
      <c r="A672" s="18"/>
      <c r="B672" s="19"/>
      <c r="C672" s="15"/>
      <c r="D672" s="15"/>
      <c r="E672" s="15"/>
      <c r="F672" s="17"/>
      <c r="G672" s="19"/>
      <c r="H672" s="20">
        <f>IF($A672="","",YEAR($A672))</f>
        <v>0</v>
      </c>
      <c r="I672" s="20">
        <f>IF($A672="","",MONTH($A672))</f>
        <v>0</v>
      </c>
      <c r="J672" s="21">
        <f>IF(OR($A672="",$F672=""),"",IF($B672="Entrada",$F672,-$F672))</f>
        <v>0</v>
      </c>
      <c r="K672" s="20">
        <f>IF($A672="","",IF(OR($B672="",$C672="",$F672="",$G672=""),"Preencher tudo",IF(IFERROR(INDEX(CatTipo,MATCH($C672,CatNome,0)),"")&lt;&gt;$B672,"Categoria x Tipo?","OK")))</f>
        <v>0</v>
      </c>
    </row>
    <row r="673" spans="1:11">
      <c r="A673" s="18"/>
      <c r="B673" s="19"/>
      <c r="C673" s="15"/>
      <c r="D673" s="15"/>
      <c r="E673" s="15"/>
      <c r="F673" s="17"/>
      <c r="G673" s="19"/>
      <c r="H673" s="20">
        <f>IF($A673="","",YEAR($A673))</f>
        <v>0</v>
      </c>
      <c r="I673" s="20">
        <f>IF($A673="","",MONTH($A673))</f>
        <v>0</v>
      </c>
      <c r="J673" s="21">
        <f>IF(OR($A673="",$F673=""),"",IF($B673="Entrada",$F673,-$F673))</f>
        <v>0</v>
      </c>
      <c r="K673" s="20">
        <f>IF($A673="","",IF(OR($B673="",$C673="",$F673="",$G673=""),"Preencher tudo",IF(IFERROR(INDEX(CatTipo,MATCH($C673,CatNome,0)),"")&lt;&gt;$B673,"Categoria x Tipo?","OK")))</f>
        <v>0</v>
      </c>
    </row>
    <row r="674" spans="1:11">
      <c r="A674" s="18"/>
      <c r="B674" s="19"/>
      <c r="C674" s="15"/>
      <c r="D674" s="15"/>
      <c r="E674" s="15"/>
      <c r="F674" s="17"/>
      <c r="G674" s="19"/>
      <c r="H674" s="20">
        <f>IF($A674="","",YEAR($A674))</f>
        <v>0</v>
      </c>
      <c r="I674" s="20">
        <f>IF($A674="","",MONTH($A674))</f>
        <v>0</v>
      </c>
      <c r="J674" s="21">
        <f>IF(OR($A674="",$F674=""),"",IF($B674="Entrada",$F674,-$F674))</f>
        <v>0</v>
      </c>
      <c r="K674" s="20">
        <f>IF($A674="","",IF(OR($B674="",$C674="",$F674="",$G674=""),"Preencher tudo",IF(IFERROR(INDEX(CatTipo,MATCH($C674,CatNome,0)),"")&lt;&gt;$B674,"Categoria x Tipo?","OK")))</f>
        <v>0</v>
      </c>
    </row>
    <row r="675" spans="1:11">
      <c r="A675" s="18"/>
      <c r="B675" s="19"/>
      <c r="C675" s="15"/>
      <c r="D675" s="15"/>
      <c r="E675" s="15"/>
      <c r="F675" s="17"/>
      <c r="G675" s="19"/>
      <c r="H675" s="20">
        <f>IF($A675="","",YEAR($A675))</f>
        <v>0</v>
      </c>
      <c r="I675" s="20">
        <f>IF($A675="","",MONTH($A675))</f>
        <v>0</v>
      </c>
      <c r="J675" s="21">
        <f>IF(OR($A675="",$F675=""),"",IF($B675="Entrada",$F675,-$F675))</f>
        <v>0</v>
      </c>
      <c r="K675" s="20">
        <f>IF($A675="","",IF(OR($B675="",$C675="",$F675="",$G675=""),"Preencher tudo",IF(IFERROR(INDEX(CatTipo,MATCH($C675,CatNome,0)),"")&lt;&gt;$B675,"Categoria x Tipo?","OK")))</f>
        <v>0</v>
      </c>
    </row>
    <row r="676" spans="1:11">
      <c r="A676" s="18"/>
      <c r="B676" s="19"/>
      <c r="C676" s="15"/>
      <c r="D676" s="15"/>
      <c r="E676" s="15"/>
      <c r="F676" s="17"/>
      <c r="G676" s="19"/>
      <c r="H676" s="20">
        <f>IF($A676="","",YEAR($A676))</f>
        <v>0</v>
      </c>
      <c r="I676" s="20">
        <f>IF($A676="","",MONTH($A676))</f>
        <v>0</v>
      </c>
      <c r="J676" s="21">
        <f>IF(OR($A676="",$F676=""),"",IF($B676="Entrada",$F676,-$F676))</f>
        <v>0</v>
      </c>
      <c r="K676" s="20">
        <f>IF($A676="","",IF(OR($B676="",$C676="",$F676="",$G676=""),"Preencher tudo",IF(IFERROR(INDEX(CatTipo,MATCH($C676,CatNome,0)),"")&lt;&gt;$B676,"Categoria x Tipo?","OK")))</f>
        <v>0</v>
      </c>
    </row>
    <row r="677" spans="1:11">
      <c r="A677" s="18"/>
      <c r="B677" s="19"/>
      <c r="C677" s="15"/>
      <c r="D677" s="15"/>
      <c r="E677" s="15"/>
      <c r="F677" s="17"/>
      <c r="G677" s="19"/>
      <c r="H677" s="20">
        <f>IF($A677="","",YEAR($A677))</f>
        <v>0</v>
      </c>
      <c r="I677" s="20">
        <f>IF($A677="","",MONTH($A677))</f>
        <v>0</v>
      </c>
      <c r="J677" s="21">
        <f>IF(OR($A677="",$F677=""),"",IF($B677="Entrada",$F677,-$F677))</f>
        <v>0</v>
      </c>
      <c r="K677" s="20">
        <f>IF($A677="","",IF(OR($B677="",$C677="",$F677="",$G677=""),"Preencher tudo",IF(IFERROR(INDEX(CatTipo,MATCH($C677,CatNome,0)),"")&lt;&gt;$B677,"Categoria x Tipo?","OK")))</f>
        <v>0</v>
      </c>
    </row>
    <row r="678" spans="1:11">
      <c r="A678" s="18"/>
      <c r="B678" s="19"/>
      <c r="C678" s="15"/>
      <c r="D678" s="15"/>
      <c r="E678" s="15"/>
      <c r="F678" s="17"/>
      <c r="G678" s="19"/>
      <c r="H678" s="20">
        <f>IF($A678="","",YEAR($A678))</f>
        <v>0</v>
      </c>
      <c r="I678" s="20">
        <f>IF($A678="","",MONTH($A678))</f>
        <v>0</v>
      </c>
      <c r="J678" s="21">
        <f>IF(OR($A678="",$F678=""),"",IF($B678="Entrada",$F678,-$F678))</f>
        <v>0</v>
      </c>
      <c r="K678" s="20">
        <f>IF($A678="","",IF(OR($B678="",$C678="",$F678="",$G678=""),"Preencher tudo",IF(IFERROR(INDEX(CatTipo,MATCH($C678,CatNome,0)),"")&lt;&gt;$B678,"Categoria x Tipo?","OK")))</f>
        <v>0</v>
      </c>
    </row>
    <row r="679" spans="1:11">
      <c r="A679" s="18"/>
      <c r="B679" s="19"/>
      <c r="C679" s="15"/>
      <c r="D679" s="15"/>
      <c r="E679" s="15"/>
      <c r="F679" s="17"/>
      <c r="G679" s="19"/>
      <c r="H679" s="20">
        <f>IF($A679="","",YEAR($A679))</f>
        <v>0</v>
      </c>
      <c r="I679" s="20">
        <f>IF($A679="","",MONTH($A679))</f>
        <v>0</v>
      </c>
      <c r="J679" s="21">
        <f>IF(OR($A679="",$F679=""),"",IF($B679="Entrada",$F679,-$F679))</f>
        <v>0</v>
      </c>
      <c r="K679" s="20">
        <f>IF($A679="","",IF(OR($B679="",$C679="",$F679="",$G679=""),"Preencher tudo",IF(IFERROR(INDEX(CatTipo,MATCH($C679,CatNome,0)),"")&lt;&gt;$B679,"Categoria x Tipo?","OK")))</f>
        <v>0</v>
      </c>
    </row>
    <row r="680" spans="1:11">
      <c r="A680" s="18"/>
      <c r="B680" s="19"/>
      <c r="C680" s="15"/>
      <c r="D680" s="15"/>
      <c r="E680" s="15"/>
      <c r="F680" s="17"/>
      <c r="G680" s="19"/>
      <c r="H680" s="20">
        <f>IF($A680="","",YEAR($A680))</f>
        <v>0</v>
      </c>
      <c r="I680" s="20">
        <f>IF($A680="","",MONTH($A680))</f>
        <v>0</v>
      </c>
      <c r="J680" s="21">
        <f>IF(OR($A680="",$F680=""),"",IF($B680="Entrada",$F680,-$F680))</f>
        <v>0</v>
      </c>
      <c r="K680" s="20">
        <f>IF($A680="","",IF(OR($B680="",$C680="",$F680="",$G680=""),"Preencher tudo",IF(IFERROR(INDEX(CatTipo,MATCH($C680,CatNome,0)),"")&lt;&gt;$B680,"Categoria x Tipo?","OK")))</f>
        <v>0</v>
      </c>
    </row>
    <row r="681" spans="1:11">
      <c r="A681" s="18"/>
      <c r="B681" s="19"/>
      <c r="C681" s="15"/>
      <c r="D681" s="15"/>
      <c r="E681" s="15"/>
      <c r="F681" s="17"/>
      <c r="G681" s="19"/>
      <c r="H681" s="20">
        <f>IF($A681="","",YEAR($A681))</f>
        <v>0</v>
      </c>
      <c r="I681" s="20">
        <f>IF($A681="","",MONTH($A681))</f>
        <v>0</v>
      </c>
      <c r="J681" s="21">
        <f>IF(OR($A681="",$F681=""),"",IF($B681="Entrada",$F681,-$F681))</f>
        <v>0</v>
      </c>
      <c r="K681" s="20">
        <f>IF($A681="","",IF(OR($B681="",$C681="",$F681="",$G681=""),"Preencher tudo",IF(IFERROR(INDEX(CatTipo,MATCH($C681,CatNome,0)),"")&lt;&gt;$B681,"Categoria x Tipo?","OK")))</f>
        <v>0</v>
      </c>
    </row>
    <row r="682" spans="1:11">
      <c r="A682" s="18"/>
      <c r="B682" s="19"/>
      <c r="C682" s="15"/>
      <c r="D682" s="15"/>
      <c r="E682" s="15"/>
      <c r="F682" s="17"/>
      <c r="G682" s="19"/>
      <c r="H682" s="20">
        <f>IF($A682="","",YEAR($A682))</f>
        <v>0</v>
      </c>
      <c r="I682" s="20">
        <f>IF($A682="","",MONTH($A682))</f>
        <v>0</v>
      </c>
      <c r="J682" s="21">
        <f>IF(OR($A682="",$F682=""),"",IF($B682="Entrada",$F682,-$F682))</f>
        <v>0</v>
      </c>
      <c r="K682" s="20">
        <f>IF($A682="","",IF(OR($B682="",$C682="",$F682="",$G682=""),"Preencher tudo",IF(IFERROR(INDEX(CatTipo,MATCH($C682,CatNome,0)),"")&lt;&gt;$B682,"Categoria x Tipo?","OK")))</f>
        <v>0</v>
      </c>
    </row>
    <row r="683" spans="1:11">
      <c r="A683" s="18"/>
      <c r="B683" s="19"/>
      <c r="C683" s="15"/>
      <c r="D683" s="15"/>
      <c r="E683" s="15"/>
      <c r="F683" s="17"/>
      <c r="G683" s="19"/>
      <c r="H683" s="20">
        <f>IF($A683="","",YEAR($A683))</f>
        <v>0</v>
      </c>
      <c r="I683" s="20">
        <f>IF($A683="","",MONTH($A683))</f>
        <v>0</v>
      </c>
      <c r="J683" s="21">
        <f>IF(OR($A683="",$F683=""),"",IF($B683="Entrada",$F683,-$F683))</f>
        <v>0</v>
      </c>
      <c r="K683" s="20">
        <f>IF($A683="","",IF(OR($B683="",$C683="",$F683="",$G683=""),"Preencher tudo",IF(IFERROR(INDEX(CatTipo,MATCH($C683,CatNome,0)),"")&lt;&gt;$B683,"Categoria x Tipo?","OK")))</f>
        <v>0</v>
      </c>
    </row>
    <row r="684" spans="1:11">
      <c r="A684" s="18"/>
      <c r="B684" s="19"/>
      <c r="C684" s="15"/>
      <c r="D684" s="15"/>
      <c r="E684" s="15"/>
      <c r="F684" s="17"/>
      <c r="G684" s="19"/>
      <c r="H684" s="20">
        <f>IF($A684="","",YEAR($A684))</f>
        <v>0</v>
      </c>
      <c r="I684" s="20">
        <f>IF($A684="","",MONTH($A684))</f>
        <v>0</v>
      </c>
      <c r="J684" s="21">
        <f>IF(OR($A684="",$F684=""),"",IF($B684="Entrada",$F684,-$F684))</f>
        <v>0</v>
      </c>
      <c r="K684" s="20">
        <f>IF($A684="","",IF(OR($B684="",$C684="",$F684="",$G684=""),"Preencher tudo",IF(IFERROR(INDEX(CatTipo,MATCH($C684,CatNome,0)),"")&lt;&gt;$B684,"Categoria x Tipo?","OK")))</f>
        <v>0</v>
      </c>
    </row>
    <row r="685" spans="1:11">
      <c r="A685" s="18"/>
      <c r="B685" s="19"/>
      <c r="C685" s="15"/>
      <c r="D685" s="15"/>
      <c r="E685" s="15"/>
      <c r="F685" s="17"/>
      <c r="G685" s="19"/>
      <c r="H685" s="20">
        <f>IF($A685="","",YEAR($A685))</f>
        <v>0</v>
      </c>
      <c r="I685" s="20">
        <f>IF($A685="","",MONTH($A685))</f>
        <v>0</v>
      </c>
      <c r="J685" s="21">
        <f>IF(OR($A685="",$F685=""),"",IF($B685="Entrada",$F685,-$F685))</f>
        <v>0</v>
      </c>
      <c r="K685" s="20">
        <f>IF($A685="","",IF(OR($B685="",$C685="",$F685="",$G685=""),"Preencher tudo",IF(IFERROR(INDEX(CatTipo,MATCH($C685,CatNome,0)),"")&lt;&gt;$B685,"Categoria x Tipo?","OK")))</f>
        <v>0</v>
      </c>
    </row>
    <row r="686" spans="1:11">
      <c r="A686" s="18"/>
      <c r="B686" s="19"/>
      <c r="C686" s="15"/>
      <c r="D686" s="15"/>
      <c r="E686" s="15"/>
      <c r="F686" s="17"/>
      <c r="G686" s="19"/>
      <c r="H686" s="20">
        <f>IF($A686="","",YEAR($A686))</f>
        <v>0</v>
      </c>
      <c r="I686" s="20">
        <f>IF($A686="","",MONTH($A686))</f>
        <v>0</v>
      </c>
      <c r="J686" s="21">
        <f>IF(OR($A686="",$F686=""),"",IF($B686="Entrada",$F686,-$F686))</f>
        <v>0</v>
      </c>
      <c r="K686" s="20">
        <f>IF($A686="","",IF(OR($B686="",$C686="",$F686="",$G686=""),"Preencher tudo",IF(IFERROR(INDEX(CatTipo,MATCH($C686,CatNome,0)),"")&lt;&gt;$B686,"Categoria x Tipo?","OK")))</f>
        <v>0</v>
      </c>
    </row>
    <row r="687" spans="1:11">
      <c r="A687" s="18"/>
      <c r="B687" s="19"/>
      <c r="C687" s="15"/>
      <c r="D687" s="15"/>
      <c r="E687" s="15"/>
      <c r="F687" s="17"/>
      <c r="G687" s="19"/>
      <c r="H687" s="20">
        <f>IF($A687="","",YEAR($A687))</f>
        <v>0</v>
      </c>
      <c r="I687" s="20">
        <f>IF($A687="","",MONTH($A687))</f>
        <v>0</v>
      </c>
      <c r="J687" s="21">
        <f>IF(OR($A687="",$F687=""),"",IF($B687="Entrada",$F687,-$F687))</f>
        <v>0</v>
      </c>
      <c r="K687" s="20">
        <f>IF($A687="","",IF(OR($B687="",$C687="",$F687="",$G687=""),"Preencher tudo",IF(IFERROR(INDEX(CatTipo,MATCH($C687,CatNome,0)),"")&lt;&gt;$B687,"Categoria x Tipo?","OK")))</f>
        <v>0</v>
      </c>
    </row>
    <row r="688" spans="1:11">
      <c r="A688" s="18"/>
      <c r="B688" s="19"/>
      <c r="C688" s="15"/>
      <c r="D688" s="15"/>
      <c r="E688" s="15"/>
      <c r="F688" s="17"/>
      <c r="G688" s="19"/>
      <c r="H688" s="20">
        <f>IF($A688="","",YEAR($A688))</f>
        <v>0</v>
      </c>
      <c r="I688" s="20">
        <f>IF($A688="","",MONTH($A688))</f>
        <v>0</v>
      </c>
      <c r="J688" s="21">
        <f>IF(OR($A688="",$F688=""),"",IF($B688="Entrada",$F688,-$F688))</f>
        <v>0</v>
      </c>
      <c r="K688" s="20">
        <f>IF($A688="","",IF(OR($B688="",$C688="",$F688="",$G688=""),"Preencher tudo",IF(IFERROR(INDEX(CatTipo,MATCH($C688,CatNome,0)),"")&lt;&gt;$B688,"Categoria x Tipo?","OK")))</f>
        <v>0</v>
      </c>
    </row>
    <row r="689" spans="1:11">
      <c r="A689" s="18"/>
      <c r="B689" s="19"/>
      <c r="C689" s="15"/>
      <c r="D689" s="15"/>
      <c r="E689" s="15"/>
      <c r="F689" s="17"/>
      <c r="G689" s="19"/>
      <c r="H689" s="20">
        <f>IF($A689="","",YEAR($A689))</f>
        <v>0</v>
      </c>
      <c r="I689" s="20">
        <f>IF($A689="","",MONTH($A689))</f>
        <v>0</v>
      </c>
      <c r="J689" s="21">
        <f>IF(OR($A689="",$F689=""),"",IF($B689="Entrada",$F689,-$F689))</f>
        <v>0</v>
      </c>
      <c r="K689" s="20">
        <f>IF($A689="","",IF(OR($B689="",$C689="",$F689="",$G689=""),"Preencher tudo",IF(IFERROR(INDEX(CatTipo,MATCH($C689,CatNome,0)),"")&lt;&gt;$B689,"Categoria x Tipo?","OK")))</f>
        <v>0</v>
      </c>
    </row>
    <row r="690" spans="1:11">
      <c r="A690" s="18"/>
      <c r="B690" s="19"/>
      <c r="C690" s="15"/>
      <c r="D690" s="15"/>
      <c r="E690" s="15"/>
      <c r="F690" s="17"/>
      <c r="G690" s="19"/>
      <c r="H690" s="20">
        <f>IF($A690="","",YEAR($A690))</f>
        <v>0</v>
      </c>
      <c r="I690" s="20">
        <f>IF($A690="","",MONTH($A690))</f>
        <v>0</v>
      </c>
      <c r="J690" s="21">
        <f>IF(OR($A690="",$F690=""),"",IF($B690="Entrada",$F690,-$F690))</f>
        <v>0</v>
      </c>
      <c r="K690" s="20">
        <f>IF($A690="","",IF(OR($B690="",$C690="",$F690="",$G690=""),"Preencher tudo",IF(IFERROR(INDEX(CatTipo,MATCH($C690,CatNome,0)),"")&lt;&gt;$B690,"Categoria x Tipo?","OK")))</f>
        <v>0</v>
      </c>
    </row>
    <row r="691" spans="1:11">
      <c r="A691" s="18"/>
      <c r="B691" s="19"/>
      <c r="C691" s="15"/>
      <c r="D691" s="15"/>
      <c r="E691" s="15"/>
      <c r="F691" s="17"/>
      <c r="G691" s="19"/>
      <c r="H691" s="20">
        <f>IF($A691="","",YEAR($A691))</f>
        <v>0</v>
      </c>
      <c r="I691" s="20">
        <f>IF($A691="","",MONTH($A691))</f>
        <v>0</v>
      </c>
      <c r="J691" s="21">
        <f>IF(OR($A691="",$F691=""),"",IF($B691="Entrada",$F691,-$F691))</f>
        <v>0</v>
      </c>
      <c r="K691" s="20">
        <f>IF($A691="","",IF(OR($B691="",$C691="",$F691="",$G691=""),"Preencher tudo",IF(IFERROR(INDEX(CatTipo,MATCH($C691,CatNome,0)),"")&lt;&gt;$B691,"Categoria x Tipo?","OK")))</f>
        <v>0</v>
      </c>
    </row>
    <row r="692" spans="1:11">
      <c r="A692" s="18"/>
      <c r="B692" s="19"/>
      <c r="C692" s="15"/>
      <c r="D692" s="15"/>
      <c r="E692" s="15"/>
      <c r="F692" s="17"/>
      <c r="G692" s="19"/>
      <c r="H692" s="20">
        <f>IF($A692="","",YEAR($A692))</f>
        <v>0</v>
      </c>
      <c r="I692" s="20">
        <f>IF($A692="","",MONTH($A692))</f>
        <v>0</v>
      </c>
      <c r="J692" s="21">
        <f>IF(OR($A692="",$F692=""),"",IF($B692="Entrada",$F692,-$F692))</f>
        <v>0</v>
      </c>
      <c r="K692" s="20">
        <f>IF($A692="","",IF(OR($B692="",$C692="",$F692="",$G692=""),"Preencher tudo",IF(IFERROR(INDEX(CatTipo,MATCH($C692,CatNome,0)),"")&lt;&gt;$B692,"Categoria x Tipo?","OK")))</f>
        <v>0</v>
      </c>
    </row>
    <row r="693" spans="1:11">
      <c r="A693" s="18"/>
      <c r="B693" s="19"/>
      <c r="C693" s="15"/>
      <c r="D693" s="15"/>
      <c r="E693" s="15"/>
      <c r="F693" s="17"/>
      <c r="G693" s="19"/>
      <c r="H693" s="20">
        <f>IF($A693="","",YEAR($A693))</f>
        <v>0</v>
      </c>
      <c r="I693" s="20">
        <f>IF($A693="","",MONTH($A693))</f>
        <v>0</v>
      </c>
      <c r="J693" s="21">
        <f>IF(OR($A693="",$F693=""),"",IF($B693="Entrada",$F693,-$F693))</f>
        <v>0</v>
      </c>
      <c r="K693" s="20">
        <f>IF($A693="","",IF(OR($B693="",$C693="",$F693="",$G693=""),"Preencher tudo",IF(IFERROR(INDEX(CatTipo,MATCH($C693,CatNome,0)),"")&lt;&gt;$B693,"Categoria x Tipo?","OK")))</f>
        <v>0</v>
      </c>
    </row>
    <row r="694" spans="1:11">
      <c r="A694" s="18"/>
      <c r="B694" s="19"/>
      <c r="C694" s="15"/>
      <c r="D694" s="15"/>
      <c r="E694" s="15"/>
      <c r="F694" s="17"/>
      <c r="G694" s="19"/>
      <c r="H694" s="20">
        <f>IF($A694="","",YEAR($A694))</f>
        <v>0</v>
      </c>
      <c r="I694" s="20">
        <f>IF($A694="","",MONTH($A694))</f>
        <v>0</v>
      </c>
      <c r="J694" s="21">
        <f>IF(OR($A694="",$F694=""),"",IF($B694="Entrada",$F694,-$F694))</f>
        <v>0</v>
      </c>
      <c r="K694" s="20">
        <f>IF($A694="","",IF(OR($B694="",$C694="",$F694="",$G694=""),"Preencher tudo",IF(IFERROR(INDEX(CatTipo,MATCH($C694,CatNome,0)),"")&lt;&gt;$B694,"Categoria x Tipo?","OK")))</f>
        <v>0</v>
      </c>
    </row>
    <row r="695" spans="1:11">
      <c r="A695" s="18"/>
      <c r="B695" s="19"/>
      <c r="C695" s="15"/>
      <c r="D695" s="15"/>
      <c r="E695" s="15"/>
      <c r="F695" s="17"/>
      <c r="G695" s="19"/>
      <c r="H695" s="20">
        <f>IF($A695="","",YEAR($A695))</f>
        <v>0</v>
      </c>
      <c r="I695" s="20">
        <f>IF($A695="","",MONTH($A695))</f>
        <v>0</v>
      </c>
      <c r="J695" s="21">
        <f>IF(OR($A695="",$F695=""),"",IF($B695="Entrada",$F695,-$F695))</f>
        <v>0</v>
      </c>
      <c r="K695" s="20">
        <f>IF($A695="","",IF(OR($B695="",$C695="",$F695="",$G695=""),"Preencher tudo",IF(IFERROR(INDEX(CatTipo,MATCH($C695,CatNome,0)),"")&lt;&gt;$B695,"Categoria x Tipo?","OK")))</f>
        <v>0</v>
      </c>
    </row>
    <row r="696" spans="1:11">
      <c r="A696" s="18"/>
      <c r="B696" s="19"/>
      <c r="C696" s="15"/>
      <c r="D696" s="15"/>
      <c r="E696" s="15"/>
      <c r="F696" s="17"/>
      <c r="G696" s="19"/>
      <c r="H696" s="20">
        <f>IF($A696="","",YEAR($A696))</f>
        <v>0</v>
      </c>
      <c r="I696" s="20">
        <f>IF($A696="","",MONTH($A696))</f>
        <v>0</v>
      </c>
      <c r="J696" s="21">
        <f>IF(OR($A696="",$F696=""),"",IF($B696="Entrada",$F696,-$F696))</f>
        <v>0</v>
      </c>
      <c r="K696" s="20">
        <f>IF($A696="","",IF(OR($B696="",$C696="",$F696="",$G696=""),"Preencher tudo",IF(IFERROR(INDEX(CatTipo,MATCH($C696,CatNome,0)),"")&lt;&gt;$B696,"Categoria x Tipo?","OK")))</f>
        <v>0</v>
      </c>
    </row>
    <row r="697" spans="1:11">
      <c r="A697" s="18"/>
      <c r="B697" s="19"/>
      <c r="C697" s="15"/>
      <c r="D697" s="15"/>
      <c r="E697" s="15"/>
      <c r="F697" s="17"/>
      <c r="G697" s="19"/>
      <c r="H697" s="20">
        <f>IF($A697="","",YEAR($A697))</f>
        <v>0</v>
      </c>
      <c r="I697" s="20">
        <f>IF($A697="","",MONTH($A697))</f>
        <v>0</v>
      </c>
      <c r="J697" s="21">
        <f>IF(OR($A697="",$F697=""),"",IF($B697="Entrada",$F697,-$F697))</f>
        <v>0</v>
      </c>
      <c r="K697" s="20">
        <f>IF($A697="","",IF(OR($B697="",$C697="",$F697="",$G697=""),"Preencher tudo",IF(IFERROR(INDEX(CatTipo,MATCH($C697,CatNome,0)),"")&lt;&gt;$B697,"Categoria x Tipo?","OK")))</f>
        <v>0</v>
      </c>
    </row>
    <row r="698" spans="1:11">
      <c r="A698" s="18"/>
      <c r="B698" s="19"/>
      <c r="C698" s="15"/>
      <c r="D698" s="15"/>
      <c r="E698" s="15"/>
      <c r="F698" s="17"/>
      <c r="G698" s="19"/>
      <c r="H698" s="20">
        <f>IF($A698="","",YEAR($A698))</f>
        <v>0</v>
      </c>
      <c r="I698" s="20">
        <f>IF($A698="","",MONTH($A698))</f>
        <v>0</v>
      </c>
      <c r="J698" s="21">
        <f>IF(OR($A698="",$F698=""),"",IF($B698="Entrada",$F698,-$F698))</f>
        <v>0</v>
      </c>
      <c r="K698" s="20">
        <f>IF($A698="","",IF(OR($B698="",$C698="",$F698="",$G698=""),"Preencher tudo",IF(IFERROR(INDEX(CatTipo,MATCH($C698,CatNome,0)),"")&lt;&gt;$B698,"Categoria x Tipo?","OK")))</f>
        <v>0</v>
      </c>
    </row>
    <row r="699" spans="1:11">
      <c r="A699" s="18"/>
      <c r="B699" s="19"/>
      <c r="C699" s="15"/>
      <c r="D699" s="15"/>
      <c r="E699" s="15"/>
      <c r="F699" s="17"/>
      <c r="G699" s="19"/>
      <c r="H699" s="20">
        <f>IF($A699="","",YEAR($A699))</f>
        <v>0</v>
      </c>
      <c r="I699" s="20">
        <f>IF($A699="","",MONTH($A699))</f>
        <v>0</v>
      </c>
      <c r="J699" s="21">
        <f>IF(OR($A699="",$F699=""),"",IF($B699="Entrada",$F699,-$F699))</f>
        <v>0</v>
      </c>
      <c r="K699" s="20">
        <f>IF($A699="","",IF(OR($B699="",$C699="",$F699="",$G699=""),"Preencher tudo",IF(IFERROR(INDEX(CatTipo,MATCH($C699,CatNome,0)),"")&lt;&gt;$B699,"Categoria x Tipo?","OK")))</f>
        <v>0</v>
      </c>
    </row>
    <row r="700" spans="1:11">
      <c r="A700" s="18"/>
      <c r="B700" s="19"/>
      <c r="C700" s="15"/>
      <c r="D700" s="15"/>
      <c r="E700" s="15"/>
      <c r="F700" s="17"/>
      <c r="G700" s="19"/>
      <c r="H700" s="20">
        <f>IF($A700="","",YEAR($A700))</f>
        <v>0</v>
      </c>
      <c r="I700" s="20">
        <f>IF($A700="","",MONTH($A700))</f>
        <v>0</v>
      </c>
      <c r="J700" s="21">
        <f>IF(OR($A700="",$F700=""),"",IF($B700="Entrada",$F700,-$F700))</f>
        <v>0</v>
      </c>
      <c r="K700" s="20">
        <f>IF($A700="","",IF(OR($B700="",$C700="",$F700="",$G700=""),"Preencher tudo",IF(IFERROR(INDEX(CatTipo,MATCH($C700,CatNome,0)),"")&lt;&gt;$B700,"Categoria x Tipo?","OK")))</f>
        <v>0</v>
      </c>
    </row>
    <row r="701" spans="1:11">
      <c r="A701" s="18"/>
      <c r="B701" s="19"/>
      <c r="C701" s="15"/>
      <c r="D701" s="15"/>
      <c r="E701" s="15"/>
      <c r="F701" s="17"/>
      <c r="G701" s="19"/>
      <c r="H701" s="20">
        <f>IF($A701="","",YEAR($A701))</f>
        <v>0</v>
      </c>
      <c r="I701" s="20">
        <f>IF($A701="","",MONTH($A701))</f>
        <v>0</v>
      </c>
      <c r="J701" s="21">
        <f>IF(OR($A701="",$F701=""),"",IF($B701="Entrada",$F701,-$F701))</f>
        <v>0</v>
      </c>
      <c r="K701" s="20">
        <f>IF($A701="","",IF(OR($B701="",$C701="",$F701="",$G701=""),"Preencher tudo",IF(IFERROR(INDEX(CatTipo,MATCH($C701,CatNome,0)),"")&lt;&gt;$B701,"Categoria x Tipo?","OK")))</f>
        <v>0</v>
      </c>
    </row>
    <row r="702" spans="1:11">
      <c r="A702" s="18"/>
      <c r="B702" s="19"/>
      <c r="C702" s="15"/>
      <c r="D702" s="15"/>
      <c r="E702" s="15"/>
      <c r="F702" s="17"/>
      <c r="G702" s="19"/>
      <c r="H702" s="20">
        <f>IF($A702="","",YEAR($A702))</f>
        <v>0</v>
      </c>
      <c r="I702" s="20">
        <f>IF($A702="","",MONTH($A702))</f>
        <v>0</v>
      </c>
      <c r="J702" s="21">
        <f>IF(OR($A702="",$F702=""),"",IF($B702="Entrada",$F702,-$F702))</f>
        <v>0</v>
      </c>
      <c r="K702" s="20">
        <f>IF($A702="","",IF(OR($B702="",$C702="",$F702="",$G702=""),"Preencher tudo",IF(IFERROR(INDEX(CatTipo,MATCH($C702,CatNome,0)),"")&lt;&gt;$B702,"Categoria x Tipo?","OK")))</f>
        <v>0</v>
      </c>
    </row>
    <row r="703" spans="1:11">
      <c r="A703" s="18"/>
      <c r="B703" s="19"/>
      <c r="C703" s="15"/>
      <c r="D703" s="15"/>
      <c r="E703" s="15"/>
      <c r="F703" s="17"/>
      <c r="G703" s="19"/>
      <c r="H703" s="20">
        <f>IF($A703="","",YEAR($A703))</f>
        <v>0</v>
      </c>
      <c r="I703" s="20">
        <f>IF($A703="","",MONTH($A703))</f>
        <v>0</v>
      </c>
      <c r="J703" s="21">
        <f>IF(OR($A703="",$F703=""),"",IF($B703="Entrada",$F703,-$F703))</f>
        <v>0</v>
      </c>
      <c r="K703" s="20">
        <f>IF($A703="","",IF(OR($B703="",$C703="",$F703="",$G703=""),"Preencher tudo",IF(IFERROR(INDEX(CatTipo,MATCH($C703,CatNome,0)),"")&lt;&gt;$B703,"Categoria x Tipo?","OK")))</f>
        <v>0</v>
      </c>
    </row>
    <row r="704" spans="1:11">
      <c r="A704" s="18"/>
      <c r="B704" s="19"/>
      <c r="C704" s="15"/>
      <c r="D704" s="15"/>
      <c r="E704" s="15"/>
      <c r="F704" s="17"/>
      <c r="G704" s="19"/>
      <c r="H704" s="20">
        <f>IF($A704="","",YEAR($A704))</f>
        <v>0</v>
      </c>
      <c r="I704" s="20">
        <f>IF($A704="","",MONTH($A704))</f>
        <v>0</v>
      </c>
      <c r="J704" s="21">
        <f>IF(OR($A704="",$F704=""),"",IF($B704="Entrada",$F704,-$F704))</f>
        <v>0</v>
      </c>
      <c r="K704" s="20">
        <f>IF($A704="","",IF(OR($B704="",$C704="",$F704="",$G704=""),"Preencher tudo",IF(IFERROR(INDEX(CatTipo,MATCH($C704,CatNome,0)),"")&lt;&gt;$B704,"Categoria x Tipo?","OK")))</f>
        <v>0</v>
      </c>
    </row>
    <row r="705" spans="1:11">
      <c r="A705" s="18"/>
      <c r="B705" s="19"/>
      <c r="C705" s="15"/>
      <c r="D705" s="15"/>
      <c r="E705" s="15"/>
      <c r="F705" s="17"/>
      <c r="G705" s="19"/>
      <c r="H705" s="20">
        <f>IF($A705="","",YEAR($A705))</f>
        <v>0</v>
      </c>
      <c r="I705" s="20">
        <f>IF($A705="","",MONTH($A705))</f>
        <v>0</v>
      </c>
      <c r="J705" s="21">
        <f>IF(OR($A705="",$F705=""),"",IF($B705="Entrada",$F705,-$F705))</f>
        <v>0</v>
      </c>
      <c r="K705" s="20">
        <f>IF($A705="","",IF(OR($B705="",$C705="",$F705="",$G705=""),"Preencher tudo",IF(IFERROR(INDEX(CatTipo,MATCH($C705,CatNome,0)),"")&lt;&gt;$B705,"Categoria x Tipo?","OK")))</f>
        <v>0</v>
      </c>
    </row>
    <row r="706" spans="1:11">
      <c r="A706" s="18"/>
      <c r="B706" s="19"/>
      <c r="C706" s="15"/>
      <c r="D706" s="15"/>
      <c r="E706" s="15"/>
      <c r="F706" s="17"/>
      <c r="G706" s="19"/>
      <c r="H706" s="20">
        <f>IF($A706="","",YEAR($A706))</f>
        <v>0</v>
      </c>
      <c r="I706" s="20">
        <f>IF($A706="","",MONTH($A706))</f>
        <v>0</v>
      </c>
      <c r="J706" s="21">
        <f>IF(OR($A706="",$F706=""),"",IF($B706="Entrada",$F706,-$F706))</f>
        <v>0</v>
      </c>
      <c r="K706" s="20">
        <f>IF($A706="","",IF(OR($B706="",$C706="",$F706="",$G706=""),"Preencher tudo",IF(IFERROR(INDEX(CatTipo,MATCH($C706,CatNome,0)),"")&lt;&gt;$B706,"Categoria x Tipo?","OK")))</f>
        <v>0</v>
      </c>
    </row>
    <row r="707" spans="1:11">
      <c r="A707" s="18"/>
      <c r="B707" s="19"/>
      <c r="C707" s="15"/>
      <c r="D707" s="15"/>
      <c r="E707" s="15"/>
      <c r="F707" s="17"/>
      <c r="G707" s="19"/>
      <c r="H707" s="20">
        <f>IF($A707="","",YEAR($A707))</f>
        <v>0</v>
      </c>
      <c r="I707" s="20">
        <f>IF($A707="","",MONTH($A707))</f>
        <v>0</v>
      </c>
      <c r="J707" s="21">
        <f>IF(OR($A707="",$F707=""),"",IF($B707="Entrada",$F707,-$F707))</f>
        <v>0</v>
      </c>
      <c r="K707" s="20">
        <f>IF($A707="","",IF(OR($B707="",$C707="",$F707="",$G707=""),"Preencher tudo",IF(IFERROR(INDEX(CatTipo,MATCH($C707,CatNome,0)),"")&lt;&gt;$B707,"Categoria x Tipo?","OK")))</f>
        <v>0</v>
      </c>
    </row>
    <row r="708" spans="1:11">
      <c r="A708" s="18"/>
      <c r="B708" s="19"/>
      <c r="C708" s="15"/>
      <c r="D708" s="15"/>
      <c r="E708" s="15"/>
      <c r="F708" s="17"/>
      <c r="G708" s="19"/>
      <c r="H708" s="20">
        <f>IF($A708="","",YEAR($A708))</f>
        <v>0</v>
      </c>
      <c r="I708" s="20">
        <f>IF($A708="","",MONTH($A708))</f>
        <v>0</v>
      </c>
      <c r="J708" s="21">
        <f>IF(OR($A708="",$F708=""),"",IF($B708="Entrada",$F708,-$F708))</f>
        <v>0</v>
      </c>
      <c r="K708" s="20">
        <f>IF($A708="","",IF(OR($B708="",$C708="",$F708="",$G708=""),"Preencher tudo",IF(IFERROR(INDEX(CatTipo,MATCH($C708,CatNome,0)),"")&lt;&gt;$B708,"Categoria x Tipo?","OK")))</f>
        <v>0</v>
      </c>
    </row>
    <row r="709" spans="1:11">
      <c r="A709" s="18"/>
      <c r="B709" s="19"/>
      <c r="C709" s="15"/>
      <c r="D709" s="15"/>
      <c r="E709" s="15"/>
      <c r="F709" s="17"/>
      <c r="G709" s="19"/>
      <c r="H709" s="20">
        <f>IF($A709="","",YEAR($A709))</f>
        <v>0</v>
      </c>
      <c r="I709" s="20">
        <f>IF($A709="","",MONTH($A709))</f>
        <v>0</v>
      </c>
      <c r="J709" s="21">
        <f>IF(OR($A709="",$F709=""),"",IF($B709="Entrada",$F709,-$F709))</f>
        <v>0</v>
      </c>
      <c r="K709" s="20">
        <f>IF($A709="","",IF(OR($B709="",$C709="",$F709="",$G709=""),"Preencher tudo",IF(IFERROR(INDEX(CatTipo,MATCH($C709,CatNome,0)),"")&lt;&gt;$B709,"Categoria x Tipo?","OK")))</f>
        <v>0</v>
      </c>
    </row>
    <row r="710" spans="1:11">
      <c r="A710" s="18"/>
      <c r="B710" s="19"/>
      <c r="C710" s="15"/>
      <c r="D710" s="15"/>
      <c r="E710" s="15"/>
      <c r="F710" s="17"/>
      <c r="G710" s="19"/>
      <c r="H710" s="20">
        <f>IF($A710="","",YEAR($A710))</f>
        <v>0</v>
      </c>
      <c r="I710" s="20">
        <f>IF($A710="","",MONTH($A710))</f>
        <v>0</v>
      </c>
      <c r="J710" s="21">
        <f>IF(OR($A710="",$F710=""),"",IF($B710="Entrada",$F710,-$F710))</f>
        <v>0</v>
      </c>
      <c r="K710" s="20">
        <f>IF($A710="","",IF(OR($B710="",$C710="",$F710="",$G710=""),"Preencher tudo",IF(IFERROR(INDEX(CatTipo,MATCH($C710,CatNome,0)),"")&lt;&gt;$B710,"Categoria x Tipo?","OK")))</f>
        <v>0</v>
      </c>
    </row>
    <row r="711" spans="1:11">
      <c r="A711" s="18"/>
      <c r="B711" s="19"/>
      <c r="C711" s="15"/>
      <c r="D711" s="15"/>
      <c r="E711" s="15"/>
      <c r="F711" s="17"/>
      <c r="G711" s="19"/>
      <c r="H711" s="20">
        <f>IF($A711="","",YEAR($A711))</f>
        <v>0</v>
      </c>
      <c r="I711" s="20">
        <f>IF($A711="","",MONTH($A711))</f>
        <v>0</v>
      </c>
      <c r="J711" s="21">
        <f>IF(OR($A711="",$F711=""),"",IF($B711="Entrada",$F711,-$F711))</f>
        <v>0</v>
      </c>
      <c r="K711" s="20">
        <f>IF($A711="","",IF(OR($B711="",$C711="",$F711="",$G711=""),"Preencher tudo",IF(IFERROR(INDEX(CatTipo,MATCH($C711,CatNome,0)),"")&lt;&gt;$B711,"Categoria x Tipo?","OK")))</f>
        <v>0</v>
      </c>
    </row>
    <row r="712" spans="1:11">
      <c r="A712" s="18"/>
      <c r="B712" s="19"/>
      <c r="C712" s="15"/>
      <c r="D712" s="15"/>
      <c r="E712" s="15"/>
      <c r="F712" s="17"/>
      <c r="G712" s="19"/>
      <c r="H712" s="20">
        <f>IF($A712="","",YEAR($A712))</f>
        <v>0</v>
      </c>
      <c r="I712" s="20">
        <f>IF($A712="","",MONTH($A712))</f>
        <v>0</v>
      </c>
      <c r="J712" s="21">
        <f>IF(OR($A712="",$F712=""),"",IF($B712="Entrada",$F712,-$F712))</f>
        <v>0</v>
      </c>
      <c r="K712" s="20">
        <f>IF($A712="","",IF(OR($B712="",$C712="",$F712="",$G712=""),"Preencher tudo",IF(IFERROR(INDEX(CatTipo,MATCH($C712,CatNome,0)),"")&lt;&gt;$B712,"Categoria x Tipo?","OK")))</f>
        <v>0</v>
      </c>
    </row>
    <row r="713" spans="1:11">
      <c r="A713" s="18"/>
      <c r="B713" s="19"/>
      <c r="C713" s="15"/>
      <c r="D713" s="15"/>
      <c r="E713" s="15"/>
      <c r="F713" s="17"/>
      <c r="G713" s="19"/>
      <c r="H713" s="20">
        <f>IF($A713="","",YEAR($A713))</f>
        <v>0</v>
      </c>
      <c r="I713" s="20">
        <f>IF($A713="","",MONTH($A713))</f>
        <v>0</v>
      </c>
      <c r="J713" s="21">
        <f>IF(OR($A713="",$F713=""),"",IF($B713="Entrada",$F713,-$F713))</f>
        <v>0</v>
      </c>
      <c r="K713" s="20">
        <f>IF($A713="","",IF(OR($B713="",$C713="",$F713="",$G713=""),"Preencher tudo",IF(IFERROR(INDEX(CatTipo,MATCH($C713,CatNome,0)),"")&lt;&gt;$B713,"Categoria x Tipo?","OK")))</f>
        <v>0</v>
      </c>
    </row>
    <row r="714" spans="1:11">
      <c r="A714" s="18"/>
      <c r="B714" s="19"/>
      <c r="C714" s="15"/>
      <c r="D714" s="15"/>
      <c r="E714" s="15"/>
      <c r="F714" s="17"/>
      <c r="G714" s="19"/>
      <c r="H714" s="20">
        <f>IF($A714="","",YEAR($A714))</f>
        <v>0</v>
      </c>
      <c r="I714" s="20">
        <f>IF($A714="","",MONTH($A714))</f>
        <v>0</v>
      </c>
      <c r="J714" s="21">
        <f>IF(OR($A714="",$F714=""),"",IF($B714="Entrada",$F714,-$F714))</f>
        <v>0</v>
      </c>
      <c r="K714" s="20">
        <f>IF($A714="","",IF(OR($B714="",$C714="",$F714="",$G714=""),"Preencher tudo",IF(IFERROR(INDEX(CatTipo,MATCH($C714,CatNome,0)),"")&lt;&gt;$B714,"Categoria x Tipo?","OK")))</f>
        <v>0</v>
      </c>
    </row>
    <row r="715" spans="1:11">
      <c r="A715" s="18"/>
      <c r="B715" s="19"/>
      <c r="C715" s="15"/>
      <c r="D715" s="15"/>
      <c r="E715" s="15"/>
      <c r="F715" s="17"/>
      <c r="G715" s="19"/>
      <c r="H715" s="20">
        <f>IF($A715="","",YEAR($A715))</f>
        <v>0</v>
      </c>
      <c r="I715" s="20">
        <f>IF($A715="","",MONTH($A715))</f>
        <v>0</v>
      </c>
      <c r="J715" s="21">
        <f>IF(OR($A715="",$F715=""),"",IF($B715="Entrada",$F715,-$F715))</f>
        <v>0</v>
      </c>
      <c r="K715" s="20">
        <f>IF($A715="","",IF(OR($B715="",$C715="",$F715="",$G715=""),"Preencher tudo",IF(IFERROR(INDEX(CatTipo,MATCH($C715,CatNome,0)),"")&lt;&gt;$B715,"Categoria x Tipo?","OK")))</f>
        <v>0</v>
      </c>
    </row>
    <row r="716" spans="1:11">
      <c r="A716" s="18"/>
      <c r="B716" s="19"/>
      <c r="C716" s="15"/>
      <c r="D716" s="15"/>
      <c r="E716" s="15"/>
      <c r="F716" s="17"/>
      <c r="G716" s="19"/>
      <c r="H716" s="20">
        <f>IF($A716="","",YEAR($A716))</f>
        <v>0</v>
      </c>
      <c r="I716" s="20">
        <f>IF($A716="","",MONTH($A716))</f>
        <v>0</v>
      </c>
      <c r="J716" s="21">
        <f>IF(OR($A716="",$F716=""),"",IF($B716="Entrada",$F716,-$F716))</f>
        <v>0</v>
      </c>
      <c r="K716" s="20">
        <f>IF($A716="","",IF(OR($B716="",$C716="",$F716="",$G716=""),"Preencher tudo",IF(IFERROR(INDEX(CatTipo,MATCH($C716,CatNome,0)),"")&lt;&gt;$B716,"Categoria x Tipo?","OK")))</f>
        <v>0</v>
      </c>
    </row>
    <row r="717" spans="1:11">
      <c r="A717" s="18"/>
      <c r="B717" s="19"/>
      <c r="C717" s="15"/>
      <c r="D717" s="15"/>
      <c r="E717" s="15"/>
      <c r="F717" s="17"/>
      <c r="G717" s="19"/>
      <c r="H717" s="20">
        <f>IF($A717="","",YEAR($A717))</f>
        <v>0</v>
      </c>
      <c r="I717" s="20">
        <f>IF($A717="","",MONTH($A717))</f>
        <v>0</v>
      </c>
      <c r="J717" s="21">
        <f>IF(OR($A717="",$F717=""),"",IF($B717="Entrada",$F717,-$F717))</f>
        <v>0</v>
      </c>
      <c r="K717" s="20">
        <f>IF($A717="","",IF(OR($B717="",$C717="",$F717="",$G717=""),"Preencher tudo",IF(IFERROR(INDEX(CatTipo,MATCH($C717,CatNome,0)),"")&lt;&gt;$B717,"Categoria x Tipo?","OK")))</f>
        <v>0</v>
      </c>
    </row>
    <row r="718" spans="1:11">
      <c r="A718" s="18"/>
      <c r="B718" s="19"/>
      <c r="C718" s="15"/>
      <c r="D718" s="15"/>
      <c r="E718" s="15"/>
      <c r="F718" s="17"/>
      <c r="G718" s="19"/>
      <c r="H718" s="20">
        <f>IF($A718="","",YEAR($A718))</f>
        <v>0</v>
      </c>
      <c r="I718" s="20">
        <f>IF($A718="","",MONTH($A718))</f>
        <v>0</v>
      </c>
      <c r="J718" s="21">
        <f>IF(OR($A718="",$F718=""),"",IF($B718="Entrada",$F718,-$F718))</f>
        <v>0</v>
      </c>
      <c r="K718" s="20">
        <f>IF($A718="","",IF(OR($B718="",$C718="",$F718="",$G718=""),"Preencher tudo",IF(IFERROR(INDEX(CatTipo,MATCH($C718,CatNome,0)),"")&lt;&gt;$B718,"Categoria x Tipo?","OK")))</f>
        <v>0</v>
      </c>
    </row>
    <row r="719" spans="1:11">
      <c r="A719" s="18"/>
      <c r="B719" s="19"/>
      <c r="C719" s="15"/>
      <c r="D719" s="15"/>
      <c r="E719" s="15"/>
      <c r="F719" s="17"/>
      <c r="G719" s="19"/>
      <c r="H719" s="20">
        <f>IF($A719="","",YEAR($A719))</f>
        <v>0</v>
      </c>
      <c r="I719" s="20">
        <f>IF($A719="","",MONTH($A719))</f>
        <v>0</v>
      </c>
      <c r="J719" s="21">
        <f>IF(OR($A719="",$F719=""),"",IF($B719="Entrada",$F719,-$F719))</f>
        <v>0</v>
      </c>
      <c r="K719" s="20">
        <f>IF($A719="","",IF(OR($B719="",$C719="",$F719="",$G719=""),"Preencher tudo",IF(IFERROR(INDEX(CatTipo,MATCH($C719,CatNome,0)),"")&lt;&gt;$B719,"Categoria x Tipo?","OK")))</f>
        <v>0</v>
      </c>
    </row>
    <row r="720" spans="1:11">
      <c r="A720" s="18"/>
      <c r="B720" s="19"/>
      <c r="C720" s="15"/>
      <c r="D720" s="15"/>
      <c r="E720" s="15"/>
      <c r="F720" s="17"/>
      <c r="G720" s="19"/>
      <c r="H720" s="20">
        <f>IF($A720="","",YEAR($A720))</f>
        <v>0</v>
      </c>
      <c r="I720" s="20">
        <f>IF($A720="","",MONTH($A720))</f>
        <v>0</v>
      </c>
      <c r="J720" s="21">
        <f>IF(OR($A720="",$F720=""),"",IF($B720="Entrada",$F720,-$F720))</f>
        <v>0</v>
      </c>
      <c r="K720" s="20">
        <f>IF($A720="","",IF(OR($B720="",$C720="",$F720="",$G720=""),"Preencher tudo",IF(IFERROR(INDEX(CatTipo,MATCH($C720,CatNome,0)),"")&lt;&gt;$B720,"Categoria x Tipo?","OK")))</f>
        <v>0</v>
      </c>
    </row>
    <row r="721" spans="1:11">
      <c r="A721" s="18"/>
      <c r="B721" s="19"/>
      <c r="C721" s="15"/>
      <c r="D721" s="15"/>
      <c r="E721" s="15"/>
      <c r="F721" s="17"/>
      <c r="G721" s="19"/>
      <c r="H721" s="20">
        <f>IF($A721="","",YEAR($A721))</f>
        <v>0</v>
      </c>
      <c r="I721" s="20">
        <f>IF($A721="","",MONTH($A721))</f>
        <v>0</v>
      </c>
      <c r="J721" s="21">
        <f>IF(OR($A721="",$F721=""),"",IF($B721="Entrada",$F721,-$F721))</f>
        <v>0</v>
      </c>
      <c r="K721" s="20">
        <f>IF($A721="","",IF(OR($B721="",$C721="",$F721="",$G721=""),"Preencher tudo",IF(IFERROR(INDEX(CatTipo,MATCH($C721,CatNome,0)),"")&lt;&gt;$B721,"Categoria x Tipo?","OK")))</f>
        <v>0</v>
      </c>
    </row>
    <row r="722" spans="1:11">
      <c r="A722" s="18"/>
      <c r="B722" s="19"/>
      <c r="C722" s="15"/>
      <c r="D722" s="15"/>
      <c r="E722" s="15"/>
      <c r="F722" s="17"/>
      <c r="G722" s="19"/>
      <c r="H722" s="20">
        <f>IF($A722="","",YEAR($A722))</f>
        <v>0</v>
      </c>
      <c r="I722" s="20">
        <f>IF($A722="","",MONTH($A722))</f>
        <v>0</v>
      </c>
      <c r="J722" s="21">
        <f>IF(OR($A722="",$F722=""),"",IF($B722="Entrada",$F722,-$F722))</f>
        <v>0</v>
      </c>
      <c r="K722" s="20">
        <f>IF($A722="","",IF(OR($B722="",$C722="",$F722="",$G722=""),"Preencher tudo",IF(IFERROR(INDEX(CatTipo,MATCH($C722,CatNome,0)),"")&lt;&gt;$B722,"Categoria x Tipo?","OK")))</f>
        <v>0</v>
      </c>
    </row>
    <row r="723" spans="1:11">
      <c r="A723" s="18"/>
      <c r="B723" s="19"/>
      <c r="C723" s="15"/>
      <c r="D723" s="15"/>
      <c r="E723" s="15"/>
      <c r="F723" s="17"/>
      <c r="G723" s="19"/>
      <c r="H723" s="20">
        <f>IF($A723="","",YEAR($A723))</f>
        <v>0</v>
      </c>
      <c r="I723" s="20">
        <f>IF($A723="","",MONTH($A723))</f>
        <v>0</v>
      </c>
      <c r="J723" s="21">
        <f>IF(OR($A723="",$F723=""),"",IF($B723="Entrada",$F723,-$F723))</f>
        <v>0</v>
      </c>
      <c r="K723" s="20">
        <f>IF($A723="","",IF(OR($B723="",$C723="",$F723="",$G723=""),"Preencher tudo",IF(IFERROR(INDEX(CatTipo,MATCH($C723,CatNome,0)),"")&lt;&gt;$B723,"Categoria x Tipo?","OK")))</f>
        <v>0</v>
      </c>
    </row>
    <row r="724" spans="1:11">
      <c r="A724" s="18"/>
      <c r="B724" s="19"/>
      <c r="C724" s="15"/>
      <c r="D724" s="15"/>
      <c r="E724" s="15"/>
      <c r="F724" s="17"/>
      <c r="G724" s="19"/>
      <c r="H724" s="20">
        <f>IF($A724="","",YEAR($A724))</f>
        <v>0</v>
      </c>
      <c r="I724" s="20">
        <f>IF($A724="","",MONTH($A724))</f>
        <v>0</v>
      </c>
      <c r="J724" s="21">
        <f>IF(OR($A724="",$F724=""),"",IF($B724="Entrada",$F724,-$F724))</f>
        <v>0</v>
      </c>
      <c r="K724" s="20">
        <f>IF($A724="","",IF(OR($B724="",$C724="",$F724="",$G724=""),"Preencher tudo",IF(IFERROR(INDEX(CatTipo,MATCH($C724,CatNome,0)),"")&lt;&gt;$B724,"Categoria x Tipo?","OK")))</f>
        <v>0</v>
      </c>
    </row>
    <row r="725" spans="1:11">
      <c r="A725" s="18"/>
      <c r="B725" s="19"/>
      <c r="C725" s="15"/>
      <c r="D725" s="15"/>
      <c r="E725" s="15"/>
      <c r="F725" s="17"/>
      <c r="G725" s="19"/>
      <c r="H725" s="20">
        <f>IF($A725="","",YEAR($A725))</f>
        <v>0</v>
      </c>
      <c r="I725" s="20">
        <f>IF($A725="","",MONTH($A725))</f>
        <v>0</v>
      </c>
      <c r="J725" s="21">
        <f>IF(OR($A725="",$F725=""),"",IF($B725="Entrada",$F725,-$F725))</f>
        <v>0</v>
      </c>
      <c r="K725" s="20">
        <f>IF($A725="","",IF(OR($B725="",$C725="",$F725="",$G725=""),"Preencher tudo",IF(IFERROR(INDEX(CatTipo,MATCH($C725,CatNome,0)),"")&lt;&gt;$B725,"Categoria x Tipo?","OK")))</f>
        <v>0</v>
      </c>
    </row>
    <row r="726" spans="1:11">
      <c r="A726" s="18"/>
      <c r="B726" s="19"/>
      <c r="C726" s="15"/>
      <c r="D726" s="15"/>
      <c r="E726" s="15"/>
      <c r="F726" s="17"/>
      <c r="G726" s="19"/>
      <c r="H726" s="20">
        <f>IF($A726="","",YEAR($A726))</f>
        <v>0</v>
      </c>
      <c r="I726" s="20">
        <f>IF($A726="","",MONTH($A726))</f>
        <v>0</v>
      </c>
      <c r="J726" s="21">
        <f>IF(OR($A726="",$F726=""),"",IF($B726="Entrada",$F726,-$F726))</f>
        <v>0</v>
      </c>
      <c r="K726" s="20">
        <f>IF($A726="","",IF(OR($B726="",$C726="",$F726="",$G726=""),"Preencher tudo",IF(IFERROR(INDEX(CatTipo,MATCH($C726,CatNome,0)),"")&lt;&gt;$B726,"Categoria x Tipo?","OK")))</f>
        <v>0</v>
      </c>
    </row>
    <row r="727" spans="1:11">
      <c r="A727" s="18"/>
      <c r="B727" s="19"/>
      <c r="C727" s="15"/>
      <c r="D727" s="15"/>
      <c r="E727" s="15"/>
      <c r="F727" s="17"/>
      <c r="G727" s="19"/>
      <c r="H727" s="20">
        <f>IF($A727="","",YEAR($A727))</f>
        <v>0</v>
      </c>
      <c r="I727" s="20">
        <f>IF($A727="","",MONTH($A727))</f>
        <v>0</v>
      </c>
      <c r="J727" s="21">
        <f>IF(OR($A727="",$F727=""),"",IF($B727="Entrada",$F727,-$F727))</f>
        <v>0</v>
      </c>
      <c r="K727" s="20">
        <f>IF($A727="","",IF(OR($B727="",$C727="",$F727="",$G727=""),"Preencher tudo",IF(IFERROR(INDEX(CatTipo,MATCH($C727,CatNome,0)),"")&lt;&gt;$B727,"Categoria x Tipo?","OK")))</f>
        <v>0</v>
      </c>
    </row>
    <row r="728" spans="1:11">
      <c r="A728" s="18"/>
      <c r="B728" s="19"/>
      <c r="C728" s="15"/>
      <c r="D728" s="15"/>
      <c r="E728" s="15"/>
      <c r="F728" s="17"/>
      <c r="G728" s="19"/>
      <c r="H728" s="20">
        <f>IF($A728="","",YEAR($A728))</f>
        <v>0</v>
      </c>
      <c r="I728" s="20">
        <f>IF($A728="","",MONTH($A728))</f>
        <v>0</v>
      </c>
      <c r="J728" s="21">
        <f>IF(OR($A728="",$F728=""),"",IF($B728="Entrada",$F728,-$F728))</f>
        <v>0</v>
      </c>
      <c r="K728" s="20">
        <f>IF($A728="","",IF(OR($B728="",$C728="",$F728="",$G728=""),"Preencher tudo",IF(IFERROR(INDEX(CatTipo,MATCH($C728,CatNome,0)),"")&lt;&gt;$B728,"Categoria x Tipo?","OK")))</f>
        <v>0</v>
      </c>
    </row>
    <row r="729" spans="1:11">
      <c r="A729" s="18"/>
      <c r="B729" s="19"/>
      <c r="C729" s="15"/>
      <c r="D729" s="15"/>
      <c r="E729" s="15"/>
      <c r="F729" s="17"/>
      <c r="G729" s="19"/>
      <c r="H729" s="20">
        <f>IF($A729="","",YEAR($A729))</f>
        <v>0</v>
      </c>
      <c r="I729" s="20">
        <f>IF($A729="","",MONTH($A729))</f>
        <v>0</v>
      </c>
      <c r="J729" s="21">
        <f>IF(OR($A729="",$F729=""),"",IF($B729="Entrada",$F729,-$F729))</f>
        <v>0</v>
      </c>
      <c r="K729" s="20">
        <f>IF($A729="","",IF(OR($B729="",$C729="",$F729="",$G729=""),"Preencher tudo",IF(IFERROR(INDEX(CatTipo,MATCH($C729,CatNome,0)),"")&lt;&gt;$B729,"Categoria x Tipo?","OK")))</f>
        <v>0</v>
      </c>
    </row>
    <row r="730" spans="1:11">
      <c r="A730" s="18"/>
      <c r="B730" s="19"/>
      <c r="C730" s="15"/>
      <c r="D730" s="15"/>
      <c r="E730" s="15"/>
      <c r="F730" s="17"/>
      <c r="G730" s="19"/>
      <c r="H730" s="20">
        <f>IF($A730="","",YEAR($A730))</f>
        <v>0</v>
      </c>
      <c r="I730" s="20">
        <f>IF($A730="","",MONTH($A730))</f>
        <v>0</v>
      </c>
      <c r="J730" s="21">
        <f>IF(OR($A730="",$F730=""),"",IF($B730="Entrada",$F730,-$F730))</f>
        <v>0</v>
      </c>
      <c r="K730" s="20">
        <f>IF($A730="","",IF(OR($B730="",$C730="",$F730="",$G730=""),"Preencher tudo",IF(IFERROR(INDEX(CatTipo,MATCH($C730,CatNome,0)),"")&lt;&gt;$B730,"Categoria x Tipo?","OK")))</f>
        <v>0</v>
      </c>
    </row>
    <row r="731" spans="1:11">
      <c r="A731" s="18"/>
      <c r="B731" s="19"/>
      <c r="C731" s="15"/>
      <c r="D731" s="15"/>
      <c r="E731" s="15"/>
      <c r="F731" s="17"/>
      <c r="G731" s="19"/>
      <c r="H731" s="20">
        <f>IF($A731="","",YEAR($A731))</f>
        <v>0</v>
      </c>
      <c r="I731" s="20">
        <f>IF($A731="","",MONTH($A731))</f>
        <v>0</v>
      </c>
      <c r="J731" s="21">
        <f>IF(OR($A731="",$F731=""),"",IF($B731="Entrada",$F731,-$F731))</f>
        <v>0</v>
      </c>
      <c r="K731" s="20">
        <f>IF($A731="","",IF(OR($B731="",$C731="",$F731="",$G731=""),"Preencher tudo",IF(IFERROR(INDEX(CatTipo,MATCH($C731,CatNome,0)),"")&lt;&gt;$B731,"Categoria x Tipo?","OK")))</f>
        <v>0</v>
      </c>
    </row>
    <row r="732" spans="1:11">
      <c r="A732" s="18"/>
      <c r="B732" s="19"/>
      <c r="C732" s="15"/>
      <c r="D732" s="15"/>
      <c r="E732" s="15"/>
      <c r="F732" s="17"/>
      <c r="G732" s="19"/>
      <c r="H732" s="20">
        <f>IF($A732="","",YEAR($A732))</f>
        <v>0</v>
      </c>
      <c r="I732" s="20">
        <f>IF($A732="","",MONTH($A732))</f>
        <v>0</v>
      </c>
      <c r="J732" s="21">
        <f>IF(OR($A732="",$F732=""),"",IF($B732="Entrada",$F732,-$F732))</f>
        <v>0</v>
      </c>
      <c r="K732" s="20">
        <f>IF($A732="","",IF(OR($B732="",$C732="",$F732="",$G732=""),"Preencher tudo",IF(IFERROR(INDEX(CatTipo,MATCH($C732,CatNome,0)),"")&lt;&gt;$B732,"Categoria x Tipo?","OK")))</f>
        <v>0</v>
      </c>
    </row>
    <row r="733" spans="1:11">
      <c r="A733" s="18"/>
      <c r="B733" s="19"/>
      <c r="C733" s="15"/>
      <c r="D733" s="15"/>
      <c r="E733" s="15"/>
      <c r="F733" s="17"/>
      <c r="G733" s="19"/>
      <c r="H733" s="20">
        <f>IF($A733="","",YEAR($A733))</f>
        <v>0</v>
      </c>
      <c r="I733" s="20">
        <f>IF($A733="","",MONTH($A733))</f>
        <v>0</v>
      </c>
      <c r="J733" s="21">
        <f>IF(OR($A733="",$F733=""),"",IF($B733="Entrada",$F733,-$F733))</f>
        <v>0</v>
      </c>
      <c r="K733" s="20">
        <f>IF($A733="","",IF(OR($B733="",$C733="",$F733="",$G733=""),"Preencher tudo",IF(IFERROR(INDEX(CatTipo,MATCH($C733,CatNome,0)),"")&lt;&gt;$B733,"Categoria x Tipo?","OK")))</f>
        <v>0</v>
      </c>
    </row>
    <row r="734" spans="1:11">
      <c r="A734" s="18"/>
      <c r="B734" s="19"/>
      <c r="C734" s="15"/>
      <c r="D734" s="15"/>
      <c r="E734" s="15"/>
      <c r="F734" s="17"/>
      <c r="G734" s="19"/>
      <c r="H734" s="20">
        <f>IF($A734="","",YEAR($A734))</f>
        <v>0</v>
      </c>
      <c r="I734" s="20">
        <f>IF($A734="","",MONTH($A734))</f>
        <v>0</v>
      </c>
      <c r="J734" s="21">
        <f>IF(OR($A734="",$F734=""),"",IF($B734="Entrada",$F734,-$F734))</f>
        <v>0</v>
      </c>
      <c r="K734" s="20">
        <f>IF($A734="","",IF(OR($B734="",$C734="",$F734="",$G734=""),"Preencher tudo",IF(IFERROR(INDEX(CatTipo,MATCH($C734,CatNome,0)),"")&lt;&gt;$B734,"Categoria x Tipo?","OK")))</f>
        <v>0</v>
      </c>
    </row>
    <row r="735" spans="1:11">
      <c r="A735" s="18"/>
      <c r="B735" s="19"/>
      <c r="C735" s="15"/>
      <c r="D735" s="15"/>
      <c r="E735" s="15"/>
      <c r="F735" s="17"/>
      <c r="G735" s="19"/>
      <c r="H735" s="20">
        <f>IF($A735="","",YEAR($A735))</f>
        <v>0</v>
      </c>
      <c r="I735" s="20">
        <f>IF($A735="","",MONTH($A735))</f>
        <v>0</v>
      </c>
      <c r="J735" s="21">
        <f>IF(OR($A735="",$F735=""),"",IF($B735="Entrada",$F735,-$F735))</f>
        <v>0</v>
      </c>
      <c r="K735" s="20">
        <f>IF($A735="","",IF(OR($B735="",$C735="",$F735="",$G735=""),"Preencher tudo",IF(IFERROR(INDEX(CatTipo,MATCH($C735,CatNome,0)),"")&lt;&gt;$B735,"Categoria x Tipo?","OK")))</f>
        <v>0</v>
      </c>
    </row>
    <row r="736" spans="1:11">
      <c r="A736" s="18"/>
      <c r="B736" s="19"/>
      <c r="C736" s="15"/>
      <c r="D736" s="15"/>
      <c r="E736" s="15"/>
      <c r="F736" s="17"/>
      <c r="G736" s="19"/>
      <c r="H736" s="20">
        <f>IF($A736="","",YEAR($A736))</f>
        <v>0</v>
      </c>
      <c r="I736" s="20">
        <f>IF($A736="","",MONTH($A736))</f>
        <v>0</v>
      </c>
      <c r="J736" s="21">
        <f>IF(OR($A736="",$F736=""),"",IF($B736="Entrada",$F736,-$F736))</f>
        <v>0</v>
      </c>
      <c r="K736" s="20">
        <f>IF($A736="","",IF(OR($B736="",$C736="",$F736="",$G736=""),"Preencher tudo",IF(IFERROR(INDEX(CatTipo,MATCH($C736,CatNome,0)),"")&lt;&gt;$B736,"Categoria x Tipo?","OK")))</f>
        <v>0</v>
      </c>
    </row>
    <row r="737" spans="1:11">
      <c r="A737" s="18"/>
      <c r="B737" s="19"/>
      <c r="C737" s="15"/>
      <c r="D737" s="15"/>
      <c r="E737" s="15"/>
      <c r="F737" s="17"/>
      <c r="G737" s="19"/>
      <c r="H737" s="20">
        <f>IF($A737="","",YEAR($A737))</f>
        <v>0</v>
      </c>
      <c r="I737" s="20">
        <f>IF($A737="","",MONTH($A737))</f>
        <v>0</v>
      </c>
      <c r="J737" s="21">
        <f>IF(OR($A737="",$F737=""),"",IF($B737="Entrada",$F737,-$F737))</f>
        <v>0</v>
      </c>
      <c r="K737" s="20">
        <f>IF($A737="","",IF(OR($B737="",$C737="",$F737="",$G737=""),"Preencher tudo",IF(IFERROR(INDEX(CatTipo,MATCH($C737,CatNome,0)),"")&lt;&gt;$B737,"Categoria x Tipo?","OK")))</f>
        <v>0</v>
      </c>
    </row>
    <row r="738" spans="1:11">
      <c r="A738" s="18"/>
      <c r="B738" s="19"/>
      <c r="C738" s="15"/>
      <c r="D738" s="15"/>
      <c r="E738" s="15"/>
      <c r="F738" s="17"/>
      <c r="G738" s="19"/>
      <c r="H738" s="20">
        <f>IF($A738="","",YEAR($A738))</f>
        <v>0</v>
      </c>
      <c r="I738" s="20">
        <f>IF($A738="","",MONTH($A738))</f>
        <v>0</v>
      </c>
      <c r="J738" s="21">
        <f>IF(OR($A738="",$F738=""),"",IF($B738="Entrada",$F738,-$F738))</f>
        <v>0</v>
      </c>
      <c r="K738" s="20">
        <f>IF($A738="","",IF(OR($B738="",$C738="",$F738="",$G738=""),"Preencher tudo",IF(IFERROR(INDEX(CatTipo,MATCH($C738,CatNome,0)),"")&lt;&gt;$B738,"Categoria x Tipo?","OK")))</f>
        <v>0</v>
      </c>
    </row>
    <row r="739" spans="1:11">
      <c r="A739" s="18"/>
      <c r="B739" s="19"/>
      <c r="C739" s="15"/>
      <c r="D739" s="15"/>
      <c r="E739" s="15"/>
      <c r="F739" s="17"/>
      <c r="G739" s="19"/>
      <c r="H739" s="20">
        <f>IF($A739="","",YEAR($A739))</f>
        <v>0</v>
      </c>
      <c r="I739" s="20">
        <f>IF($A739="","",MONTH($A739))</f>
        <v>0</v>
      </c>
      <c r="J739" s="21">
        <f>IF(OR($A739="",$F739=""),"",IF($B739="Entrada",$F739,-$F739))</f>
        <v>0</v>
      </c>
      <c r="K739" s="20">
        <f>IF($A739="","",IF(OR($B739="",$C739="",$F739="",$G739=""),"Preencher tudo",IF(IFERROR(INDEX(CatTipo,MATCH($C739,CatNome,0)),"")&lt;&gt;$B739,"Categoria x Tipo?","OK")))</f>
        <v>0</v>
      </c>
    </row>
    <row r="740" spans="1:11">
      <c r="A740" s="18"/>
      <c r="B740" s="19"/>
      <c r="C740" s="15"/>
      <c r="D740" s="15"/>
      <c r="E740" s="15"/>
      <c r="F740" s="17"/>
      <c r="G740" s="19"/>
      <c r="H740" s="20">
        <f>IF($A740="","",YEAR($A740))</f>
        <v>0</v>
      </c>
      <c r="I740" s="20">
        <f>IF($A740="","",MONTH($A740))</f>
        <v>0</v>
      </c>
      <c r="J740" s="21">
        <f>IF(OR($A740="",$F740=""),"",IF($B740="Entrada",$F740,-$F740))</f>
        <v>0</v>
      </c>
      <c r="K740" s="20">
        <f>IF($A740="","",IF(OR($B740="",$C740="",$F740="",$G740=""),"Preencher tudo",IF(IFERROR(INDEX(CatTipo,MATCH($C740,CatNome,0)),"")&lt;&gt;$B740,"Categoria x Tipo?","OK")))</f>
        <v>0</v>
      </c>
    </row>
    <row r="741" spans="1:11">
      <c r="A741" s="18"/>
      <c r="B741" s="19"/>
      <c r="C741" s="15"/>
      <c r="D741" s="15"/>
      <c r="E741" s="15"/>
      <c r="F741" s="17"/>
      <c r="G741" s="19"/>
      <c r="H741" s="20">
        <f>IF($A741="","",YEAR($A741))</f>
        <v>0</v>
      </c>
      <c r="I741" s="20">
        <f>IF($A741="","",MONTH($A741))</f>
        <v>0</v>
      </c>
      <c r="J741" s="21">
        <f>IF(OR($A741="",$F741=""),"",IF($B741="Entrada",$F741,-$F741))</f>
        <v>0</v>
      </c>
      <c r="K741" s="20">
        <f>IF($A741="","",IF(OR($B741="",$C741="",$F741="",$G741=""),"Preencher tudo",IF(IFERROR(INDEX(CatTipo,MATCH($C741,CatNome,0)),"")&lt;&gt;$B741,"Categoria x Tipo?","OK")))</f>
        <v>0</v>
      </c>
    </row>
    <row r="742" spans="1:11">
      <c r="A742" s="18"/>
      <c r="B742" s="19"/>
      <c r="C742" s="15"/>
      <c r="D742" s="15"/>
      <c r="E742" s="15"/>
      <c r="F742" s="17"/>
      <c r="G742" s="19"/>
      <c r="H742" s="20">
        <f>IF($A742="","",YEAR($A742))</f>
        <v>0</v>
      </c>
      <c r="I742" s="20">
        <f>IF($A742="","",MONTH($A742))</f>
        <v>0</v>
      </c>
      <c r="J742" s="21">
        <f>IF(OR($A742="",$F742=""),"",IF($B742="Entrada",$F742,-$F742))</f>
        <v>0</v>
      </c>
      <c r="K742" s="20">
        <f>IF($A742="","",IF(OR($B742="",$C742="",$F742="",$G742=""),"Preencher tudo",IF(IFERROR(INDEX(CatTipo,MATCH($C742,CatNome,0)),"")&lt;&gt;$B742,"Categoria x Tipo?","OK")))</f>
        <v>0</v>
      </c>
    </row>
    <row r="743" spans="1:11">
      <c r="A743" s="18"/>
      <c r="B743" s="19"/>
      <c r="C743" s="15"/>
      <c r="D743" s="15"/>
      <c r="E743" s="15"/>
      <c r="F743" s="17"/>
      <c r="G743" s="19"/>
      <c r="H743" s="20">
        <f>IF($A743="","",YEAR($A743))</f>
        <v>0</v>
      </c>
      <c r="I743" s="20">
        <f>IF($A743="","",MONTH($A743))</f>
        <v>0</v>
      </c>
      <c r="J743" s="21">
        <f>IF(OR($A743="",$F743=""),"",IF($B743="Entrada",$F743,-$F743))</f>
        <v>0</v>
      </c>
      <c r="K743" s="20">
        <f>IF($A743="","",IF(OR($B743="",$C743="",$F743="",$G743=""),"Preencher tudo",IF(IFERROR(INDEX(CatTipo,MATCH($C743,CatNome,0)),"")&lt;&gt;$B743,"Categoria x Tipo?","OK")))</f>
        <v>0</v>
      </c>
    </row>
    <row r="744" spans="1:11">
      <c r="A744" s="18"/>
      <c r="B744" s="19"/>
      <c r="C744" s="15"/>
      <c r="D744" s="15"/>
      <c r="E744" s="15"/>
      <c r="F744" s="17"/>
      <c r="G744" s="19"/>
      <c r="H744" s="20">
        <f>IF($A744="","",YEAR($A744))</f>
        <v>0</v>
      </c>
      <c r="I744" s="20">
        <f>IF($A744="","",MONTH($A744))</f>
        <v>0</v>
      </c>
      <c r="J744" s="21">
        <f>IF(OR($A744="",$F744=""),"",IF($B744="Entrada",$F744,-$F744))</f>
        <v>0</v>
      </c>
      <c r="K744" s="20">
        <f>IF($A744="","",IF(OR($B744="",$C744="",$F744="",$G744=""),"Preencher tudo",IF(IFERROR(INDEX(CatTipo,MATCH($C744,CatNome,0)),"")&lt;&gt;$B744,"Categoria x Tipo?","OK")))</f>
        <v>0</v>
      </c>
    </row>
    <row r="745" spans="1:11">
      <c r="A745" s="18"/>
      <c r="B745" s="19"/>
      <c r="C745" s="15"/>
      <c r="D745" s="15"/>
      <c r="E745" s="15"/>
      <c r="F745" s="17"/>
      <c r="G745" s="19"/>
      <c r="H745" s="20">
        <f>IF($A745="","",YEAR($A745))</f>
        <v>0</v>
      </c>
      <c r="I745" s="20">
        <f>IF($A745="","",MONTH($A745))</f>
        <v>0</v>
      </c>
      <c r="J745" s="21">
        <f>IF(OR($A745="",$F745=""),"",IF($B745="Entrada",$F745,-$F745))</f>
        <v>0</v>
      </c>
      <c r="K745" s="20">
        <f>IF($A745="","",IF(OR($B745="",$C745="",$F745="",$G745=""),"Preencher tudo",IF(IFERROR(INDEX(CatTipo,MATCH($C745,CatNome,0)),"")&lt;&gt;$B745,"Categoria x Tipo?","OK")))</f>
        <v>0</v>
      </c>
    </row>
    <row r="746" spans="1:11">
      <c r="A746" s="18"/>
      <c r="B746" s="19"/>
      <c r="C746" s="15"/>
      <c r="D746" s="15"/>
      <c r="E746" s="15"/>
      <c r="F746" s="17"/>
      <c r="G746" s="19"/>
      <c r="H746" s="20">
        <f>IF($A746="","",YEAR($A746))</f>
        <v>0</v>
      </c>
      <c r="I746" s="20">
        <f>IF($A746="","",MONTH($A746))</f>
        <v>0</v>
      </c>
      <c r="J746" s="21">
        <f>IF(OR($A746="",$F746=""),"",IF($B746="Entrada",$F746,-$F746))</f>
        <v>0</v>
      </c>
      <c r="K746" s="20">
        <f>IF($A746="","",IF(OR($B746="",$C746="",$F746="",$G746=""),"Preencher tudo",IF(IFERROR(INDEX(CatTipo,MATCH($C746,CatNome,0)),"")&lt;&gt;$B746,"Categoria x Tipo?","OK")))</f>
        <v>0</v>
      </c>
    </row>
    <row r="747" spans="1:11">
      <c r="A747" s="18"/>
      <c r="B747" s="19"/>
      <c r="C747" s="15"/>
      <c r="D747" s="15"/>
      <c r="E747" s="15"/>
      <c r="F747" s="17"/>
      <c r="G747" s="19"/>
      <c r="H747" s="20">
        <f>IF($A747="","",YEAR($A747))</f>
        <v>0</v>
      </c>
      <c r="I747" s="20">
        <f>IF($A747="","",MONTH($A747))</f>
        <v>0</v>
      </c>
      <c r="J747" s="21">
        <f>IF(OR($A747="",$F747=""),"",IF($B747="Entrada",$F747,-$F747))</f>
        <v>0</v>
      </c>
      <c r="K747" s="20">
        <f>IF($A747="","",IF(OR($B747="",$C747="",$F747="",$G747=""),"Preencher tudo",IF(IFERROR(INDEX(CatTipo,MATCH($C747,CatNome,0)),"")&lt;&gt;$B747,"Categoria x Tipo?","OK")))</f>
        <v>0</v>
      </c>
    </row>
    <row r="748" spans="1:11">
      <c r="A748" s="18"/>
      <c r="B748" s="19"/>
      <c r="C748" s="15"/>
      <c r="D748" s="15"/>
      <c r="E748" s="15"/>
      <c r="F748" s="17"/>
      <c r="G748" s="19"/>
      <c r="H748" s="20">
        <f>IF($A748="","",YEAR($A748))</f>
        <v>0</v>
      </c>
      <c r="I748" s="20">
        <f>IF($A748="","",MONTH($A748))</f>
        <v>0</v>
      </c>
      <c r="J748" s="21">
        <f>IF(OR($A748="",$F748=""),"",IF($B748="Entrada",$F748,-$F748))</f>
        <v>0</v>
      </c>
      <c r="K748" s="20">
        <f>IF($A748="","",IF(OR($B748="",$C748="",$F748="",$G748=""),"Preencher tudo",IF(IFERROR(INDEX(CatTipo,MATCH($C748,CatNome,0)),"")&lt;&gt;$B748,"Categoria x Tipo?","OK")))</f>
        <v>0</v>
      </c>
    </row>
    <row r="749" spans="1:11">
      <c r="A749" s="18"/>
      <c r="B749" s="19"/>
      <c r="C749" s="15"/>
      <c r="D749" s="15"/>
      <c r="E749" s="15"/>
      <c r="F749" s="17"/>
      <c r="G749" s="19"/>
      <c r="H749" s="20">
        <f>IF($A749="","",YEAR($A749))</f>
        <v>0</v>
      </c>
      <c r="I749" s="20">
        <f>IF($A749="","",MONTH($A749))</f>
        <v>0</v>
      </c>
      <c r="J749" s="21">
        <f>IF(OR($A749="",$F749=""),"",IF($B749="Entrada",$F749,-$F749))</f>
        <v>0</v>
      </c>
      <c r="K749" s="20">
        <f>IF($A749="","",IF(OR($B749="",$C749="",$F749="",$G749=""),"Preencher tudo",IF(IFERROR(INDEX(CatTipo,MATCH($C749,CatNome,0)),"")&lt;&gt;$B749,"Categoria x Tipo?","OK")))</f>
        <v>0</v>
      </c>
    </row>
    <row r="750" spans="1:11">
      <c r="A750" s="18"/>
      <c r="B750" s="19"/>
      <c r="C750" s="15"/>
      <c r="D750" s="15"/>
      <c r="E750" s="15"/>
      <c r="F750" s="17"/>
      <c r="G750" s="19"/>
      <c r="H750" s="20">
        <f>IF($A750="","",YEAR($A750))</f>
        <v>0</v>
      </c>
      <c r="I750" s="20">
        <f>IF($A750="","",MONTH($A750))</f>
        <v>0</v>
      </c>
      <c r="J750" s="21">
        <f>IF(OR($A750="",$F750=""),"",IF($B750="Entrada",$F750,-$F750))</f>
        <v>0</v>
      </c>
      <c r="K750" s="20">
        <f>IF($A750="","",IF(OR($B750="",$C750="",$F750="",$G750=""),"Preencher tudo",IF(IFERROR(INDEX(CatTipo,MATCH($C750,CatNome,0)),"")&lt;&gt;$B750,"Categoria x Tipo?","OK")))</f>
        <v>0</v>
      </c>
    </row>
    <row r="751" spans="1:11">
      <c r="A751" s="18"/>
      <c r="B751" s="19"/>
      <c r="C751" s="15"/>
      <c r="D751" s="15"/>
      <c r="E751" s="15"/>
      <c r="F751" s="17"/>
      <c r="G751" s="19"/>
      <c r="H751" s="20">
        <f>IF($A751="","",YEAR($A751))</f>
        <v>0</v>
      </c>
      <c r="I751" s="20">
        <f>IF($A751="","",MONTH($A751))</f>
        <v>0</v>
      </c>
      <c r="J751" s="21">
        <f>IF(OR($A751="",$F751=""),"",IF($B751="Entrada",$F751,-$F751))</f>
        <v>0</v>
      </c>
      <c r="K751" s="20">
        <f>IF($A751="","",IF(OR($B751="",$C751="",$F751="",$G751=""),"Preencher tudo",IF(IFERROR(INDEX(CatTipo,MATCH($C751,CatNome,0)),"")&lt;&gt;$B751,"Categoria x Tipo?","OK")))</f>
        <v>0</v>
      </c>
    </row>
    <row r="752" spans="1:11">
      <c r="A752" s="18"/>
      <c r="B752" s="19"/>
      <c r="C752" s="15"/>
      <c r="D752" s="15"/>
      <c r="E752" s="15"/>
      <c r="F752" s="17"/>
      <c r="G752" s="19"/>
      <c r="H752" s="20">
        <f>IF($A752="","",YEAR($A752))</f>
        <v>0</v>
      </c>
      <c r="I752" s="20">
        <f>IF($A752="","",MONTH($A752))</f>
        <v>0</v>
      </c>
      <c r="J752" s="21">
        <f>IF(OR($A752="",$F752=""),"",IF($B752="Entrada",$F752,-$F752))</f>
        <v>0</v>
      </c>
      <c r="K752" s="20">
        <f>IF($A752="","",IF(OR($B752="",$C752="",$F752="",$G752=""),"Preencher tudo",IF(IFERROR(INDEX(CatTipo,MATCH($C752,CatNome,0)),"")&lt;&gt;$B752,"Categoria x Tipo?","OK")))</f>
        <v>0</v>
      </c>
    </row>
    <row r="753" spans="1:11">
      <c r="A753" s="18"/>
      <c r="B753" s="19"/>
      <c r="C753" s="15"/>
      <c r="D753" s="15"/>
      <c r="E753" s="15"/>
      <c r="F753" s="17"/>
      <c r="G753" s="19"/>
      <c r="H753" s="20">
        <f>IF($A753="","",YEAR($A753))</f>
        <v>0</v>
      </c>
      <c r="I753" s="20">
        <f>IF($A753="","",MONTH($A753))</f>
        <v>0</v>
      </c>
      <c r="J753" s="21">
        <f>IF(OR($A753="",$F753=""),"",IF($B753="Entrada",$F753,-$F753))</f>
        <v>0</v>
      </c>
      <c r="K753" s="20">
        <f>IF($A753="","",IF(OR($B753="",$C753="",$F753="",$G753=""),"Preencher tudo",IF(IFERROR(INDEX(CatTipo,MATCH($C753,CatNome,0)),"")&lt;&gt;$B753,"Categoria x Tipo?","OK")))</f>
        <v>0</v>
      </c>
    </row>
    <row r="754" spans="1:11">
      <c r="A754" s="18"/>
      <c r="B754" s="19"/>
      <c r="C754" s="15"/>
      <c r="D754" s="15"/>
      <c r="E754" s="15"/>
      <c r="F754" s="17"/>
      <c r="G754" s="19"/>
      <c r="H754" s="20">
        <f>IF($A754="","",YEAR($A754))</f>
        <v>0</v>
      </c>
      <c r="I754" s="20">
        <f>IF($A754="","",MONTH($A754))</f>
        <v>0</v>
      </c>
      <c r="J754" s="21">
        <f>IF(OR($A754="",$F754=""),"",IF($B754="Entrada",$F754,-$F754))</f>
        <v>0</v>
      </c>
      <c r="K754" s="20">
        <f>IF($A754="","",IF(OR($B754="",$C754="",$F754="",$G754=""),"Preencher tudo",IF(IFERROR(INDEX(CatTipo,MATCH($C754,CatNome,0)),"")&lt;&gt;$B754,"Categoria x Tipo?","OK")))</f>
        <v>0</v>
      </c>
    </row>
    <row r="755" spans="1:11">
      <c r="A755" s="18"/>
      <c r="B755" s="19"/>
      <c r="C755" s="15"/>
      <c r="D755" s="15"/>
      <c r="E755" s="15"/>
      <c r="F755" s="17"/>
      <c r="G755" s="19"/>
      <c r="H755" s="20">
        <f>IF($A755="","",YEAR($A755))</f>
        <v>0</v>
      </c>
      <c r="I755" s="20">
        <f>IF($A755="","",MONTH($A755))</f>
        <v>0</v>
      </c>
      <c r="J755" s="21">
        <f>IF(OR($A755="",$F755=""),"",IF($B755="Entrada",$F755,-$F755))</f>
        <v>0</v>
      </c>
      <c r="K755" s="20">
        <f>IF($A755="","",IF(OR($B755="",$C755="",$F755="",$G755=""),"Preencher tudo",IF(IFERROR(INDEX(CatTipo,MATCH($C755,CatNome,0)),"")&lt;&gt;$B755,"Categoria x Tipo?","OK")))</f>
        <v>0</v>
      </c>
    </row>
    <row r="756" spans="1:11">
      <c r="A756" s="18"/>
      <c r="B756" s="19"/>
      <c r="C756" s="15"/>
      <c r="D756" s="15"/>
      <c r="E756" s="15"/>
      <c r="F756" s="17"/>
      <c r="G756" s="19"/>
      <c r="H756" s="20">
        <f>IF($A756="","",YEAR($A756))</f>
        <v>0</v>
      </c>
      <c r="I756" s="20">
        <f>IF($A756="","",MONTH($A756))</f>
        <v>0</v>
      </c>
      <c r="J756" s="21">
        <f>IF(OR($A756="",$F756=""),"",IF($B756="Entrada",$F756,-$F756))</f>
        <v>0</v>
      </c>
      <c r="K756" s="20">
        <f>IF($A756="","",IF(OR($B756="",$C756="",$F756="",$G756=""),"Preencher tudo",IF(IFERROR(INDEX(CatTipo,MATCH($C756,CatNome,0)),"")&lt;&gt;$B756,"Categoria x Tipo?","OK")))</f>
        <v>0</v>
      </c>
    </row>
    <row r="757" spans="1:11">
      <c r="A757" s="18"/>
      <c r="B757" s="19"/>
      <c r="C757" s="15"/>
      <c r="D757" s="15"/>
      <c r="E757" s="15"/>
      <c r="F757" s="17"/>
      <c r="G757" s="19"/>
      <c r="H757" s="20">
        <f>IF($A757="","",YEAR($A757))</f>
        <v>0</v>
      </c>
      <c r="I757" s="20">
        <f>IF($A757="","",MONTH($A757))</f>
        <v>0</v>
      </c>
      <c r="J757" s="21">
        <f>IF(OR($A757="",$F757=""),"",IF($B757="Entrada",$F757,-$F757))</f>
        <v>0</v>
      </c>
      <c r="K757" s="20">
        <f>IF($A757="","",IF(OR($B757="",$C757="",$F757="",$G757=""),"Preencher tudo",IF(IFERROR(INDEX(CatTipo,MATCH($C757,CatNome,0)),"")&lt;&gt;$B757,"Categoria x Tipo?","OK")))</f>
        <v>0</v>
      </c>
    </row>
    <row r="758" spans="1:11">
      <c r="A758" s="18"/>
      <c r="B758" s="19"/>
      <c r="C758" s="15"/>
      <c r="D758" s="15"/>
      <c r="E758" s="15"/>
      <c r="F758" s="17"/>
      <c r="G758" s="19"/>
      <c r="H758" s="20">
        <f>IF($A758="","",YEAR($A758))</f>
        <v>0</v>
      </c>
      <c r="I758" s="20">
        <f>IF($A758="","",MONTH($A758))</f>
        <v>0</v>
      </c>
      <c r="J758" s="21">
        <f>IF(OR($A758="",$F758=""),"",IF($B758="Entrada",$F758,-$F758))</f>
        <v>0</v>
      </c>
      <c r="K758" s="20">
        <f>IF($A758="","",IF(OR($B758="",$C758="",$F758="",$G758=""),"Preencher tudo",IF(IFERROR(INDEX(CatTipo,MATCH($C758,CatNome,0)),"")&lt;&gt;$B758,"Categoria x Tipo?","OK")))</f>
        <v>0</v>
      </c>
    </row>
    <row r="759" spans="1:11">
      <c r="A759" s="18"/>
      <c r="B759" s="19"/>
      <c r="C759" s="15"/>
      <c r="D759" s="15"/>
      <c r="E759" s="15"/>
      <c r="F759" s="17"/>
      <c r="G759" s="19"/>
      <c r="H759" s="20">
        <f>IF($A759="","",YEAR($A759))</f>
        <v>0</v>
      </c>
      <c r="I759" s="20">
        <f>IF($A759="","",MONTH($A759))</f>
        <v>0</v>
      </c>
      <c r="J759" s="21">
        <f>IF(OR($A759="",$F759=""),"",IF($B759="Entrada",$F759,-$F759))</f>
        <v>0</v>
      </c>
      <c r="K759" s="20">
        <f>IF($A759="","",IF(OR($B759="",$C759="",$F759="",$G759=""),"Preencher tudo",IF(IFERROR(INDEX(CatTipo,MATCH($C759,CatNome,0)),"")&lt;&gt;$B759,"Categoria x Tipo?","OK")))</f>
        <v>0</v>
      </c>
    </row>
    <row r="760" spans="1:11">
      <c r="A760" s="18"/>
      <c r="B760" s="19"/>
      <c r="C760" s="15"/>
      <c r="D760" s="15"/>
      <c r="E760" s="15"/>
      <c r="F760" s="17"/>
      <c r="G760" s="19"/>
      <c r="H760" s="20">
        <f>IF($A760="","",YEAR($A760))</f>
        <v>0</v>
      </c>
      <c r="I760" s="20">
        <f>IF($A760="","",MONTH($A760))</f>
        <v>0</v>
      </c>
      <c r="J760" s="21">
        <f>IF(OR($A760="",$F760=""),"",IF($B760="Entrada",$F760,-$F760))</f>
        <v>0</v>
      </c>
      <c r="K760" s="20">
        <f>IF($A760="","",IF(OR($B760="",$C760="",$F760="",$G760=""),"Preencher tudo",IF(IFERROR(INDEX(CatTipo,MATCH($C760,CatNome,0)),"")&lt;&gt;$B760,"Categoria x Tipo?","OK")))</f>
        <v>0</v>
      </c>
    </row>
    <row r="761" spans="1:11">
      <c r="A761" s="18"/>
      <c r="B761" s="19"/>
      <c r="C761" s="15"/>
      <c r="D761" s="15"/>
      <c r="E761" s="15"/>
      <c r="F761" s="17"/>
      <c r="G761" s="19"/>
      <c r="H761" s="20">
        <f>IF($A761="","",YEAR($A761))</f>
        <v>0</v>
      </c>
      <c r="I761" s="20">
        <f>IF($A761="","",MONTH($A761))</f>
        <v>0</v>
      </c>
      <c r="J761" s="21">
        <f>IF(OR($A761="",$F761=""),"",IF($B761="Entrada",$F761,-$F761))</f>
        <v>0</v>
      </c>
      <c r="K761" s="20">
        <f>IF($A761="","",IF(OR($B761="",$C761="",$F761="",$G761=""),"Preencher tudo",IF(IFERROR(INDEX(CatTipo,MATCH($C761,CatNome,0)),"")&lt;&gt;$B761,"Categoria x Tipo?","OK")))</f>
        <v>0</v>
      </c>
    </row>
    <row r="762" spans="1:11">
      <c r="A762" s="18"/>
      <c r="B762" s="19"/>
      <c r="C762" s="15"/>
      <c r="D762" s="15"/>
      <c r="E762" s="15"/>
      <c r="F762" s="17"/>
      <c r="G762" s="19"/>
      <c r="H762" s="20">
        <f>IF($A762="","",YEAR($A762))</f>
        <v>0</v>
      </c>
      <c r="I762" s="20">
        <f>IF($A762="","",MONTH($A762))</f>
        <v>0</v>
      </c>
      <c r="J762" s="21">
        <f>IF(OR($A762="",$F762=""),"",IF($B762="Entrada",$F762,-$F762))</f>
        <v>0</v>
      </c>
      <c r="K762" s="20">
        <f>IF($A762="","",IF(OR($B762="",$C762="",$F762="",$G762=""),"Preencher tudo",IF(IFERROR(INDEX(CatTipo,MATCH($C762,CatNome,0)),"")&lt;&gt;$B762,"Categoria x Tipo?","OK")))</f>
        <v>0</v>
      </c>
    </row>
    <row r="763" spans="1:11">
      <c r="A763" s="18"/>
      <c r="B763" s="19"/>
      <c r="C763" s="15"/>
      <c r="D763" s="15"/>
      <c r="E763" s="15"/>
      <c r="F763" s="17"/>
      <c r="G763" s="19"/>
      <c r="H763" s="20">
        <f>IF($A763="","",YEAR($A763))</f>
        <v>0</v>
      </c>
      <c r="I763" s="20">
        <f>IF($A763="","",MONTH($A763))</f>
        <v>0</v>
      </c>
      <c r="J763" s="21">
        <f>IF(OR($A763="",$F763=""),"",IF($B763="Entrada",$F763,-$F763))</f>
        <v>0</v>
      </c>
      <c r="K763" s="20">
        <f>IF($A763="","",IF(OR($B763="",$C763="",$F763="",$G763=""),"Preencher tudo",IF(IFERROR(INDEX(CatTipo,MATCH($C763,CatNome,0)),"")&lt;&gt;$B763,"Categoria x Tipo?","OK")))</f>
        <v>0</v>
      </c>
    </row>
    <row r="764" spans="1:11">
      <c r="A764" s="18"/>
      <c r="B764" s="19"/>
      <c r="C764" s="15"/>
      <c r="D764" s="15"/>
      <c r="E764" s="15"/>
      <c r="F764" s="17"/>
      <c r="G764" s="19"/>
      <c r="H764" s="20">
        <f>IF($A764="","",YEAR($A764))</f>
        <v>0</v>
      </c>
      <c r="I764" s="20">
        <f>IF($A764="","",MONTH($A764))</f>
        <v>0</v>
      </c>
      <c r="J764" s="21">
        <f>IF(OR($A764="",$F764=""),"",IF($B764="Entrada",$F764,-$F764))</f>
        <v>0</v>
      </c>
      <c r="K764" s="20">
        <f>IF($A764="","",IF(OR($B764="",$C764="",$F764="",$G764=""),"Preencher tudo",IF(IFERROR(INDEX(CatTipo,MATCH($C764,CatNome,0)),"")&lt;&gt;$B764,"Categoria x Tipo?","OK")))</f>
        <v>0</v>
      </c>
    </row>
    <row r="765" spans="1:11">
      <c r="A765" s="18"/>
      <c r="B765" s="19"/>
      <c r="C765" s="15"/>
      <c r="D765" s="15"/>
      <c r="E765" s="15"/>
      <c r="F765" s="17"/>
      <c r="G765" s="19"/>
      <c r="H765" s="20">
        <f>IF($A765="","",YEAR($A765))</f>
        <v>0</v>
      </c>
      <c r="I765" s="20">
        <f>IF($A765="","",MONTH($A765))</f>
        <v>0</v>
      </c>
      <c r="J765" s="21">
        <f>IF(OR($A765="",$F765=""),"",IF($B765="Entrada",$F765,-$F765))</f>
        <v>0</v>
      </c>
      <c r="K765" s="20">
        <f>IF($A765="","",IF(OR($B765="",$C765="",$F765="",$G765=""),"Preencher tudo",IF(IFERROR(INDEX(CatTipo,MATCH($C765,CatNome,0)),"")&lt;&gt;$B765,"Categoria x Tipo?","OK")))</f>
        <v>0</v>
      </c>
    </row>
    <row r="766" spans="1:11">
      <c r="A766" s="18"/>
      <c r="B766" s="19"/>
      <c r="C766" s="15"/>
      <c r="D766" s="15"/>
      <c r="E766" s="15"/>
      <c r="F766" s="17"/>
      <c r="G766" s="19"/>
      <c r="H766" s="20">
        <f>IF($A766="","",YEAR($A766))</f>
        <v>0</v>
      </c>
      <c r="I766" s="20">
        <f>IF($A766="","",MONTH($A766))</f>
        <v>0</v>
      </c>
      <c r="J766" s="21">
        <f>IF(OR($A766="",$F766=""),"",IF($B766="Entrada",$F766,-$F766))</f>
        <v>0</v>
      </c>
      <c r="K766" s="20">
        <f>IF($A766="","",IF(OR($B766="",$C766="",$F766="",$G766=""),"Preencher tudo",IF(IFERROR(INDEX(CatTipo,MATCH($C766,CatNome,0)),"")&lt;&gt;$B766,"Categoria x Tipo?","OK")))</f>
        <v>0</v>
      </c>
    </row>
    <row r="767" spans="1:11">
      <c r="A767" s="18"/>
      <c r="B767" s="19"/>
      <c r="C767" s="15"/>
      <c r="D767" s="15"/>
      <c r="E767" s="15"/>
      <c r="F767" s="17"/>
      <c r="G767" s="19"/>
      <c r="H767" s="20">
        <f>IF($A767="","",YEAR($A767))</f>
        <v>0</v>
      </c>
      <c r="I767" s="20">
        <f>IF($A767="","",MONTH($A767))</f>
        <v>0</v>
      </c>
      <c r="J767" s="21">
        <f>IF(OR($A767="",$F767=""),"",IF($B767="Entrada",$F767,-$F767))</f>
        <v>0</v>
      </c>
      <c r="K767" s="20">
        <f>IF($A767="","",IF(OR($B767="",$C767="",$F767="",$G767=""),"Preencher tudo",IF(IFERROR(INDEX(CatTipo,MATCH($C767,CatNome,0)),"")&lt;&gt;$B767,"Categoria x Tipo?","OK")))</f>
        <v>0</v>
      </c>
    </row>
    <row r="768" spans="1:11">
      <c r="A768" s="18"/>
      <c r="B768" s="19"/>
      <c r="C768" s="15"/>
      <c r="D768" s="15"/>
      <c r="E768" s="15"/>
      <c r="F768" s="17"/>
      <c r="G768" s="19"/>
      <c r="H768" s="20">
        <f>IF($A768="","",YEAR($A768))</f>
        <v>0</v>
      </c>
      <c r="I768" s="20">
        <f>IF($A768="","",MONTH($A768))</f>
        <v>0</v>
      </c>
      <c r="J768" s="21">
        <f>IF(OR($A768="",$F768=""),"",IF($B768="Entrada",$F768,-$F768))</f>
        <v>0</v>
      </c>
      <c r="K768" s="20">
        <f>IF($A768="","",IF(OR($B768="",$C768="",$F768="",$G768=""),"Preencher tudo",IF(IFERROR(INDEX(CatTipo,MATCH($C768,CatNome,0)),"")&lt;&gt;$B768,"Categoria x Tipo?","OK")))</f>
        <v>0</v>
      </c>
    </row>
    <row r="769" spans="1:11">
      <c r="A769" s="18"/>
      <c r="B769" s="19"/>
      <c r="C769" s="15"/>
      <c r="D769" s="15"/>
      <c r="E769" s="15"/>
      <c r="F769" s="17"/>
      <c r="G769" s="19"/>
      <c r="H769" s="20">
        <f>IF($A769="","",YEAR($A769))</f>
        <v>0</v>
      </c>
      <c r="I769" s="20">
        <f>IF($A769="","",MONTH($A769))</f>
        <v>0</v>
      </c>
      <c r="J769" s="21">
        <f>IF(OR($A769="",$F769=""),"",IF($B769="Entrada",$F769,-$F769))</f>
        <v>0</v>
      </c>
      <c r="K769" s="20">
        <f>IF($A769="","",IF(OR($B769="",$C769="",$F769="",$G769=""),"Preencher tudo",IF(IFERROR(INDEX(CatTipo,MATCH($C769,CatNome,0)),"")&lt;&gt;$B769,"Categoria x Tipo?","OK")))</f>
        <v>0</v>
      </c>
    </row>
    <row r="770" spans="1:11">
      <c r="A770" s="18"/>
      <c r="B770" s="19"/>
      <c r="C770" s="15"/>
      <c r="D770" s="15"/>
      <c r="E770" s="15"/>
      <c r="F770" s="17"/>
      <c r="G770" s="19"/>
      <c r="H770" s="20">
        <f>IF($A770="","",YEAR($A770))</f>
        <v>0</v>
      </c>
      <c r="I770" s="20">
        <f>IF($A770="","",MONTH($A770))</f>
        <v>0</v>
      </c>
      <c r="J770" s="21">
        <f>IF(OR($A770="",$F770=""),"",IF($B770="Entrada",$F770,-$F770))</f>
        <v>0</v>
      </c>
      <c r="K770" s="20">
        <f>IF($A770="","",IF(OR($B770="",$C770="",$F770="",$G770=""),"Preencher tudo",IF(IFERROR(INDEX(CatTipo,MATCH($C770,CatNome,0)),"")&lt;&gt;$B770,"Categoria x Tipo?","OK")))</f>
        <v>0</v>
      </c>
    </row>
    <row r="771" spans="1:11">
      <c r="A771" s="18"/>
      <c r="B771" s="19"/>
      <c r="C771" s="15"/>
      <c r="D771" s="15"/>
      <c r="E771" s="15"/>
      <c r="F771" s="17"/>
      <c r="G771" s="19"/>
      <c r="H771" s="20">
        <f>IF($A771="","",YEAR($A771))</f>
        <v>0</v>
      </c>
      <c r="I771" s="20">
        <f>IF($A771="","",MONTH($A771))</f>
        <v>0</v>
      </c>
      <c r="J771" s="21">
        <f>IF(OR($A771="",$F771=""),"",IF($B771="Entrada",$F771,-$F771))</f>
        <v>0</v>
      </c>
      <c r="K771" s="20">
        <f>IF($A771="","",IF(OR($B771="",$C771="",$F771="",$G771=""),"Preencher tudo",IF(IFERROR(INDEX(CatTipo,MATCH($C771,CatNome,0)),"")&lt;&gt;$B771,"Categoria x Tipo?","OK")))</f>
        <v>0</v>
      </c>
    </row>
    <row r="772" spans="1:11">
      <c r="A772" s="18"/>
      <c r="B772" s="19"/>
      <c r="C772" s="15"/>
      <c r="D772" s="15"/>
      <c r="E772" s="15"/>
      <c r="F772" s="17"/>
      <c r="G772" s="19"/>
      <c r="H772" s="20">
        <f>IF($A772="","",YEAR($A772))</f>
        <v>0</v>
      </c>
      <c r="I772" s="20">
        <f>IF($A772="","",MONTH($A772))</f>
        <v>0</v>
      </c>
      <c r="J772" s="21">
        <f>IF(OR($A772="",$F772=""),"",IF($B772="Entrada",$F772,-$F772))</f>
        <v>0</v>
      </c>
      <c r="K772" s="20">
        <f>IF($A772="","",IF(OR($B772="",$C772="",$F772="",$G772=""),"Preencher tudo",IF(IFERROR(INDEX(CatTipo,MATCH($C772,CatNome,0)),"")&lt;&gt;$B772,"Categoria x Tipo?","OK")))</f>
        <v>0</v>
      </c>
    </row>
    <row r="773" spans="1:11">
      <c r="A773" s="18"/>
      <c r="B773" s="19"/>
      <c r="C773" s="15"/>
      <c r="D773" s="15"/>
      <c r="E773" s="15"/>
      <c r="F773" s="17"/>
      <c r="G773" s="19"/>
      <c r="H773" s="20">
        <f>IF($A773="","",YEAR($A773))</f>
        <v>0</v>
      </c>
      <c r="I773" s="20">
        <f>IF($A773="","",MONTH($A773))</f>
        <v>0</v>
      </c>
      <c r="J773" s="21">
        <f>IF(OR($A773="",$F773=""),"",IF($B773="Entrada",$F773,-$F773))</f>
        <v>0</v>
      </c>
      <c r="K773" s="20">
        <f>IF($A773="","",IF(OR($B773="",$C773="",$F773="",$G773=""),"Preencher tudo",IF(IFERROR(INDEX(CatTipo,MATCH($C773,CatNome,0)),"")&lt;&gt;$B773,"Categoria x Tipo?","OK")))</f>
        <v>0</v>
      </c>
    </row>
    <row r="774" spans="1:11">
      <c r="A774" s="18"/>
      <c r="B774" s="19"/>
      <c r="C774" s="15"/>
      <c r="D774" s="15"/>
      <c r="E774" s="15"/>
      <c r="F774" s="17"/>
      <c r="G774" s="19"/>
      <c r="H774" s="20">
        <f>IF($A774="","",YEAR($A774))</f>
        <v>0</v>
      </c>
      <c r="I774" s="20">
        <f>IF($A774="","",MONTH($A774))</f>
        <v>0</v>
      </c>
      <c r="J774" s="21">
        <f>IF(OR($A774="",$F774=""),"",IF($B774="Entrada",$F774,-$F774))</f>
        <v>0</v>
      </c>
      <c r="K774" s="20">
        <f>IF($A774="","",IF(OR($B774="",$C774="",$F774="",$G774=""),"Preencher tudo",IF(IFERROR(INDEX(CatTipo,MATCH($C774,CatNome,0)),"")&lt;&gt;$B774,"Categoria x Tipo?","OK")))</f>
        <v>0</v>
      </c>
    </row>
    <row r="775" spans="1:11">
      <c r="A775" s="18"/>
      <c r="B775" s="19"/>
      <c r="C775" s="15"/>
      <c r="D775" s="15"/>
      <c r="E775" s="15"/>
      <c r="F775" s="17"/>
      <c r="G775" s="19"/>
      <c r="H775" s="20">
        <f>IF($A775="","",YEAR($A775))</f>
        <v>0</v>
      </c>
      <c r="I775" s="20">
        <f>IF($A775="","",MONTH($A775))</f>
        <v>0</v>
      </c>
      <c r="J775" s="21">
        <f>IF(OR($A775="",$F775=""),"",IF($B775="Entrada",$F775,-$F775))</f>
        <v>0</v>
      </c>
      <c r="K775" s="20">
        <f>IF($A775="","",IF(OR($B775="",$C775="",$F775="",$G775=""),"Preencher tudo",IF(IFERROR(INDEX(CatTipo,MATCH($C775,CatNome,0)),"")&lt;&gt;$B775,"Categoria x Tipo?","OK")))</f>
        <v>0</v>
      </c>
    </row>
    <row r="776" spans="1:11">
      <c r="A776" s="18"/>
      <c r="B776" s="19"/>
      <c r="C776" s="15"/>
      <c r="D776" s="15"/>
      <c r="E776" s="15"/>
      <c r="F776" s="17"/>
      <c r="G776" s="19"/>
      <c r="H776" s="20">
        <f>IF($A776="","",YEAR($A776))</f>
        <v>0</v>
      </c>
      <c r="I776" s="20">
        <f>IF($A776="","",MONTH($A776))</f>
        <v>0</v>
      </c>
      <c r="J776" s="21">
        <f>IF(OR($A776="",$F776=""),"",IF($B776="Entrada",$F776,-$F776))</f>
        <v>0</v>
      </c>
      <c r="K776" s="20">
        <f>IF($A776="","",IF(OR($B776="",$C776="",$F776="",$G776=""),"Preencher tudo",IF(IFERROR(INDEX(CatTipo,MATCH($C776,CatNome,0)),"")&lt;&gt;$B776,"Categoria x Tipo?","OK")))</f>
        <v>0</v>
      </c>
    </row>
    <row r="777" spans="1:11">
      <c r="A777" s="18"/>
      <c r="B777" s="19"/>
      <c r="C777" s="15"/>
      <c r="D777" s="15"/>
      <c r="E777" s="15"/>
      <c r="F777" s="17"/>
      <c r="G777" s="19"/>
      <c r="H777" s="20">
        <f>IF($A777="","",YEAR($A777))</f>
        <v>0</v>
      </c>
      <c r="I777" s="20">
        <f>IF($A777="","",MONTH($A777))</f>
        <v>0</v>
      </c>
      <c r="J777" s="21">
        <f>IF(OR($A777="",$F777=""),"",IF($B777="Entrada",$F777,-$F777))</f>
        <v>0</v>
      </c>
      <c r="K777" s="20">
        <f>IF($A777="","",IF(OR($B777="",$C777="",$F777="",$G777=""),"Preencher tudo",IF(IFERROR(INDEX(CatTipo,MATCH($C777,CatNome,0)),"")&lt;&gt;$B777,"Categoria x Tipo?","OK")))</f>
        <v>0</v>
      </c>
    </row>
    <row r="778" spans="1:11">
      <c r="A778" s="18"/>
      <c r="B778" s="19"/>
      <c r="C778" s="15"/>
      <c r="D778" s="15"/>
      <c r="E778" s="15"/>
      <c r="F778" s="17"/>
      <c r="G778" s="19"/>
      <c r="H778" s="20">
        <f>IF($A778="","",YEAR($A778))</f>
        <v>0</v>
      </c>
      <c r="I778" s="20">
        <f>IF($A778="","",MONTH($A778))</f>
        <v>0</v>
      </c>
      <c r="J778" s="21">
        <f>IF(OR($A778="",$F778=""),"",IF($B778="Entrada",$F778,-$F778))</f>
        <v>0</v>
      </c>
      <c r="K778" s="20">
        <f>IF($A778="","",IF(OR($B778="",$C778="",$F778="",$G778=""),"Preencher tudo",IF(IFERROR(INDEX(CatTipo,MATCH($C778,CatNome,0)),"")&lt;&gt;$B778,"Categoria x Tipo?","OK")))</f>
        <v>0</v>
      </c>
    </row>
    <row r="779" spans="1:11">
      <c r="A779" s="18"/>
      <c r="B779" s="19"/>
      <c r="C779" s="15"/>
      <c r="D779" s="15"/>
      <c r="E779" s="15"/>
      <c r="F779" s="17"/>
      <c r="G779" s="19"/>
      <c r="H779" s="20">
        <f>IF($A779="","",YEAR($A779))</f>
        <v>0</v>
      </c>
      <c r="I779" s="20">
        <f>IF($A779="","",MONTH($A779))</f>
        <v>0</v>
      </c>
      <c r="J779" s="21">
        <f>IF(OR($A779="",$F779=""),"",IF($B779="Entrada",$F779,-$F779))</f>
        <v>0</v>
      </c>
      <c r="K779" s="20">
        <f>IF($A779="","",IF(OR($B779="",$C779="",$F779="",$G779=""),"Preencher tudo",IF(IFERROR(INDEX(CatTipo,MATCH($C779,CatNome,0)),"")&lt;&gt;$B779,"Categoria x Tipo?","OK")))</f>
        <v>0</v>
      </c>
    </row>
    <row r="780" spans="1:11">
      <c r="A780" s="18"/>
      <c r="B780" s="19"/>
      <c r="C780" s="15"/>
      <c r="D780" s="15"/>
      <c r="E780" s="15"/>
      <c r="F780" s="17"/>
      <c r="G780" s="19"/>
      <c r="H780" s="20">
        <f>IF($A780="","",YEAR($A780))</f>
        <v>0</v>
      </c>
      <c r="I780" s="20">
        <f>IF($A780="","",MONTH($A780))</f>
        <v>0</v>
      </c>
      <c r="J780" s="21">
        <f>IF(OR($A780="",$F780=""),"",IF($B780="Entrada",$F780,-$F780))</f>
        <v>0</v>
      </c>
      <c r="K780" s="20">
        <f>IF($A780="","",IF(OR($B780="",$C780="",$F780="",$G780=""),"Preencher tudo",IF(IFERROR(INDEX(CatTipo,MATCH($C780,CatNome,0)),"")&lt;&gt;$B780,"Categoria x Tipo?","OK")))</f>
        <v>0</v>
      </c>
    </row>
    <row r="781" spans="1:11">
      <c r="A781" s="18"/>
      <c r="B781" s="19"/>
      <c r="C781" s="15"/>
      <c r="D781" s="15"/>
      <c r="E781" s="15"/>
      <c r="F781" s="17"/>
      <c r="G781" s="19"/>
      <c r="H781" s="20">
        <f>IF($A781="","",YEAR($A781))</f>
        <v>0</v>
      </c>
      <c r="I781" s="20">
        <f>IF($A781="","",MONTH($A781))</f>
        <v>0</v>
      </c>
      <c r="J781" s="21">
        <f>IF(OR($A781="",$F781=""),"",IF($B781="Entrada",$F781,-$F781))</f>
        <v>0</v>
      </c>
      <c r="K781" s="20">
        <f>IF($A781="","",IF(OR($B781="",$C781="",$F781="",$G781=""),"Preencher tudo",IF(IFERROR(INDEX(CatTipo,MATCH($C781,CatNome,0)),"")&lt;&gt;$B781,"Categoria x Tipo?","OK")))</f>
        <v>0</v>
      </c>
    </row>
    <row r="782" spans="1:11">
      <c r="A782" s="18"/>
      <c r="B782" s="19"/>
      <c r="C782" s="15"/>
      <c r="D782" s="15"/>
      <c r="E782" s="15"/>
      <c r="F782" s="17"/>
      <c r="G782" s="19"/>
      <c r="H782" s="20">
        <f>IF($A782="","",YEAR($A782))</f>
        <v>0</v>
      </c>
      <c r="I782" s="20">
        <f>IF($A782="","",MONTH($A782))</f>
        <v>0</v>
      </c>
      <c r="J782" s="21">
        <f>IF(OR($A782="",$F782=""),"",IF($B782="Entrada",$F782,-$F782))</f>
        <v>0</v>
      </c>
      <c r="K782" s="20">
        <f>IF($A782="","",IF(OR($B782="",$C782="",$F782="",$G782=""),"Preencher tudo",IF(IFERROR(INDEX(CatTipo,MATCH($C782,CatNome,0)),"")&lt;&gt;$B782,"Categoria x Tipo?","OK")))</f>
        <v>0</v>
      </c>
    </row>
    <row r="783" spans="1:11">
      <c r="A783" s="18"/>
      <c r="B783" s="19"/>
      <c r="C783" s="15"/>
      <c r="D783" s="15"/>
      <c r="E783" s="15"/>
      <c r="F783" s="17"/>
      <c r="G783" s="19"/>
      <c r="H783" s="20">
        <f>IF($A783="","",YEAR($A783))</f>
        <v>0</v>
      </c>
      <c r="I783" s="20">
        <f>IF($A783="","",MONTH($A783))</f>
        <v>0</v>
      </c>
      <c r="J783" s="21">
        <f>IF(OR($A783="",$F783=""),"",IF($B783="Entrada",$F783,-$F783))</f>
        <v>0</v>
      </c>
      <c r="K783" s="20">
        <f>IF($A783="","",IF(OR($B783="",$C783="",$F783="",$G783=""),"Preencher tudo",IF(IFERROR(INDEX(CatTipo,MATCH($C783,CatNome,0)),"")&lt;&gt;$B783,"Categoria x Tipo?","OK")))</f>
        <v>0</v>
      </c>
    </row>
    <row r="784" spans="1:11">
      <c r="A784" s="18"/>
      <c r="B784" s="19"/>
      <c r="C784" s="15"/>
      <c r="D784" s="15"/>
      <c r="E784" s="15"/>
      <c r="F784" s="17"/>
      <c r="G784" s="19"/>
      <c r="H784" s="20">
        <f>IF($A784="","",YEAR($A784))</f>
        <v>0</v>
      </c>
      <c r="I784" s="20">
        <f>IF($A784="","",MONTH($A784))</f>
        <v>0</v>
      </c>
      <c r="J784" s="21">
        <f>IF(OR($A784="",$F784=""),"",IF($B784="Entrada",$F784,-$F784))</f>
        <v>0</v>
      </c>
      <c r="K784" s="20">
        <f>IF($A784="","",IF(OR($B784="",$C784="",$F784="",$G784=""),"Preencher tudo",IF(IFERROR(INDEX(CatTipo,MATCH($C784,CatNome,0)),"")&lt;&gt;$B784,"Categoria x Tipo?","OK")))</f>
        <v>0</v>
      </c>
    </row>
    <row r="785" spans="1:11">
      <c r="A785" s="18"/>
      <c r="B785" s="19"/>
      <c r="C785" s="15"/>
      <c r="D785" s="15"/>
      <c r="E785" s="15"/>
      <c r="F785" s="17"/>
      <c r="G785" s="19"/>
      <c r="H785" s="20">
        <f>IF($A785="","",YEAR($A785))</f>
        <v>0</v>
      </c>
      <c r="I785" s="20">
        <f>IF($A785="","",MONTH($A785))</f>
        <v>0</v>
      </c>
      <c r="J785" s="21">
        <f>IF(OR($A785="",$F785=""),"",IF($B785="Entrada",$F785,-$F785))</f>
        <v>0</v>
      </c>
      <c r="K785" s="20">
        <f>IF($A785="","",IF(OR($B785="",$C785="",$F785="",$G785=""),"Preencher tudo",IF(IFERROR(INDEX(CatTipo,MATCH($C785,CatNome,0)),"")&lt;&gt;$B785,"Categoria x Tipo?","OK")))</f>
        <v>0</v>
      </c>
    </row>
    <row r="786" spans="1:11">
      <c r="A786" s="18"/>
      <c r="B786" s="19"/>
      <c r="C786" s="15"/>
      <c r="D786" s="15"/>
      <c r="E786" s="15"/>
      <c r="F786" s="17"/>
      <c r="G786" s="19"/>
      <c r="H786" s="20">
        <f>IF($A786="","",YEAR($A786))</f>
        <v>0</v>
      </c>
      <c r="I786" s="20">
        <f>IF($A786="","",MONTH($A786))</f>
        <v>0</v>
      </c>
      <c r="J786" s="21">
        <f>IF(OR($A786="",$F786=""),"",IF($B786="Entrada",$F786,-$F786))</f>
        <v>0</v>
      </c>
      <c r="K786" s="20">
        <f>IF($A786="","",IF(OR($B786="",$C786="",$F786="",$G786=""),"Preencher tudo",IF(IFERROR(INDEX(CatTipo,MATCH($C786,CatNome,0)),"")&lt;&gt;$B786,"Categoria x Tipo?","OK")))</f>
        <v>0</v>
      </c>
    </row>
    <row r="787" spans="1:11">
      <c r="A787" s="18"/>
      <c r="B787" s="19"/>
      <c r="C787" s="15"/>
      <c r="D787" s="15"/>
      <c r="E787" s="15"/>
      <c r="F787" s="17"/>
      <c r="G787" s="19"/>
      <c r="H787" s="20">
        <f>IF($A787="","",YEAR($A787))</f>
        <v>0</v>
      </c>
      <c r="I787" s="20">
        <f>IF($A787="","",MONTH($A787))</f>
        <v>0</v>
      </c>
      <c r="J787" s="21">
        <f>IF(OR($A787="",$F787=""),"",IF($B787="Entrada",$F787,-$F787))</f>
        <v>0</v>
      </c>
      <c r="K787" s="20">
        <f>IF($A787="","",IF(OR($B787="",$C787="",$F787="",$G787=""),"Preencher tudo",IF(IFERROR(INDEX(CatTipo,MATCH($C787,CatNome,0)),"")&lt;&gt;$B787,"Categoria x Tipo?","OK")))</f>
        <v>0</v>
      </c>
    </row>
    <row r="788" spans="1:11">
      <c r="A788" s="18"/>
      <c r="B788" s="19"/>
      <c r="C788" s="15"/>
      <c r="D788" s="15"/>
      <c r="E788" s="15"/>
      <c r="F788" s="17"/>
      <c r="G788" s="19"/>
      <c r="H788" s="20">
        <f>IF($A788="","",YEAR($A788))</f>
        <v>0</v>
      </c>
      <c r="I788" s="20">
        <f>IF($A788="","",MONTH($A788))</f>
        <v>0</v>
      </c>
      <c r="J788" s="21">
        <f>IF(OR($A788="",$F788=""),"",IF($B788="Entrada",$F788,-$F788))</f>
        <v>0</v>
      </c>
      <c r="K788" s="20">
        <f>IF($A788="","",IF(OR($B788="",$C788="",$F788="",$G788=""),"Preencher tudo",IF(IFERROR(INDEX(CatTipo,MATCH($C788,CatNome,0)),"")&lt;&gt;$B788,"Categoria x Tipo?","OK")))</f>
        <v>0</v>
      </c>
    </row>
    <row r="789" spans="1:11">
      <c r="A789" s="18"/>
      <c r="B789" s="19"/>
      <c r="C789" s="15"/>
      <c r="D789" s="15"/>
      <c r="E789" s="15"/>
      <c r="F789" s="17"/>
      <c r="G789" s="19"/>
      <c r="H789" s="20">
        <f>IF($A789="","",YEAR($A789))</f>
        <v>0</v>
      </c>
      <c r="I789" s="20">
        <f>IF($A789="","",MONTH($A789))</f>
        <v>0</v>
      </c>
      <c r="J789" s="21">
        <f>IF(OR($A789="",$F789=""),"",IF($B789="Entrada",$F789,-$F789))</f>
        <v>0</v>
      </c>
      <c r="K789" s="20">
        <f>IF($A789="","",IF(OR($B789="",$C789="",$F789="",$G789=""),"Preencher tudo",IF(IFERROR(INDEX(CatTipo,MATCH($C789,CatNome,0)),"")&lt;&gt;$B789,"Categoria x Tipo?","OK")))</f>
        <v>0</v>
      </c>
    </row>
    <row r="790" spans="1:11">
      <c r="A790" s="18"/>
      <c r="B790" s="19"/>
      <c r="C790" s="15"/>
      <c r="D790" s="15"/>
      <c r="E790" s="15"/>
      <c r="F790" s="17"/>
      <c r="G790" s="19"/>
      <c r="H790" s="20">
        <f>IF($A790="","",YEAR($A790))</f>
        <v>0</v>
      </c>
      <c r="I790" s="20">
        <f>IF($A790="","",MONTH($A790))</f>
        <v>0</v>
      </c>
      <c r="J790" s="21">
        <f>IF(OR($A790="",$F790=""),"",IF($B790="Entrada",$F790,-$F790))</f>
        <v>0</v>
      </c>
      <c r="K790" s="20">
        <f>IF($A790="","",IF(OR($B790="",$C790="",$F790="",$G790=""),"Preencher tudo",IF(IFERROR(INDEX(CatTipo,MATCH($C790,CatNome,0)),"")&lt;&gt;$B790,"Categoria x Tipo?","OK")))</f>
        <v>0</v>
      </c>
    </row>
    <row r="791" spans="1:11">
      <c r="A791" s="18"/>
      <c r="B791" s="19"/>
      <c r="C791" s="15"/>
      <c r="D791" s="15"/>
      <c r="E791" s="15"/>
      <c r="F791" s="17"/>
      <c r="G791" s="19"/>
      <c r="H791" s="20">
        <f>IF($A791="","",YEAR($A791))</f>
        <v>0</v>
      </c>
      <c r="I791" s="20">
        <f>IF($A791="","",MONTH($A791))</f>
        <v>0</v>
      </c>
      <c r="J791" s="21">
        <f>IF(OR($A791="",$F791=""),"",IF($B791="Entrada",$F791,-$F791))</f>
        <v>0</v>
      </c>
      <c r="K791" s="20">
        <f>IF($A791="","",IF(OR($B791="",$C791="",$F791="",$G791=""),"Preencher tudo",IF(IFERROR(INDEX(CatTipo,MATCH($C791,CatNome,0)),"")&lt;&gt;$B791,"Categoria x Tipo?","OK")))</f>
        <v>0</v>
      </c>
    </row>
    <row r="792" spans="1:11">
      <c r="A792" s="18"/>
      <c r="B792" s="19"/>
      <c r="C792" s="15"/>
      <c r="D792" s="15"/>
      <c r="E792" s="15"/>
      <c r="F792" s="17"/>
      <c r="G792" s="19"/>
      <c r="H792" s="20">
        <f>IF($A792="","",YEAR($A792))</f>
        <v>0</v>
      </c>
      <c r="I792" s="20">
        <f>IF($A792="","",MONTH($A792))</f>
        <v>0</v>
      </c>
      <c r="J792" s="21">
        <f>IF(OR($A792="",$F792=""),"",IF($B792="Entrada",$F792,-$F792))</f>
        <v>0</v>
      </c>
      <c r="K792" s="20">
        <f>IF($A792="","",IF(OR($B792="",$C792="",$F792="",$G792=""),"Preencher tudo",IF(IFERROR(INDEX(CatTipo,MATCH($C792,CatNome,0)),"")&lt;&gt;$B792,"Categoria x Tipo?","OK")))</f>
        <v>0</v>
      </c>
    </row>
    <row r="793" spans="1:11">
      <c r="A793" s="18"/>
      <c r="B793" s="19"/>
      <c r="C793" s="15"/>
      <c r="D793" s="15"/>
      <c r="E793" s="15"/>
      <c r="F793" s="17"/>
      <c r="G793" s="19"/>
      <c r="H793" s="20">
        <f>IF($A793="","",YEAR($A793))</f>
        <v>0</v>
      </c>
      <c r="I793" s="20">
        <f>IF($A793="","",MONTH($A793))</f>
        <v>0</v>
      </c>
      <c r="J793" s="21">
        <f>IF(OR($A793="",$F793=""),"",IF($B793="Entrada",$F793,-$F793))</f>
        <v>0</v>
      </c>
      <c r="K793" s="20">
        <f>IF($A793="","",IF(OR($B793="",$C793="",$F793="",$G793=""),"Preencher tudo",IF(IFERROR(INDEX(CatTipo,MATCH($C793,CatNome,0)),"")&lt;&gt;$B793,"Categoria x Tipo?","OK")))</f>
        <v>0</v>
      </c>
    </row>
    <row r="794" spans="1:11">
      <c r="A794" s="18"/>
      <c r="B794" s="19"/>
      <c r="C794" s="15"/>
      <c r="D794" s="15"/>
      <c r="E794" s="15"/>
      <c r="F794" s="17"/>
      <c r="G794" s="19"/>
      <c r="H794" s="20">
        <f>IF($A794="","",YEAR($A794))</f>
        <v>0</v>
      </c>
      <c r="I794" s="20">
        <f>IF($A794="","",MONTH($A794))</f>
        <v>0</v>
      </c>
      <c r="J794" s="21">
        <f>IF(OR($A794="",$F794=""),"",IF($B794="Entrada",$F794,-$F794))</f>
        <v>0</v>
      </c>
      <c r="K794" s="20">
        <f>IF($A794="","",IF(OR($B794="",$C794="",$F794="",$G794=""),"Preencher tudo",IF(IFERROR(INDEX(CatTipo,MATCH($C794,CatNome,0)),"")&lt;&gt;$B794,"Categoria x Tipo?","OK")))</f>
        <v>0</v>
      </c>
    </row>
    <row r="795" spans="1:11">
      <c r="A795" s="18"/>
      <c r="B795" s="19"/>
      <c r="C795" s="15"/>
      <c r="D795" s="15"/>
      <c r="E795" s="15"/>
      <c r="F795" s="17"/>
      <c r="G795" s="19"/>
      <c r="H795" s="20">
        <f>IF($A795="","",YEAR($A795))</f>
        <v>0</v>
      </c>
      <c r="I795" s="20">
        <f>IF($A795="","",MONTH($A795))</f>
        <v>0</v>
      </c>
      <c r="J795" s="21">
        <f>IF(OR($A795="",$F795=""),"",IF($B795="Entrada",$F795,-$F795))</f>
        <v>0</v>
      </c>
      <c r="K795" s="20">
        <f>IF($A795="","",IF(OR($B795="",$C795="",$F795="",$G795=""),"Preencher tudo",IF(IFERROR(INDEX(CatTipo,MATCH($C795,CatNome,0)),"")&lt;&gt;$B795,"Categoria x Tipo?","OK")))</f>
        <v>0</v>
      </c>
    </row>
    <row r="796" spans="1:11">
      <c r="A796" s="18"/>
      <c r="B796" s="19"/>
      <c r="C796" s="15"/>
      <c r="D796" s="15"/>
      <c r="E796" s="15"/>
      <c r="F796" s="17"/>
      <c r="G796" s="19"/>
      <c r="H796" s="20">
        <f>IF($A796="","",YEAR($A796))</f>
        <v>0</v>
      </c>
      <c r="I796" s="20">
        <f>IF($A796="","",MONTH($A796))</f>
        <v>0</v>
      </c>
      <c r="J796" s="21">
        <f>IF(OR($A796="",$F796=""),"",IF($B796="Entrada",$F796,-$F796))</f>
        <v>0</v>
      </c>
      <c r="K796" s="20">
        <f>IF($A796="","",IF(OR($B796="",$C796="",$F796="",$G796=""),"Preencher tudo",IF(IFERROR(INDEX(CatTipo,MATCH($C796,CatNome,0)),"")&lt;&gt;$B796,"Categoria x Tipo?","OK")))</f>
        <v>0</v>
      </c>
    </row>
    <row r="797" spans="1:11">
      <c r="A797" s="18"/>
      <c r="B797" s="19"/>
      <c r="C797" s="15"/>
      <c r="D797" s="15"/>
      <c r="E797" s="15"/>
      <c r="F797" s="17"/>
      <c r="G797" s="19"/>
      <c r="H797" s="20">
        <f>IF($A797="","",YEAR($A797))</f>
        <v>0</v>
      </c>
      <c r="I797" s="20">
        <f>IF($A797="","",MONTH($A797))</f>
        <v>0</v>
      </c>
      <c r="J797" s="21">
        <f>IF(OR($A797="",$F797=""),"",IF($B797="Entrada",$F797,-$F797))</f>
        <v>0</v>
      </c>
      <c r="K797" s="20">
        <f>IF($A797="","",IF(OR($B797="",$C797="",$F797="",$G797=""),"Preencher tudo",IF(IFERROR(INDEX(CatTipo,MATCH($C797,CatNome,0)),"")&lt;&gt;$B797,"Categoria x Tipo?","OK")))</f>
        <v>0</v>
      </c>
    </row>
    <row r="798" spans="1:11">
      <c r="A798" s="18"/>
      <c r="B798" s="19"/>
      <c r="C798" s="15"/>
      <c r="D798" s="15"/>
      <c r="E798" s="15"/>
      <c r="F798" s="17"/>
      <c r="G798" s="19"/>
      <c r="H798" s="20">
        <f>IF($A798="","",YEAR($A798))</f>
        <v>0</v>
      </c>
      <c r="I798" s="20">
        <f>IF($A798="","",MONTH($A798))</f>
        <v>0</v>
      </c>
      <c r="J798" s="21">
        <f>IF(OR($A798="",$F798=""),"",IF($B798="Entrada",$F798,-$F798))</f>
        <v>0</v>
      </c>
      <c r="K798" s="20">
        <f>IF($A798="","",IF(OR($B798="",$C798="",$F798="",$G798=""),"Preencher tudo",IF(IFERROR(INDEX(CatTipo,MATCH($C798,CatNome,0)),"")&lt;&gt;$B798,"Categoria x Tipo?","OK")))</f>
        <v>0</v>
      </c>
    </row>
    <row r="799" spans="1:11">
      <c r="A799" s="18"/>
      <c r="B799" s="19"/>
      <c r="C799" s="15"/>
      <c r="D799" s="15"/>
      <c r="E799" s="15"/>
      <c r="F799" s="17"/>
      <c r="G799" s="19"/>
      <c r="H799" s="20">
        <f>IF($A799="","",YEAR($A799))</f>
        <v>0</v>
      </c>
      <c r="I799" s="20">
        <f>IF($A799="","",MONTH($A799))</f>
        <v>0</v>
      </c>
      <c r="J799" s="21">
        <f>IF(OR($A799="",$F799=""),"",IF($B799="Entrada",$F799,-$F799))</f>
        <v>0</v>
      </c>
      <c r="K799" s="20">
        <f>IF($A799="","",IF(OR($B799="",$C799="",$F799="",$G799=""),"Preencher tudo",IF(IFERROR(INDEX(CatTipo,MATCH($C799,CatNome,0)),"")&lt;&gt;$B799,"Categoria x Tipo?","OK")))</f>
        <v>0</v>
      </c>
    </row>
    <row r="800" spans="1:11">
      <c r="A800" s="18"/>
      <c r="B800" s="19"/>
      <c r="C800" s="15"/>
      <c r="D800" s="15"/>
      <c r="E800" s="15"/>
      <c r="F800" s="17"/>
      <c r="G800" s="19"/>
      <c r="H800" s="20">
        <f>IF($A800="","",YEAR($A800))</f>
        <v>0</v>
      </c>
      <c r="I800" s="20">
        <f>IF($A800="","",MONTH($A800))</f>
        <v>0</v>
      </c>
      <c r="J800" s="21">
        <f>IF(OR($A800="",$F800=""),"",IF($B800="Entrada",$F800,-$F800))</f>
        <v>0</v>
      </c>
      <c r="K800" s="20">
        <f>IF($A800="","",IF(OR($B800="",$C800="",$F800="",$G800=""),"Preencher tudo",IF(IFERROR(INDEX(CatTipo,MATCH($C800,CatNome,0)),"")&lt;&gt;$B800,"Categoria x Tipo?","OK")))</f>
        <v>0</v>
      </c>
    </row>
    <row r="801" spans="1:11">
      <c r="A801" s="18"/>
      <c r="B801" s="19"/>
      <c r="C801" s="15"/>
      <c r="D801" s="15"/>
      <c r="E801" s="15"/>
      <c r="F801" s="17"/>
      <c r="G801" s="19"/>
      <c r="H801" s="20">
        <f>IF($A801="","",YEAR($A801))</f>
        <v>0</v>
      </c>
      <c r="I801" s="20">
        <f>IF($A801="","",MONTH($A801))</f>
        <v>0</v>
      </c>
      <c r="J801" s="21">
        <f>IF(OR($A801="",$F801=""),"",IF($B801="Entrada",$F801,-$F801))</f>
        <v>0</v>
      </c>
      <c r="K801" s="20">
        <f>IF($A801="","",IF(OR($B801="",$C801="",$F801="",$G801=""),"Preencher tudo",IF(IFERROR(INDEX(CatTipo,MATCH($C801,CatNome,0)),"")&lt;&gt;$B801,"Categoria x Tipo?","OK")))</f>
        <v>0</v>
      </c>
    </row>
    <row r="802" spans="1:11">
      <c r="A802" s="18"/>
      <c r="B802" s="19"/>
      <c r="C802" s="15"/>
      <c r="D802" s="15"/>
      <c r="E802" s="15"/>
      <c r="F802" s="17"/>
      <c r="G802" s="19"/>
      <c r="H802" s="20">
        <f>IF($A802="","",YEAR($A802))</f>
        <v>0</v>
      </c>
      <c r="I802" s="20">
        <f>IF($A802="","",MONTH($A802))</f>
        <v>0</v>
      </c>
      <c r="J802" s="21">
        <f>IF(OR($A802="",$F802=""),"",IF($B802="Entrada",$F802,-$F802))</f>
        <v>0</v>
      </c>
      <c r="K802" s="20">
        <f>IF($A802="","",IF(OR($B802="",$C802="",$F802="",$G802=""),"Preencher tudo",IF(IFERROR(INDEX(CatTipo,MATCH($C802,CatNome,0)),"")&lt;&gt;$B802,"Categoria x Tipo?","OK")))</f>
        <v>0</v>
      </c>
    </row>
    <row r="803" spans="1:11">
      <c r="A803" s="18"/>
      <c r="B803" s="19"/>
      <c r="C803" s="15"/>
      <c r="D803" s="15"/>
      <c r="E803" s="15"/>
      <c r="F803" s="17"/>
      <c r="G803" s="19"/>
      <c r="H803" s="20">
        <f>IF($A803="","",YEAR($A803))</f>
        <v>0</v>
      </c>
      <c r="I803" s="20">
        <f>IF($A803="","",MONTH($A803))</f>
        <v>0</v>
      </c>
      <c r="J803" s="21">
        <f>IF(OR($A803="",$F803=""),"",IF($B803="Entrada",$F803,-$F803))</f>
        <v>0</v>
      </c>
      <c r="K803" s="20">
        <f>IF($A803="","",IF(OR($B803="",$C803="",$F803="",$G803=""),"Preencher tudo",IF(IFERROR(INDEX(CatTipo,MATCH($C803,CatNome,0)),"")&lt;&gt;$B803,"Categoria x Tipo?","OK")))</f>
        <v>0</v>
      </c>
    </row>
    <row r="804" spans="1:11">
      <c r="A804" s="18"/>
      <c r="B804" s="19"/>
      <c r="C804" s="15"/>
      <c r="D804" s="15"/>
      <c r="E804" s="15"/>
      <c r="F804" s="17"/>
      <c r="G804" s="19"/>
      <c r="H804" s="20">
        <f>IF($A804="","",YEAR($A804))</f>
        <v>0</v>
      </c>
      <c r="I804" s="20">
        <f>IF($A804="","",MONTH($A804))</f>
        <v>0</v>
      </c>
      <c r="J804" s="21">
        <f>IF(OR($A804="",$F804=""),"",IF($B804="Entrada",$F804,-$F804))</f>
        <v>0</v>
      </c>
      <c r="K804" s="20">
        <f>IF($A804="","",IF(OR($B804="",$C804="",$F804="",$G804=""),"Preencher tudo",IF(IFERROR(INDEX(CatTipo,MATCH($C804,CatNome,0)),"")&lt;&gt;$B804,"Categoria x Tipo?","OK")))</f>
        <v>0</v>
      </c>
    </row>
    <row r="805" spans="1:11">
      <c r="A805" s="18"/>
      <c r="B805" s="19"/>
      <c r="C805" s="15"/>
      <c r="D805" s="15"/>
      <c r="E805" s="15"/>
      <c r="F805" s="17"/>
      <c r="G805" s="19"/>
      <c r="H805" s="20">
        <f>IF($A805="","",YEAR($A805))</f>
        <v>0</v>
      </c>
      <c r="I805" s="20">
        <f>IF($A805="","",MONTH($A805))</f>
        <v>0</v>
      </c>
      <c r="J805" s="21">
        <f>IF(OR($A805="",$F805=""),"",IF($B805="Entrada",$F805,-$F805))</f>
        <v>0</v>
      </c>
      <c r="K805" s="20">
        <f>IF($A805="","",IF(OR($B805="",$C805="",$F805="",$G805=""),"Preencher tudo",IF(IFERROR(INDEX(CatTipo,MATCH($C805,CatNome,0)),"")&lt;&gt;$B805,"Categoria x Tipo?","OK")))</f>
        <v>0</v>
      </c>
    </row>
    <row r="806" spans="1:11">
      <c r="A806" s="18"/>
      <c r="B806" s="19"/>
      <c r="C806" s="15"/>
      <c r="D806" s="15"/>
      <c r="E806" s="15"/>
      <c r="F806" s="17"/>
      <c r="G806" s="19"/>
      <c r="H806" s="20">
        <f>IF($A806="","",YEAR($A806))</f>
        <v>0</v>
      </c>
      <c r="I806" s="20">
        <f>IF($A806="","",MONTH($A806))</f>
        <v>0</v>
      </c>
      <c r="J806" s="21">
        <f>IF(OR($A806="",$F806=""),"",IF($B806="Entrada",$F806,-$F806))</f>
        <v>0</v>
      </c>
      <c r="K806" s="20">
        <f>IF($A806="","",IF(OR($B806="",$C806="",$F806="",$G806=""),"Preencher tudo",IF(IFERROR(INDEX(CatTipo,MATCH($C806,CatNome,0)),"")&lt;&gt;$B806,"Categoria x Tipo?","OK")))</f>
        <v>0</v>
      </c>
    </row>
    <row r="807" spans="1:11">
      <c r="A807" s="18"/>
      <c r="B807" s="19"/>
      <c r="C807" s="15"/>
      <c r="D807" s="15"/>
      <c r="E807" s="15"/>
      <c r="F807" s="17"/>
      <c r="G807" s="19"/>
      <c r="H807" s="20">
        <f>IF($A807="","",YEAR($A807))</f>
        <v>0</v>
      </c>
      <c r="I807" s="20">
        <f>IF($A807="","",MONTH($A807))</f>
        <v>0</v>
      </c>
      <c r="J807" s="21">
        <f>IF(OR($A807="",$F807=""),"",IF($B807="Entrada",$F807,-$F807))</f>
        <v>0</v>
      </c>
      <c r="K807" s="20">
        <f>IF($A807="","",IF(OR($B807="",$C807="",$F807="",$G807=""),"Preencher tudo",IF(IFERROR(INDEX(CatTipo,MATCH($C807,CatNome,0)),"")&lt;&gt;$B807,"Categoria x Tipo?","OK")))</f>
        <v>0</v>
      </c>
    </row>
    <row r="808" spans="1:11">
      <c r="A808" s="18"/>
      <c r="B808" s="19"/>
      <c r="C808" s="15"/>
      <c r="D808" s="15"/>
      <c r="E808" s="15"/>
      <c r="F808" s="17"/>
      <c r="G808" s="19"/>
      <c r="H808" s="20">
        <f>IF($A808="","",YEAR($A808))</f>
        <v>0</v>
      </c>
      <c r="I808" s="20">
        <f>IF($A808="","",MONTH($A808))</f>
        <v>0</v>
      </c>
      <c r="J808" s="21">
        <f>IF(OR($A808="",$F808=""),"",IF($B808="Entrada",$F808,-$F808))</f>
        <v>0</v>
      </c>
      <c r="K808" s="20">
        <f>IF($A808="","",IF(OR($B808="",$C808="",$F808="",$G808=""),"Preencher tudo",IF(IFERROR(INDEX(CatTipo,MATCH($C808,CatNome,0)),"")&lt;&gt;$B808,"Categoria x Tipo?","OK")))</f>
        <v>0</v>
      </c>
    </row>
    <row r="809" spans="1:11">
      <c r="A809" s="18"/>
      <c r="B809" s="19"/>
      <c r="C809" s="15"/>
      <c r="D809" s="15"/>
      <c r="E809" s="15"/>
      <c r="F809" s="17"/>
      <c r="G809" s="19"/>
      <c r="H809" s="20">
        <f>IF($A809="","",YEAR($A809))</f>
        <v>0</v>
      </c>
      <c r="I809" s="20">
        <f>IF($A809="","",MONTH($A809))</f>
        <v>0</v>
      </c>
      <c r="J809" s="21">
        <f>IF(OR($A809="",$F809=""),"",IF($B809="Entrada",$F809,-$F809))</f>
        <v>0</v>
      </c>
      <c r="K809" s="20">
        <f>IF($A809="","",IF(OR($B809="",$C809="",$F809="",$G809=""),"Preencher tudo",IF(IFERROR(INDEX(CatTipo,MATCH($C809,CatNome,0)),"")&lt;&gt;$B809,"Categoria x Tipo?","OK")))</f>
        <v>0</v>
      </c>
    </row>
    <row r="810" spans="1:11">
      <c r="A810" s="18"/>
      <c r="B810" s="19"/>
      <c r="C810" s="15"/>
      <c r="D810" s="15"/>
      <c r="E810" s="15"/>
      <c r="F810" s="17"/>
      <c r="G810" s="19"/>
      <c r="H810" s="20">
        <f>IF($A810="","",YEAR($A810))</f>
        <v>0</v>
      </c>
      <c r="I810" s="20">
        <f>IF($A810="","",MONTH($A810))</f>
        <v>0</v>
      </c>
      <c r="J810" s="21">
        <f>IF(OR($A810="",$F810=""),"",IF($B810="Entrada",$F810,-$F810))</f>
        <v>0</v>
      </c>
      <c r="K810" s="20">
        <f>IF($A810="","",IF(OR($B810="",$C810="",$F810="",$G810=""),"Preencher tudo",IF(IFERROR(INDEX(CatTipo,MATCH($C810,CatNome,0)),"")&lt;&gt;$B810,"Categoria x Tipo?","OK")))</f>
        <v>0</v>
      </c>
    </row>
    <row r="811" spans="1:11">
      <c r="A811" s="18"/>
      <c r="B811" s="19"/>
      <c r="C811" s="15"/>
      <c r="D811" s="15"/>
      <c r="E811" s="15"/>
      <c r="F811" s="17"/>
      <c r="G811" s="19"/>
      <c r="H811" s="20">
        <f>IF($A811="","",YEAR($A811))</f>
        <v>0</v>
      </c>
      <c r="I811" s="20">
        <f>IF($A811="","",MONTH($A811))</f>
        <v>0</v>
      </c>
      <c r="J811" s="21">
        <f>IF(OR($A811="",$F811=""),"",IF($B811="Entrada",$F811,-$F811))</f>
        <v>0</v>
      </c>
      <c r="K811" s="20">
        <f>IF($A811="","",IF(OR($B811="",$C811="",$F811="",$G811=""),"Preencher tudo",IF(IFERROR(INDEX(CatTipo,MATCH($C811,CatNome,0)),"")&lt;&gt;$B811,"Categoria x Tipo?","OK")))</f>
        <v>0</v>
      </c>
    </row>
    <row r="812" spans="1:11">
      <c r="A812" s="18"/>
      <c r="B812" s="19"/>
      <c r="C812" s="15"/>
      <c r="D812" s="15"/>
      <c r="E812" s="15"/>
      <c r="F812" s="17"/>
      <c r="G812" s="19"/>
      <c r="H812" s="20">
        <f>IF($A812="","",YEAR($A812))</f>
        <v>0</v>
      </c>
      <c r="I812" s="20">
        <f>IF($A812="","",MONTH($A812))</f>
        <v>0</v>
      </c>
      <c r="J812" s="21">
        <f>IF(OR($A812="",$F812=""),"",IF($B812="Entrada",$F812,-$F812))</f>
        <v>0</v>
      </c>
      <c r="K812" s="20">
        <f>IF($A812="","",IF(OR($B812="",$C812="",$F812="",$G812=""),"Preencher tudo",IF(IFERROR(INDEX(CatTipo,MATCH($C812,CatNome,0)),"")&lt;&gt;$B812,"Categoria x Tipo?","OK")))</f>
        <v>0</v>
      </c>
    </row>
    <row r="813" spans="1:11">
      <c r="A813" s="18"/>
      <c r="B813" s="19"/>
      <c r="C813" s="15"/>
      <c r="D813" s="15"/>
      <c r="E813" s="15"/>
      <c r="F813" s="17"/>
      <c r="G813" s="19"/>
      <c r="H813" s="20">
        <f>IF($A813="","",YEAR($A813))</f>
        <v>0</v>
      </c>
      <c r="I813" s="20">
        <f>IF($A813="","",MONTH($A813))</f>
        <v>0</v>
      </c>
      <c r="J813" s="21">
        <f>IF(OR($A813="",$F813=""),"",IF($B813="Entrada",$F813,-$F813))</f>
        <v>0</v>
      </c>
      <c r="K813" s="20">
        <f>IF($A813="","",IF(OR($B813="",$C813="",$F813="",$G813=""),"Preencher tudo",IF(IFERROR(INDEX(CatTipo,MATCH($C813,CatNome,0)),"")&lt;&gt;$B813,"Categoria x Tipo?","OK")))</f>
        <v>0</v>
      </c>
    </row>
    <row r="814" spans="1:11">
      <c r="A814" s="18"/>
      <c r="B814" s="19"/>
      <c r="C814" s="15"/>
      <c r="D814" s="15"/>
      <c r="E814" s="15"/>
      <c r="F814" s="17"/>
      <c r="G814" s="19"/>
      <c r="H814" s="20">
        <f>IF($A814="","",YEAR($A814))</f>
        <v>0</v>
      </c>
      <c r="I814" s="20">
        <f>IF($A814="","",MONTH($A814))</f>
        <v>0</v>
      </c>
      <c r="J814" s="21">
        <f>IF(OR($A814="",$F814=""),"",IF($B814="Entrada",$F814,-$F814))</f>
        <v>0</v>
      </c>
      <c r="K814" s="20">
        <f>IF($A814="","",IF(OR($B814="",$C814="",$F814="",$G814=""),"Preencher tudo",IF(IFERROR(INDEX(CatTipo,MATCH($C814,CatNome,0)),"")&lt;&gt;$B814,"Categoria x Tipo?","OK")))</f>
        <v>0</v>
      </c>
    </row>
    <row r="815" spans="1:11">
      <c r="A815" s="18"/>
      <c r="B815" s="19"/>
      <c r="C815" s="15"/>
      <c r="D815" s="15"/>
      <c r="E815" s="15"/>
      <c r="F815" s="17"/>
      <c r="G815" s="19"/>
      <c r="H815" s="20">
        <f>IF($A815="","",YEAR($A815))</f>
        <v>0</v>
      </c>
      <c r="I815" s="20">
        <f>IF($A815="","",MONTH($A815))</f>
        <v>0</v>
      </c>
      <c r="J815" s="21">
        <f>IF(OR($A815="",$F815=""),"",IF($B815="Entrada",$F815,-$F815))</f>
        <v>0</v>
      </c>
      <c r="K815" s="20">
        <f>IF($A815="","",IF(OR($B815="",$C815="",$F815="",$G815=""),"Preencher tudo",IF(IFERROR(INDEX(CatTipo,MATCH($C815,CatNome,0)),"")&lt;&gt;$B815,"Categoria x Tipo?","OK")))</f>
        <v>0</v>
      </c>
    </row>
    <row r="816" spans="1:11">
      <c r="A816" s="18"/>
      <c r="B816" s="19"/>
      <c r="C816" s="15"/>
      <c r="D816" s="15"/>
      <c r="E816" s="15"/>
      <c r="F816" s="17"/>
      <c r="G816" s="19"/>
      <c r="H816" s="20">
        <f>IF($A816="","",YEAR($A816))</f>
        <v>0</v>
      </c>
      <c r="I816" s="20">
        <f>IF($A816="","",MONTH($A816))</f>
        <v>0</v>
      </c>
      <c r="J816" s="21">
        <f>IF(OR($A816="",$F816=""),"",IF($B816="Entrada",$F816,-$F816))</f>
        <v>0</v>
      </c>
      <c r="K816" s="20">
        <f>IF($A816="","",IF(OR($B816="",$C816="",$F816="",$G816=""),"Preencher tudo",IF(IFERROR(INDEX(CatTipo,MATCH($C816,CatNome,0)),"")&lt;&gt;$B816,"Categoria x Tipo?","OK")))</f>
        <v>0</v>
      </c>
    </row>
    <row r="817" spans="1:11">
      <c r="A817" s="18"/>
      <c r="B817" s="19"/>
      <c r="C817" s="15"/>
      <c r="D817" s="15"/>
      <c r="E817" s="15"/>
      <c r="F817" s="17"/>
      <c r="G817" s="19"/>
      <c r="H817" s="20">
        <f>IF($A817="","",YEAR($A817))</f>
        <v>0</v>
      </c>
      <c r="I817" s="20">
        <f>IF($A817="","",MONTH($A817))</f>
        <v>0</v>
      </c>
      <c r="J817" s="21">
        <f>IF(OR($A817="",$F817=""),"",IF($B817="Entrada",$F817,-$F817))</f>
        <v>0</v>
      </c>
      <c r="K817" s="20">
        <f>IF($A817="","",IF(OR($B817="",$C817="",$F817="",$G817=""),"Preencher tudo",IF(IFERROR(INDEX(CatTipo,MATCH($C817,CatNome,0)),"")&lt;&gt;$B817,"Categoria x Tipo?","OK")))</f>
        <v>0</v>
      </c>
    </row>
    <row r="818" spans="1:11">
      <c r="A818" s="18"/>
      <c r="B818" s="19"/>
      <c r="C818" s="15"/>
      <c r="D818" s="15"/>
      <c r="E818" s="15"/>
      <c r="F818" s="17"/>
      <c r="G818" s="19"/>
      <c r="H818" s="20">
        <f>IF($A818="","",YEAR($A818))</f>
        <v>0</v>
      </c>
      <c r="I818" s="20">
        <f>IF($A818="","",MONTH($A818))</f>
        <v>0</v>
      </c>
      <c r="J818" s="21">
        <f>IF(OR($A818="",$F818=""),"",IF($B818="Entrada",$F818,-$F818))</f>
        <v>0</v>
      </c>
      <c r="K818" s="20">
        <f>IF($A818="","",IF(OR($B818="",$C818="",$F818="",$G818=""),"Preencher tudo",IF(IFERROR(INDEX(CatTipo,MATCH($C818,CatNome,0)),"")&lt;&gt;$B818,"Categoria x Tipo?","OK")))</f>
        <v>0</v>
      </c>
    </row>
    <row r="819" spans="1:11">
      <c r="A819" s="18"/>
      <c r="B819" s="19"/>
      <c r="C819" s="15"/>
      <c r="D819" s="15"/>
      <c r="E819" s="15"/>
      <c r="F819" s="17"/>
      <c r="G819" s="19"/>
      <c r="H819" s="20">
        <f>IF($A819="","",YEAR($A819))</f>
        <v>0</v>
      </c>
      <c r="I819" s="20">
        <f>IF($A819="","",MONTH($A819))</f>
        <v>0</v>
      </c>
      <c r="J819" s="21">
        <f>IF(OR($A819="",$F819=""),"",IF($B819="Entrada",$F819,-$F819))</f>
        <v>0</v>
      </c>
      <c r="K819" s="20">
        <f>IF($A819="","",IF(OR($B819="",$C819="",$F819="",$G819=""),"Preencher tudo",IF(IFERROR(INDEX(CatTipo,MATCH($C819,CatNome,0)),"")&lt;&gt;$B819,"Categoria x Tipo?","OK")))</f>
        <v>0</v>
      </c>
    </row>
    <row r="820" spans="1:11">
      <c r="A820" s="18"/>
      <c r="B820" s="19"/>
      <c r="C820" s="15"/>
      <c r="D820" s="15"/>
      <c r="E820" s="15"/>
      <c r="F820" s="17"/>
      <c r="G820" s="19"/>
      <c r="H820" s="20">
        <f>IF($A820="","",YEAR($A820))</f>
        <v>0</v>
      </c>
      <c r="I820" s="20">
        <f>IF($A820="","",MONTH($A820))</f>
        <v>0</v>
      </c>
      <c r="J820" s="21">
        <f>IF(OR($A820="",$F820=""),"",IF($B820="Entrada",$F820,-$F820))</f>
        <v>0</v>
      </c>
      <c r="K820" s="20">
        <f>IF($A820="","",IF(OR($B820="",$C820="",$F820="",$G820=""),"Preencher tudo",IF(IFERROR(INDEX(CatTipo,MATCH($C820,CatNome,0)),"")&lt;&gt;$B820,"Categoria x Tipo?","OK")))</f>
        <v>0</v>
      </c>
    </row>
    <row r="821" spans="1:11">
      <c r="A821" s="18"/>
      <c r="B821" s="19"/>
      <c r="C821" s="15"/>
      <c r="D821" s="15"/>
      <c r="E821" s="15"/>
      <c r="F821" s="17"/>
      <c r="G821" s="19"/>
      <c r="H821" s="20">
        <f>IF($A821="","",YEAR($A821))</f>
        <v>0</v>
      </c>
      <c r="I821" s="20">
        <f>IF($A821="","",MONTH($A821))</f>
        <v>0</v>
      </c>
      <c r="J821" s="21">
        <f>IF(OR($A821="",$F821=""),"",IF($B821="Entrada",$F821,-$F821))</f>
        <v>0</v>
      </c>
      <c r="K821" s="20">
        <f>IF($A821="","",IF(OR($B821="",$C821="",$F821="",$G821=""),"Preencher tudo",IF(IFERROR(INDEX(CatTipo,MATCH($C821,CatNome,0)),"")&lt;&gt;$B821,"Categoria x Tipo?","OK")))</f>
        <v>0</v>
      </c>
    </row>
    <row r="822" spans="1:11">
      <c r="A822" s="18"/>
      <c r="B822" s="19"/>
      <c r="C822" s="15"/>
      <c r="D822" s="15"/>
      <c r="E822" s="15"/>
      <c r="F822" s="17"/>
      <c r="G822" s="19"/>
      <c r="H822" s="20">
        <f>IF($A822="","",YEAR($A822))</f>
        <v>0</v>
      </c>
      <c r="I822" s="20">
        <f>IF($A822="","",MONTH($A822))</f>
        <v>0</v>
      </c>
      <c r="J822" s="21">
        <f>IF(OR($A822="",$F822=""),"",IF($B822="Entrada",$F822,-$F822))</f>
        <v>0</v>
      </c>
      <c r="K822" s="20">
        <f>IF($A822="","",IF(OR($B822="",$C822="",$F822="",$G822=""),"Preencher tudo",IF(IFERROR(INDEX(CatTipo,MATCH($C822,CatNome,0)),"")&lt;&gt;$B822,"Categoria x Tipo?","OK")))</f>
        <v>0</v>
      </c>
    </row>
    <row r="823" spans="1:11">
      <c r="A823" s="18"/>
      <c r="B823" s="19"/>
      <c r="C823" s="15"/>
      <c r="D823" s="15"/>
      <c r="E823" s="15"/>
      <c r="F823" s="17"/>
      <c r="G823" s="19"/>
      <c r="H823" s="20">
        <f>IF($A823="","",YEAR($A823))</f>
        <v>0</v>
      </c>
      <c r="I823" s="20">
        <f>IF($A823="","",MONTH($A823))</f>
        <v>0</v>
      </c>
      <c r="J823" s="21">
        <f>IF(OR($A823="",$F823=""),"",IF($B823="Entrada",$F823,-$F823))</f>
        <v>0</v>
      </c>
      <c r="K823" s="20">
        <f>IF($A823="","",IF(OR($B823="",$C823="",$F823="",$G823=""),"Preencher tudo",IF(IFERROR(INDEX(CatTipo,MATCH($C823,CatNome,0)),"")&lt;&gt;$B823,"Categoria x Tipo?","OK")))</f>
        <v>0</v>
      </c>
    </row>
    <row r="824" spans="1:11">
      <c r="A824" s="18"/>
      <c r="B824" s="19"/>
      <c r="C824" s="15"/>
      <c r="D824" s="15"/>
      <c r="E824" s="15"/>
      <c r="F824" s="17"/>
      <c r="G824" s="19"/>
      <c r="H824" s="20">
        <f>IF($A824="","",YEAR($A824))</f>
        <v>0</v>
      </c>
      <c r="I824" s="20">
        <f>IF($A824="","",MONTH($A824))</f>
        <v>0</v>
      </c>
      <c r="J824" s="21">
        <f>IF(OR($A824="",$F824=""),"",IF($B824="Entrada",$F824,-$F824))</f>
        <v>0</v>
      </c>
      <c r="K824" s="20">
        <f>IF($A824="","",IF(OR($B824="",$C824="",$F824="",$G824=""),"Preencher tudo",IF(IFERROR(INDEX(CatTipo,MATCH($C824,CatNome,0)),"")&lt;&gt;$B824,"Categoria x Tipo?","OK")))</f>
        <v>0</v>
      </c>
    </row>
    <row r="825" spans="1:11">
      <c r="A825" s="18"/>
      <c r="B825" s="19"/>
      <c r="C825" s="15"/>
      <c r="D825" s="15"/>
      <c r="E825" s="15"/>
      <c r="F825" s="17"/>
      <c r="G825" s="19"/>
      <c r="H825" s="20">
        <f>IF($A825="","",YEAR($A825))</f>
        <v>0</v>
      </c>
      <c r="I825" s="20">
        <f>IF($A825="","",MONTH($A825))</f>
        <v>0</v>
      </c>
      <c r="J825" s="21">
        <f>IF(OR($A825="",$F825=""),"",IF($B825="Entrada",$F825,-$F825))</f>
        <v>0</v>
      </c>
      <c r="K825" s="20">
        <f>IF($A825="","",IF(OR($B825="",$C825="",$F825="",$G825=""),"Preencher tudo",IF(IFERROR(INDEX(CatTipo,MATCH($C825,CatNome,0)),"")&lt;&gt;$B825,"Categoria x Tipo?","OK")))</f>
        <v>0</v>
      </c>
    </row>
    <row r="826" spans="1:11">
      <c r="A826" s="18"/>
      <c r="B826" s="19"/>
      <c r="C826" s="15"/>
      <c r="D826" s="15"/>
      <c r="E826" s="15"/>
      <c r="F826" s="17"/>
      <c r="G826" s="19"/>
      <c r="H826" s="20">
        <f>IF($A826="","",YEAR($A826))</f>
        <v>0</v>
      </c>
      <c r="I826" s="20">
        <f>IF($A826="","",MONTH($A826))</f>
        <v>0</v>
      </c>
      <c r="J826" s="21">
        <f>IF(OR($A826="",$F826=""),"",IF($B826="Entrada",$F826,-$F826))</f>
        <v>0</v>
      </c>
      <c r="K826" s="20">
        <f>IF($A826="","",IF(OR($B826="",$C826="",$F826="",$G826=""),"Preencher tudo",IF(IFERROR(INDEX(CatTipo,MATCH($C826,CatNome,0)),"")&lt;&gt;$B826,"Categoria x Tipo?","OK")))</f>
        <v>0</v>
      </c>
    </row>
    <row r="827" spans="1:11">
      <c r="A827" s="18"/>
      <c r="B827" s="19"/>
      <c r="C827" s="15"/>
      <c r="D827" s="15"/>
      <c r="E827" s="15"/>
      <c r="F827" s="17"/>
      <c r="G827" s="19"/>
      <c r="H827" s="20">
        <f>IF($A827="","",YEAR($A827))</f>
        <v>0</v>
      </c>
      <c r="I827" s="20">
        <f>IF($A827="","",MONTH($A827))</f>
        <v>0</v>
      </c>
      <c r="J827" s="21">
        <f>IF(OR($A827="",$F827=""),"",IF($B827="Entrada",$F827,-$F827))</f>
        <v>0</v>
      </c>
      <c r="K827" s="20">
        <f>IF($A827="","",IF(OR($B827="",$C827="",$F827="",$G827=""),"Preencher tudo",IF(IFERROR(INDEX(CatTipo,MATCH($C827,CatNome,0)),"")&lt;&gt;$B827,"Categoria x Tipo?","OK")))</f>
        <v>0</v>
      </c>
    </row>
    <row r="828" spans="1:11">
      <c r="A828" s="18"/>
      <c r="B828" s="19"/>
      <c r="C828" s="15"/>
      <c r="D828" s="15"/>
      <c r="E828" s="15"/>
      <c r="F828" s="17"/>
      <c r="G828" s="19"/>
      <c r="H828" s="20">
        <f>IF($A828="","",YEAR($A828))</f>
        <v>0</v>
      </c>
      <c r="I828" s="20">
        <f>IF($A828="","",MONTH($A828))</f>
        <v>0</v>
      </c>
      <c r="J828" s="21">
        <f>IF(OR($A828="",$F828=""),"",IF($B828="Entrada",$F828,-$F828))</f>
        <v>0</v>
      </c>
      <c r="K828" s="20">
        <f>IF($A828="","",IF(OR($B828="",$C828="",$F828="",$G828=""),"Preencher tudo",IF(IFERROR(INDEX(CatTipo,MATCH($C828,CatNome,0)),"")&lt;&gt;$B828,"Categoria x Tipo?","OK")))</f>
        <v>0</v>
      </c>
    </row>
    <row r="829" spans="1:11">
      <c r="A829" s="18"/>
      <c r="B829" s="19"/>
      <c r="C829" s="15"/>
      <c r="D829" s="15"/>
      <c r="E829" s="15"/>
      <c r="F829" s="17"/>
      <c r="G829" s="19"/>
      <c r="H829" s="20">
        <f>IF($A829="","",YEAR($A829))</f>
        <v>0</v>
      </c>
      <c r="I829" s="20">
        <f>IF($A829="","",MONTH($A829))</f>
        <v>0</v>
      </c>
      <c r="J829" s="21">
        <f>IF(OR($A829="",$F829=""),"",IF($B829="Entrada",$F829,-$F829))</f>
        <v>0</v>
      </c>
      <c r="K829" s="20">
        <f>IF($A829="","",IF(OR($B829="",$C829="",$F829="",$G829=""),"Preencher tudo",IF(IFERROR(INDEX(CatTipo,MATCH($C829,CatNome,0)),"")&lt;&gt;$B829,"Categoria x Tipo?","OK")))</f>
        <v>0</v>
      </c>
    </row>
    <row r="830" spans="1:11">
      <c r="A830" s="18"/>
      <c r="B830" s="19"/>
      <c r="C830" s="15"/>
      <c r="D830" s="15"/>
      <c r="E830" s="15"/>
      <c r="F830" s="17"/>
      <c r="G830" s="19"/>
      <c r="H830" s="20">
        <f>IF($A830="","",YEAR($A830))</f>
        <v>0</v>
      </c>
      <c r="I830" s="20">
        <f>IF($A830="","",MONTH($A830))</f>
        <v>0</v>
      </c>
      <c r="J830" s="21">
        <f>IF(OR($A830="",$F830=""),"",IF($B830="Entrada",$F830,-$F830))</f>
        <v>0</v>
      </c>
      <c r="K830" s="20">
        <f>IF($A830="","",IF(OR($B830="",$C830="",$F830="",$G830=""),"Preencher tudo",IF(IFERROR(INDEX(CatTipo,MATCH($C830,CatNome,0)),"")&lt;&gt;$B830,"Categoria x Tipo?","OK")))</f>
        <v>0</v>
      </c>
    </row>
    <row r="831" spans="1:11">
      <c r="A831" s="18"/>
      <c r="B831" s="19"/>
      <c r="C831" s="15"/>
      <c r="D831" s="15"/>
      <c r="E831" s="15"/>
      <c r="F831" s="17"/>
      <c r="G831" s="19"/>
      <c r="H831" s="20">
        <f>IF($A831="","",YEAR($A831))</f>
        <v>0</v>
      </c>
      <c r="I831" s="20">
        <f>IF($A831="","",MONTH($A831))</f>
        <v>0</v>
      </c>
      <c r="J831" s="21">
        <f>IF(OR($A831="",$F831=""),"",IF($B831="Entrada",$F831,-$F831))</f>
        <v>0</v>
      </c>
      <c r="K831" s="20">
        <f>IF($A831="","",IF(OR($B831="",$C831="",$F831="",$G831=""),"Preencher tudo",IF(IFERROR(INDEX(CatTipo,MATCH($C831,CatNome,0)),"")&lt;&gt;$B831,"Categoria x Tipo?","OK")))</f>
        <v>0</v>
      </c>
    </row>
    <row r="832" spans="1:11">
      <c r="A832" s="18"/>
      <c r="B832" s="19"/>
      <c r="C832" s="15"/>
      <c r="D832" s="15"/>
      <c r="E832" s="15"/>
      <c r="F832" s="17"/>
      <c r="G832" s="19"/>
      <c r="H832" s="20">
        <f>IF($A832="","",YEAR($A832))</f>
        <v>0</v>
      </c>
      <c r="I832" s="20">
        <f>IF($A832="","",MONTH($A832))</f>
        <v>0</v>
      </c>
      <c r="J832" s="21">
        <f>IF(OR($A832="",$F832=""),"",IF($B832="Entrada",$F832,-$F832))</f>
        <v>0</v>
      </c>
      <c r="K832" s="20">
        <f>IF($A832="","",IF(OR($B832="",$C832="",$F832="",$G832=""),"Preencher tudo",IF(IFERROR(INDEX(CatTipo,MATCH($C832,CatNome,0)),"")&lt;&gt;$B832,"Categoria x Tipo?","OK")))</f>
        <v>0</v>
      </c>
    </row>
    <row r="833" spans="1:11">
      <c r="A833" s="18"/>
      <c r="B833" s="19"/>
      <c r="C833" s="15"/>
      <c r="D833" s="15"/>
      <c r="E833" s="15"/>
      <c r="F833" s="17"/>
      <c r="G833" s="19"/>
      <c r="H833" s="20">
        <f>IF($A833="","",YEAR($A833))</f>
        <v>0</v>
      </c>
      <c r="I833" s="20">
        <f>IF($A833="","",MONTH($A833))</f>
        <v>0</v>
      </c>
      <c r="J833" s="21">
        <f>IF(OR($A833="",$F833=""),"",IF($B833="Entrada",$F833,-$F833))</f>
        <v>0</v>
      </c>
      <c r="K833" s="20">
        <f>IF($A833="","",IF(OR($B833="",$C833="",$F833="",$G833=""),"Preencher tudo",IF(IFERROR(INDEX(CatTipo,MATCH($C833,CatNome,0)),"")&lt;&gt;$B833,"Categoria x Tipo?","OK")))</f>
        <v>0</v>
      </c>
    </row>
    <row r="834" spans="1:11">
      <c r="A834" s="18"/>
      <c r="B834" s="19"/>
      <c r="C834" s="15"/>
      <c r="D834" s="15"/>
      <c r="E834" s="15"/>
      <c r="F834" s="17"/>
      <c r="G834" s="19"/>
      <c r="H834" s="20">
        <f>IF($A834="","",YEAR($A834))</f>
        <v>0</v>
      </c>
      <c r="I834" s="20">
        <f>IF($A834="","",MONTH($A834))</f>
        <v>0</v>
      </c>
      <c r="J834" s="21">
        <f>IF(OR($A834="",$F834=""),"",IF($B834="Entrada",$F834,-$F834))</f>
        <v>0</v>
      </c>
      <c r="K834" s="20">
        <f>IF($A834="","",IF(OR($B834="",$C834="",$F834="",$G834=""),"Preencher tudo",IF(IFERROR(INDEX(CatTipo,MATCH($C834,CatNome,0)),"")&lt;&gt;$B834,"Categoria x Tipo?","OK")))</f>
        <v>0</v>
      </c>
    </row>
    <row r="835" spans="1:11">
      <c r="A835" s="18"/>
      <c r="B835" s="19"/>
      <c r="C835" s="15"/>
      <c r="D835" s="15"/>
      <c r="E835" s="15"/>
      <c r="F835" s="17"/>
      <c r="G835" s="19"/>
      <c r="H835" s="20">
        <f>IF($A835="","",YEAR($A835))</f>
        <v>0</v>
      </c>
      <c r="I835" s="20">
        <f>IF($A835="","",MONTH($A835))</f>
        <v>0</v>
      </c>
      <c r="J835" s="21">
        <f>IF(OR($A835="",$F835=""),"",IF($B835="Entrada",$F835,-$F835))</f>
        <v>0</v>
      </c>
      <c r="K835" s="20">
        <f>IF($A835="","",IF(OR($B835="",$C835="",$F835="",$G835=""),"Preencher tudo",IF(IFERROR(INDEX(CatTipo,MATCH($C835,CatNome,0)),"")&lt;&gt;$B835,"Categoria x Tipo?","OK")))</f>
        <v>0</v>
      </c>
    </row>
    <row r="836" spans="1:11">
      <c r="A836" s="18"/>
      <c r="B836" s="19"/>
      <c r="C836" s="15"/>
      <c r="D836" s="15"/>
      <c r="E836" s="15"/>
      <c r="F836" s="17"/>
      <c r="G836" s="19"/>
      <c r="H836" s="20">
        <f>IF($A836="","",YEAR($A836))</f>
        <v>0</v>
      </c>
      <c r="I836" s="20">
        <f>IF($A836="","",MONTH($A836))</f>
        <v>0</v>
      </c>
      <c r="J836" s="21">
        <f>IF(OR($A836="",$F836=""),"",IF($B836="Entrada",$F836,-$F836))</f>
        <v>0</v>
      </c>
      <c r="K836" s="20">
        <f>IF($A836="","",IF(OR($B836="",$C836="",$F836="",$G836=""),"Preencher tudo",IF(IFERROR(INDEX(CatTipo,MATCH($C836,CatNome,0)),"")&lt;&gt;$B836,"Categoria x Tipo?","OK")))</f>
        <v>0</v>
      </c>
    </row>
    <row r="837" spans="1:11">
      <c r="A837" s="18"/>
      <c r="B837" s="19"/>
      <c r="C837" s="15"/>
      <c r="D837" s="15"/>
      <c r="E837" s="15"/>
      <c r="F837" s="17"/>
      <c r="G837" s="19"/>
      <c r="H837" s="20">
        <f>IF($A837="","",YEAR($A837))</f>
        <v>0</v>
      </c>
      <c r="I837" s="20">
        <f>IF($A837="","",MONTH($A837))</f>
        <v>0</v>
      </c>
      <c r="J837" s="21">
        <f>IF(OR($A837="",$F837=""),"",IF($B837="Entrada",$F837,-$F837))</f>
        <v>0</v>
      </c>
      <c r="K837" s="20">
        <f>IF($A837="","",IF(OR($B837="",$C837="",$F837="",$G837=""),"Preencher tudo",IF(IFERROR(INDEX(CatTipo,MATCH($C837,CatNome,0)),"")&lt;&gt;$B837,"Categoria x Tipo?","OK")))</f>
        <v>0</v>
      </c>
    </row>
    <row r="838" spans="1:11">
      <c r="A838" s="18"/>
      <c r="B838" s="19"/>
      <c r="C838" s="15"/>
      <c r="D838" s="15"/>
      <c r="E838" s="15"/>
      <c r="F838" s="17"/>
      <c r="G838" s="19"/>
      <c r="H838" s="20">
        <f>IF($A838="","",YEAR($A838))</f>
        <v>0</v>
      </c>
      <c r="I838" s="20">
        <f>IF($A838="","",MONTH($A838))</f>
        <v>0</v>
      </c>
      <c r="J838" s="21">
        <f>IF(OR($A838="",$F838=""),"",IF($B838="Entrada",$F838,-$F838))</f>
        <v>0</v>
      </c>
      <c r="K838" s="20">
        <f>IF($A838="","",IF(OR($B838="",$C838="",$F838="",$G838=""),"Preencher tudo",IF(IFERROR(INDEX(CatTipo,MATCH($C838,CatNome,0)),"")&lt;&gt;$B838,"Categoria x Tipo?","OK")))</f>
        <v>0</v>
      </c>
    </row>
    <row r="839" spans="1:11">
      <c r="A839" s="18"/>
      <c r="B839" s="19"/>
      <c r="C839" s="15"/>
      <c r="D839" s="15"/>
      <c r="E839" s="15"/>
      <c r="F839" s="17"/>
      <c r="G839" s="19"/>
      <c r="H839" s="20">
        <f>IF($A839="","",YEAR($A839))</f>
        <v>0</v>
      </c>
      <c r="I839" s="20">
        <f>IF($A839="","",MONTH($A839))</f>
        <v>0</v>
      </c>
      <c r="J839" s="21">
        <f>IF(OR($A839="",$F839=""),"",IF($B839="Entrada",$F839,-$F839))</f>
        <v>0</v>
      </c>
      <c r="K839" s="20">
        <f>IF($A839="","",IF(OR($B839="",$C839="",$F839="",$G839=""),"Preencher tudo",IF(IFERROR(INDEX(CatTipo,MATCH($C839,CatNome,0)),"")&lt;&gt;$B839,"Categoria x Tipo?","OK")))</f>
        <v>0</v>
      </c>
    </row>
    <row r="840" spans="1:11">
      <c r="A840" s="18"/>
      <c r="B840" s="19"/>
      <c r="C840" s="15"/>
      <c r="D840" s="15"/>
      <c r="E840" s="15"/>
      <c r="F840" s="17"/>
      <c r="G840" s="19"/>
      <c r="H840" s="20">
        <f>IF($A840="","",YEAR($A840))</f>
        <v>0</v>
      </c>
      <c r="I840" s="20">
        <f>IF($A840="","",MONTH($A840))</f>
        <v>0</v>
      </c>
      <c r="J840" s="21">
        <f>IF(OR($A840="",$F840=""),"",IF($B840="Entrada",$F840,-$F840))</f>
        <v>0</v>
      </c>
      <c r="K840" s="20">
        <f>IF($A840="","",IF(OR($B840="",$C840="",$F840="",$G840=""),"Preencher tudo",IF(IFERROR(INDEX(CatTipo,MATCH($C840,CatNome,0)),"")&lt;&gt;$B840,"Categoria x Tipo?","OK")))</f>
        <v>0</v>
      </c>
    </row>
    <row r="841" spans="1:11">
      <c r="A841" s="18"/>
      <c r="B841" s="19"/>
      <c r="C841" s="15"/>
      <c r="D841" s="15"/>
      <c r="E841" s="15"/>
      <c r="F841" s="17"/>
      <c r="G841" s="19"/>
      <c r="H841" s="20">
        <f>IF($A841="","",YEAR($A841))</f>
        <v>0</v>
      </c>
      <c r="I841" s="20">
        <f>IF($A841="","",MONTH($A841))</f>
        <v>0</v>
      </c>
      <c r="J841" s="21">
        <f>IF(OR($A841="",$F841=""),"",IF($B841="Entrada",$F841,-$F841))</f>
        <v>0</v>
      </c>
      <c r="K841" s="20">
        <f>IF($A841="","",IF(OR($B841="",$C841="",$F841="",$G841=""),"Preencher tudo",IF(IFERROR(INDEX(CatTipo,MATCH($C841,CatNome,0)),"")&lt;&gt;$B841,"Categoria x Tipo?","OK")))</f>
        <v>0</v>
      </c>
    </row>
    <row r="842" spans="1:11">
      <c r="A842" s="18"/>
      <c r="B842" s="19"/>
      <c r="C842" s="15"/>
      <c r="D842" s="15"/>
      <c r="E842" s="15"/>
      <c r="F842" s="17"/>
      <c r="G842" s="19"/>
      <c r="H842" s="20">
        <f>IF($A842="","",YEAR($A842))</f>
        <v>0</v>
      </c>
      <c r="I842" s="20">
        <f>IF($A842="","",MONTH($A842))</f>
        <v>0</v>
      </c>
      <c r="J842" s="21">
        <f>IF(OR($A842="",$F842=""),"",IF($B842="Entrada",$F842,-$F842))</f>
        <v>0</v>
      </c>
      <c r="K842" s="20">
        <f>IF($A842="","",IF(OR($B842="",$C842="",$F842="",$G842=""),"Preencher tudo",IF(IFERROR(INDEX(CatTipo,MATCH($C842,CatNome,0)),"")&lt;&gt;$B842,"Categoria x Tipo?","OK")))</f>
        <v>0</v>
      </c>
    </row>
    <row r="843" spans="1:11">
      <c r="A843" s="18"/>
      <c r="B843" s="19"/>
      <c r="C843" s="15"/>
      <c r="D843" s="15"/>
      <c r="E843" s="15"/>
      <c r="F843" s="17"/>
      <c r="G843" s="19"/>
      <c r="H843" s="20">
        <f>IF($A843="","",YEAR($A843))</f>
        <v>0</v>
      </c>
      <c r="I843" s="20">
        <f>IF($A843="","",MONTH($A843))</f>
        <v>0</v>
      </c>
      <c r="J843" s="21">
        <f>IF(OR($A843="",$F843=""),"",IF($B843="Entrada",$F843,-$F843))</f>
        <v>0</v>
      </c>
      <c r="K843" s="20">
        <f>IF($A843="","",IF(OR($B843="",$C843="",$F843="",$G843=""),"Preencher tudo",IF(IFERROR(INDEX(CatTipo,MATCH($C843,CatNome,0)),"")&lt;&gt;$B843,"Categoria x Tipo?","OK")))</f>
        <v>0</v>
      </c>
    </row>
    <row r="844" spans="1:11">
      <c r="A844" s="18"/>
      <c r="B844" s="19"/>
      <c r="C844" s="15"/>
      <c r="D844" s="15"/>
      <c r="E844" s="15"/>
      <c r="F844" s="17"/>
      <c r="G844" s="19"/>
      <c r="H844" s="20">
        <f>IF($A844="","",YEAR($A844))</f>
        <v>0</v>
      </c>
      <c r="I844" s="20">
        <f>IF($A844="","",MONTH($A844))</f>
        <v>0</v>
      </c>
      <c r="J844" s="21">
        <f>IF(OR($A844="",$F844=""),"",IF($B844="Entrada",$F844,-$F844))</f>
        <v>0</v>
      </c>
      <c r="K844" s="20">
        <f>IF($A844="","",IF(OR($B844="",$C844="",$F844="",$G844=""),"Preencher tudo",IF(IFERROR(INDEX(CatTipo,MATCH($C844,CatNome,0)),"")&lt;&gt;$B844,"Categoria x Tipo?","OK")))</f>
        <v>0</v>
      </c>
    </row>
    <row r="845" spans="1:11">
      <c r="A845" s="18"/>
      <c r="B845" s="19"/>
      <c r="C845" s="15"/>
      <c r="D845" s="15"/>
      <c r="E845" s="15"/>
      <c r="F845" s="17"/>
      <c r="G845" s="19"/>
      <c r="H845" s="20">
        <f>IF($A845="","",YEAR($A845))</f>
        <v>0</v>
      </c>
      <c r="I845" s="20">
        <f>IF($A845="","",MONTH($A845))</f>
        <v>0</v>
      </c>
      <c r="J845" s="21">
        <f>IF(OR($A845="",$F845=""),"",IF($B845="Entrada",$F845,-$F845))</f>
        <v>0</v>
      </c>
      <c r="K845" s="20">
        <f>IF($A845="","",IF(OR($B845="",$C845="",$F845="",$G845=""),"Preencher tudo",IF(IFERROR(INDEX(CatTipo,MATCH($C845,CatNome,0)),"")&lt;&gt;$B845,"Categoria x Tipo?","OK")))</f>
        <v>0</v>
      </c>
    </row>
    <row r="846" spans="1:11">
      <c r="A846" s="18"/>
      <c r="B846" s="19"/>
      <c r="C846" s="15"/>
      <c r="D846" s="15"/>
      <c r="E846" s="15"/>
      <c r="F846" s="17"/>
      <c r="G846" s="19"/>
      <c r="H846" s="20">
        <f>IF($A846="","",YEAR($A846))</f>
        <v>0</v>
      </c>
      <c r="I846" s="20">
        <f>IF($A846="","",MONTH($A846))</f>
        <v>0</v>
      </c>
      <c r="J846" s="21">
        <f>IF(OR($A846="",$F846=""),"",IF($B846="Entrada",$F846,-$F846))</f>
        <v>0</v>
      </c>
      <c r="K846" s="20">
        <f>IF($A846="","",IF(OR($B846="",$C846="",$F846="",$G846=""),"Preencher tudo",IF(IFERROR(INDEX(CatTipo,MATCH($C846,CatNome,0)),"")&lt;&gt;$B846,"Categoria x Tipo?","OK")))</f>
        <v>0</v>
      </c>
    </row>
    <row r="847" spans="1:11">
      <c r="A847" s="18"/>
      <c r="B847" s="19"/>
      <c r="C847" s="15"/>
      <c r="D847" s="15"/>
      <c r="E847" s="15"/>
      <c r="F847" s="17"/>
      <c r="G847" s="19"/>
      <c r="H847" s="20">
        <f>IF($A847="","",YEAR($A847))</f>
        <v>0</v>
      </c>
      <c r="I847" s="20">
        <f>IF($A847="","",MONTH($A847))</f>
        <v>0</v>
      </c>
      <c r="J847" s="21">
        <f>IF(OR($A847="",$F847=""),"",IF($B847="Entrada",$F847,-$F847))</f>
        <v>0</v>
      </c>
      <c r="K847" s="20">
        <f>IF($A847="","",IF(OR($B847="",$C847="",$F847="",$G847=""),"Preencher tudo",IF(IFERROR(INDEX(CatTipo,MATCH($C847,CatNome,0)),"")&lt;&gt;$B847,"Categoria x Tipo?","OK")))</f>
        <v>0</v>
      </c>
    </row>
    <row r="848" spans="1:11">
      <c r="A848" s="18"/>
      <c r="B848" s="19"/>
      <c r="C848" s="15"/>
      <c r="D848" s="15"/>
      <c r="E848" s="15"/>
      <c r="F848" s="17"/>
      <c r="G848" s="19"/>
      <c r="H848" s="20">
        <f>IF($A848="","",YEAR($A848))</f>
        <v>0</v>
      </c>
      <c r="I848" s="20">
        <f>IF($A848="","",MONTH($A848))</f>
        <v>0</v>
      </c>
      <c r="J848" s="21">
        <f>IF(OR($A848="",$F848=""),"",IF($B848="Entrada",$F848,-$F848))</f>
        <v>0</v>
      </c>
      <c r="K848" s="20">
        <f>IF($A848="","",IF(OR($B848="",$C848="",$F848="",$G848=""),"Preencher tudo",IF(IFERROR(INDEX(CatTipo,MATCH($C848,CatNome,0)),"")&lt;&gt;$B848,"Categoria x Tipo?","OK")))</f>
        <v>0</v>
      </c>
    </row>
    <row r="849" spans="1:11">
      <c r="A849" s="18"/>
      <c r="B849" s="19"/>
      <c r="C849" s="15"/>
      <c r="D849" s="15"/>
      <c r="E849" s="15"/>
      <c r="F849" s="17"/>
      <c r="G849" s="19"/>
      <c r="H849" s="20">
        <f>IF($A849="","",YEAR($A849))</f>
        <v>0</v>
      </c>
      <c r="I849" s="20">
        <f>IF($A849="","",MONTH($A849))</f>
        <v>0</v>
      </c>
      <c r="J849" s="21">
        <f>IF(OR($A849="",$F849=""),"",IF($B849="Entrada",$F849,-$F849))</f>
        <v>0</v>
      </c>
      <c r="K849" s="20">
        <f>IF($A849="","",IF(OR($B849="",$C849="",$F849="",$G849=""),"Preencher tudo",IF(IFERROR(INDEX(CatTipo,MATCH($C849,CatNome,0)),"")&lt;&gt;$B849,"Categoria x Tipo?","OK")))</f>
        <v>0</v>
      </c>
    </row>
    <row r="850" spans="1:11">
      <c r="A850" s="18"/>
      <c r="B850" s="19"/>
      <c r="C850" s="15"/>
      <c r="D850" s="15"/>
      <c r="E850" s="15"/>
      <c r="F850" s="17"/>
      <c r="G850" s="19"/>
      <c r="H850" s="20">
        <f>IF($A850="","",YEAR($A850))</f>
        <v>0</v>
      </c>
      <c r="I850" s="20">
        <f>IF($A850="","",MONTH($A850))</f>
        <v>0</v>
      </c>
      <c r="J850" s="21">
        <f>IF(OR($A850="",$F850=""),"",IF($B850="Entrada",$F850,-$F850))</f>
        <v>0</v>
      </c>
      <c r="K850" s="20">
        <f>IF($A850="","",IF(OR($B850="",$C850="",$F850="",$G850=""),"Preencher tudo",IF(IFERROR(INDEX(CatTipo,MATCH($C850,CatNome,0)),"")&lt;&gt;$B850,"Categoria x Tipo?","OK")))</f>
        <v>0</v>
      </c>
    </row>
    <row r="851" spans="1:11">
      <c r="A851" s="18"/>
      <c r="B851" s="19"/>
      <c r="C851" s="15"/>
      <c r="D851" s="15"/>
      <c r="E851" s="15"/>
      <c r="F851" s="17"/>
      <c r="G851" s="19"/>
      <c r="H851" s="20">
        <f>IF($A851="","",YEAR($A851))</f>
        <v>0</v>
      </c>
      <c r="I851" s="20">
        <f>IF($A851="","",MONTH($A851))</f>
        <v>0</v>
      </c>
      <c r="J851" s="21">
        <f>IF(OR($A851="",$F851=""),"",IF($B851="Entrada",$F851,-$F851))</f>
        <v>0</v>
      </c>
      <c r="K851" s="20">
        <f>IF($A851="","",IF(OR($B851="",$C851="",$F851="",$G851=""),"Preencher tudo",IF(IFERROR(INDEX(CatTipo,MATCH($C851,CatNome,0)),"")&lt;&gt;$B851,"Categoria x Tipo?","OK")))</f>
        <v>0</v>
      </c>
    </row>
    <row r="852" spans="1:11">
      <c r="A852" s="18"/>
      <c r="B852" s="19"/>
      <c r="C852" s="15"/>
      <c r="D852" s="15"/>
      <c r="E852" s="15"/>
      <c r="F852" s="17"/>
      <c r="G852" s="19"/>
      <c r="H852" s="20">
        <f>IF($A852="","",YEAR($A852))</f>
        <v>0</v>
      </c>
      <c r="I852" s="20">
        <f>IF($A852="","",MONTH($A852))</f>
        <v>0</v>
      </c>
      <c r="J852" s="21">
        <f>IF(OR($A852="",$F852=""),"",IF($B852="Entrada",$F852,-$F852))</f>
        <v>0</v>
      </c>
      <c r="K852" s="20">
        <f>IF($A852="","",IF(OR($B852="",$C852="",$F852="",$G852=""),"Preencher tudo",IF(IFERROR(INDEX(CatTipo,MATCH($C852,CatNome,0)),"")&lt;&gt;$B852,"Categoria x Tipo?","OK")))</f>
        <v>0</v>
      </c>
    </row>
    <row r="853" spans="1:11">
      <c r="A853" s="18"/>
      <c r="B853" s="19"/>
      <c r="C853" s="15"/>
      <c r="D853" s="15"/>
      <c r="E853" s="15"/>
      <c r="F853" s="17"/>
      <c r="G853" s="19"/>
      <c r="H853" s="20">
        <f>IF($A853="","",YEAR($A853))</f>
        <v>0</v>
      </c>
      <c r="I853" s="20">
        <f>IF($A853="","",MONTH($A853))</f>
        <v>0</v>
      </c>
      <c r="J853" s="21">
        <f>IF(OR($A853="",$F853=""),"",IF($B853="Entrada",$F853,-$F853))</f>
        <v>0</v>
      </c>
      <c r="K853" s="20">
        <f>IF($A853="","",IF(OR($B853="",$C853="",$F853="",$G853=""),"Preencher tudo",IF(IFERROR(INDEX(CatTipo,MATCH($C853,CatNome,0)),"")&lt;&gt;$B853,"Categoria x Tipo?","OK")))</f>
        <v>0</v>
      </c>
    </row>
    <row r="854" spans="1:11">
      <c r="A854" s="18"/>
      <c r="B854" s="19"/>
      <c r="C854" s="15"/>
      <c r="D854" s="15"/>
      <c r="E854" s="15"/>
      <c r="F854" s="17"/>
      <c r="G854" s="19"/>
      <c r="H854" s="20">
        <f>IF($A854="","",YEAR($A854))</f>
        <v>0</v>
      </c>
      <c r="I854" s="20">
        <f>IF($A854="","",MONTH($A854))</f>
        <v>0</v>
      </c>
      <c r="J854" s="21">
        <f>IF(OR($A854="",$F854=""),"",IF($B854="Entrada",$F854,-$F854))</f>
        <v>0</v>
      </c>
      <c r="K854" s="20">
        <f>IF($A854="","",IF(OR($B854="",$C854="",$F854="",$G854=""),"Preencher tudo",IF(IFERROR(INDEX(CatTipo,MATCH($C854,CatNome,0)),"")&lt;&gt;$B854,"Categoria x Tipo?","OK")))</f>
        <v>0</v>
      </c>
    </row>
    <row r="855" spans="1:11">
      <c r="A855" s="18"/>
      <c r="B855" s="19"/>
      <c r="C855" s="15"/>
      <c r="D855" s="15"/>
      <c r="E855" s="15"/>
      <c r="F855" s="17"/>
      <c r="G855" s="19"/>
      <c r="H855" s="20">
        <f>IF($A855="","",YEAR($A855))</f>
        <v>0</v>
      </c>
      <c r="I855" s="20">
        <f>IF($A855="","",MONTH($A855))</f>
        <v>0</v>
      </c>
      <c r="J855" s="21">
        <f>IF(OR($A855="",$F855=""),"",IF($B855="Entrada",$F855,-$F855))</f>
        <v>0</v>
      </c>
      <c r="K855" s="20">
        <f>IF($A855="","",IF(OR($B855="",$C855="",$F855="",$G855=""),"Preencher tudo",IF(IFERROR(INDEX(CatTipo,MATCH($C855,CatNome,0)),"")&lt;&gt;$B855,"Categoria x Tipo?","OK")))</f>
        <v>0</v>
      </c>
    </row>
    <row r="856" spans="1:11">
      <c r="A856" s="18"/>
      <c r="B856" s="19"/>
      <c r="C856" s="15"/>
      <c r="D856" s="15"/>
      <c r="E856" s="15"/>
      <c r="F856" s="17"/>
      <c r="G856" s="19"/>
      <c r="H856" s="20">
        <f>IF($A856="","",YEAR($A856))</f>
        <v>0</v>
      </c>
      <c r="I856" s="20">
        <f>IF($A856="","",MONTH($A856))</f>
        <v>0</v>
      </c>
      <c r="J856" s="21">
        <f>IF(OR($A856="",$F856=""),"",IF($B856="Entrada",$F856,-$F856))</f>
        <v>0</v>
      </c>
      <c r="K856" s="20">
        <f>IF($A856="","",IF(OR($B856="",$C856="",$F856="",$G856=""),"Preencher tudo",IF(IFERROR(INDEX(CatTipo,MATCH($C856,CatNome,0)),"")&lt;&gt;$B856,"Categoria x Tipo?","OK")))</f>
        <v>0</v>
      </c>
    </row>
    <row r="857" spans="1:11">
      <c r="A857" s="18"/>
      <c r="B857" s="19"/>
      <c r="C857" s="15"/>
      <c r="D857" s="15"/>
      <c r="E857" s="15"/>
      <c r="F857" s="17"/>
      <c r="G857" s="19"/>
      <c r="H857" s="20">
        <f>IF($A857="","",YEAR($A857))</f>
        <v>0</v>
      </c>
      <c r="I857" s="20">
        <f>IF($A857="","",MONTH($A857))</f>
        <v>0</v>
      </c>
      <c r="J857" s="21">
        <f>IF(OR($A857="",$F857=""),"",IF($B857="Entrada",$F857,-$F857))</f>
        <v>0</v>
      </c>
      <c r="K857" s="20">
        <f>IF($A857="","",IF(OR($B857="",$C857="",$F857="",$G857=""),"Preencher tudo",IF(IFERROR(INDEX(CatTipo,MATCH($C857,CatNome,0)),"")&lt;&gt;$B857,"Categoria x Tipo?","OK")))</f>
        <v>0</v>
      </c>
    </row>
    <row r="858" spans="1:11">
      <c r="A858" s="18"/>
      <c r="B858" s="19"/>
      <c r="C858" s="15"/>
      <c r="D858" s="15"/>
      <c r="E858" s="15"/>
      <c r="F858" s="17"/>
      <c r="G858" s="19"/>
      <c r="H858" s="20">
        <f>IF($A858="","",YEAR($A858))</f>
        <v>0</v>
      </c>
      <c r="I858" s="20">
        <f>IF($A858="","",MONTH($A858))</f>
        <v>0</v>
      </c>
      <c r="J858" s="21">
        <f>IF(OR($A858="",$F858=""),"",IF($B858="Entrada",$F858,-$F858))</f>
        <v>0</v>
      </c>
      <c r="K858" s="20">
        <f>IF($A858="","",IF(OR($B858="",$C858="",$F858="",$G858=""),"Preencher tudo",IF(IFERROR(INDEX(CatTipo,MATCH($C858,CatNome,0)),"")&lt;&gt;$B858,"Categoria x Tipo?","OK")))</f>
        <v>0</v>
      </c>
    </row>
    <row r="859" spans="1:11">
      <c r="A859" s="18"/>
      <c r="B859" s="19"/>
      <c r="C859" s="15"/>
      <c r="D859" s="15"/>
      <c r="E859" s="15"/>
      <c r="F859" s="17"/>
      <c r="G859" s="19"/>
      <c r="H859" s="20">
        <f>IF($A859="","",YEAR($A859))</f>
        <v>0</v>
      </c>
      <c r="I859" s="20">
        <f>IF($A859="","",MONTH($A859))</f>
        <v>0</v>
      </c>
      <c r="J859" s="21">
        <f>IF(OR($A859="",$F859=""),"",IF($B859="Entrada",$F859,-$F859))</f>
        <v>0</v>
      </c>
      <c r="K859" s="20">
        <f>IF($A859="","",IF(OR($B859="",$C859="",$F859="",$G859=""),"Preencher tudo",IF(IFERROR(INDEX(CatTipo,MATCH($C859,CatNome,0)),"")&lt;&gt;$B859,"Categoria x Tipo?","OK")))</f>
        <v>0</v>
      </c>
    </row>
    <row r="860" spans="1:11">
      <c r="A860" s="18"/>
      <c r="B860" s="19"/>
      <c r="C860" s="15"/>
      <c r="D860" s="15"/>
      <c r="E860" s="15"/>
      <c r="F860" s="17"/>
      <c r="G860" s="19"/>
      <c r="H860" s="20">
        <f>IF($A860="","",YEAR($A860))</f>
        <v>0</v>
      </c>
      <c r="I860" s="20">
        <f>IF($A860="","",MONTH($A860))</f>
        <v>0</v>
      </c>
      <c r="J860" s="21">
        <f>IF(OR($A860="",$F860=""),"",IF($B860="Entrada",$F860,-$F860))</f>
        <v>0</v>
      </c>
      <c r="K860" s="20">
        <f>IF($A860="","",IF(OR($B860="",$C860="",$F860="",$G860=""),"Preencher tudo",IF(IFERROR(INDEX(CatTipo,MATCH($C860,CatNome,0)),"")&lt;&gt;$B860,"Categoria x Tipo?","OK")))</f>
        <v>0</v>
      </c>
    </row>
    <row r="861" spans="1:11">
      <c r="A861" s="18"/>
      <c r="B861" s="19"/>
      <c r="C861" s="15"/>
      <c r="D861" s="15"/>
      <c r="E861" s="15"/>
      <c r="F861" s="17"/>
      <c r="G861" s="19"/>
      <c r="H861" s="20">
        <f>IF($A861="","",YEAR($A861))</f>
        <v>0</v>
      </c>
      <c r="I861" s="20">
        <f>IF($A861="","",MONTH($A861))</f>
        <v>0</v>
      </c>
      <c r="J861" s="21">
        <f>IF(OR($A861="",$F861=""),"",IF($B861="Entrada",$F861,-$F861))</f>
        <v>0</v>
      </c>
      <c r="K861" s="20">
        <f>IF($A861="","",IF(OR($B861="",$C861="",$F861="",$G861=""),"Preencher tudo",IF(IFERROR(INDEX(CatTipo,MATCH($C861,CatNome,0)),"")&lt;&gt;$B861,"Categoria x Tipo?","OK")))</f>
        <v>0</v>
      </c>
    </row>
    <row r="862" spans="1:11">
      <c r="A862" s="18"/>
      <c r="B862" s="19"/>
      <c r="C862" s="15"/>
      <c r="D862" s="15"/>
      <c r="E862" s="15"/>
      <c r="F862" s="17"/>
      <c r="G862" s="19"/>
      <c r="H862" s="20">
        <f>IF($A862="","",YEAR($A862))</f>
        <v>0</v>
      </c>
      <c r="I862" s="20">
        <f>IF($A862="","",MONTH($A862))</f>
        <v>0</v>
      </c>
      <c r="J862" s="21">
        <f>IF(OR($A862="",$F862=""),"",IF($B862="Entrada",$F862,-$F862))</f>
        <v>0</v>
      </c>
      <c r="K862" s="20">
        <f>IF($A862="","",IF(OR($B862="",$C862="",$F862="",$G862=""),"Preencher tudo",IF(IFERROR(INDEX(CatTipo,MATCH($C862,CatNome,0)),"")&lt;&gt;$B862,"Categoria x Tipo?","OK")))</f>
        <v>0</v>
      </c>
    </row>
    <row r="863" spans="1:11">
      <c r="A863" s="18"/>
      <c r="B863" s="19"/>
      <c r="C863" s="15"/>
      <c r="D863" s="15"/>
      <c r="E863" s="15"/>
      <c r="F863" s="17"/>
      <c r="G863" s="19"/>
      <c r="H863" s="20">
        <f>IF($A863="","",YEAR($A863))</f>
        <v>0</v>
      </c>
      <c r="I863" s="20">
        <f>IF($A863="","",MONTH($A863))</f>
        <v>0</v>
      </c>
      <c r="J863" s="21">
        <f>IF(OR($A863="",$F863=""),"",IF($B863="Entrada",$F863,-$F863))</f>
        <v>0</v>
      </c>
      <c r="K863" s="20">
        <f>IF($A863="","",IF(OR($B863="",$C863="",$F863="",$G863=""),"Preencher tudo",IF(IFERROR(INDEX(CatTipo,MATCH($C863,CatNome,0)),"")&lt;&gt;$B863,"Categoria x Tipo?","OK")))</f>
        <v>0</v>
      </c>
    </row>
    <row r="864" spans="1:11">
      <c r="A864" s="18"/>
      <c r="B864" s="19"/>
      <c r="C864" s="15"/>
      <c r="D864" s="15"/>
      <c r="E864" s="15"/>
      <c r="F864" s="17"/>
      <c r="G864" s="19"/>
      <c r="H864" s="20">
        <f>IF($A864="","",YEAR($A864))</f>
        <v>0</v>
      </c>
      <c r="I864" s="20">
        <f>IF($A864="","",MONTH($A864))</f>
        <v>0</v>
      </c>
      <c r="J864" s="21">
        <f>IF(OR($A864="",$F864=""),"",IF($B864="Entrada",$F864,-$F864))</f>
        <v>0</v>
      </c>
      <c r="K864" s="20">
        <f>IF($A864="","",IF(OR($B864="",$C864="",$F864="",$G864=""),"Preencher tudo",IF(IFERROR(INDEX(CatTipo,MATCH($C864,CatNome,0)),"")&lt;&gt;$B864,"Categoria x Tipo?","OK")))</f>
        <v>0</v>
      </c>
    </row>
    <row r="865" spans="1:11">
      <c r="A865" s="18"/>
      <c r="B865" s="19"/>
      <c r="C865" s="15"/>
      <c r="D865" s="15"/>
      <c r="E865" s="15"/>
      <c r="F865" s="17"/>
      <c r="G865" s="19"/>
      <c r="H865" s="20">
        <f>IF($A865="","",YEAR($A865))</f>
        <v>0</v>
      </c>
      <c r="I865" s="20">
        <f>IF($A865="","",MONTH($A865))</f>
        <v>0</v>
      </c>
      <c r="J865" s="21">
        <f>IF(OR($A865="",$F865=""),"",IF($B865="Entrada",$F865,-$F865))</f>
        <v>0</v>
      </c>
      <c r="K865" s="20">
        <f>IF($A865="","",IF(OR($B865="",$C865="",$F865="",$G865=""),"Preencher tudo",IF(IFERROR(INDEX(CatTipo,MATCH($C865,CatNome,0)),"")&lt;&gt;$B865,"Categoria x Tipo?","OK")))</f>
        <v>0</v>
      </c>
    </row>
    <row r="866" spans="1:11">
      <c r="A866" s="18"/>
      <c r="B866" s="19"/>
      <c r="C866" s="15"/>
      <c r="D866" s="15"/>
      <c r="E866" s="15"/>
      <c r="F866" s="17"/>
      <c r="G866" s="19"/>
      <c r="H866" s="20">
        <f>IF($A866="","",YEAR($A866))</f>
        <v>0</v>
      </c>
      <c r="I866" s="20">
        <f>IF($A866="","",MONTH($A866))</f>
        <v>0</v>
      </c>
      <c r="J866" s="21">
        <f>IF(OR($A866="",$F866=""),"",IF($B866="Entrada",$F866,-$F866))</f>
        <v>0</v>
      </c>
      <c r="K866" s="20">
        <f>IF($A866="","",IF(OR($B866="",$C866="",$F866="",$G866=""),"Preencher tudo",IF(IFERROR(INDEX(CatTipo,MATCH($C866,CatNome,0)),"")&lt;&gt;$B866,"Categoria x Tipo?","OK")))</f>
        <v>0</v>
      </c>
    </row>
    <row r="867" spans="1:11">
      <c r="A867" s="18"/>
      <c r="B867" s="19"/>
      <c r="C867" s="15"/>
      <c r="D867" s="15"/>
      <c r="E867" s="15"/>
      <c r="F867" s="17"/>
      <c r="G867" s="19"/>
      <c r="H867" s="20">
        <f>IF($A867="","",YEAR($A867))</f>
        <v>0</v>
      </c>
      <c r="I867" s="20">
        <f>IF($A867="","",MONTH($A867))</f>
        <v>0</v>
      </c>
      <c r="J867" s="21">
        <f>IF(OR($A867="",$F867=""),"",IF($B867="Entrada",$F867,-$F867))</f>
        <v>0</v>
      </c>
      <c r="K867" s="20">
        <f>IF($A867="","",IF(OR($B867="",$C867="",$F867="",$G867=""),"Preencher tudo",IF(IFERROR(INDEX(CatTipo,MATCH($C867,CatNome,0)),"")&lt;&gt;$B867,"Categoria x Tipo?","OK")))</f>
        <v>0</v>
      </c>
    </row>
    <row r="868" spans="1:11">
      <c r="A868" s="18"/>
      <c r="B868" s="19"/>
      <c r="C868" s="15"/>
      <c r="D868" s="15"/>
      <c r="E868" s="15"/>
      <c r="F868" s="17"/>
      <c r="G868" s="19"/>
      <c r="H868" s="20">
        <f>IF($A868="","",YEAR($A868))</f>
        <v>0</v>
      </c>
      <c r="I868" s="20">
        <f>IF($A868="","",MONTH($A868))</f>
        <v>0</v>
      </c>
      <c r="J868" s="21">
        <f>IF(OR($A868="",$F868=""),"",IF($B868="Entrada",$F868,-$F868))</f>
        <v>0</v>
      </c>
      <c r="K868" s="20">
        <f>IF($A868="","",IF(OR($B868="",$C868="",$F868="",$G868=""),"Preencher tudo",IF(IFERROR(INDEX(CatTipo,MATCH($C868,CatNome,0)),"")&lt;&gt;$B868,"Categoria x Tipo?","OK")))</f>
        <v>0</v>
      </c>
    </row>
    <row r="869" spans="1:11">
      <c r="A869" s="18"/>
      <c r="B869" s="19"/>
      <c r="C869" s="15"/>
      <c r="D869" s="15"/>
      <c r="E869" s="15"/>
      <c r="F869" s="17"/>
      <c r="G869" s="19"/>
      <c r="H869" s="20">
        <f>IF($A869="","",YEAR($A869))</f>
        <v>0</v>
      </c>
      <c r="I869" s="20">
        <f>IF($A869="","",MONTH($A869))</f>
        <v>0</v>
      </c>
      <c r="J869" s="21">
        <f>IF(OR($A869="",$F869=""),"",IF($B869="Entrada",$F869,-$F869))</f>
        <v>0</v>
      </c>
      <c r="K869" s="20">
        <f>IF($A869="","",IF(OR($B869="",$C869="",$F869="",$G869=""),"Preencher tudo",IF(IFERROR(INDEX(CatTipo,MATCH($C869,CatNome,0)),"")&lt;&gt;$B869,"Categoria x Tipo?","OK")))</f>
        <v>0</v>
      </c>
    </row>
    <row r="870" spans="1:11">
      <c r="A870" s="18"/>
      <c r="B870" s="19"/>
      <c r="C870" s="15"/>
      <c r="D870" s="15"/>
      <c r="E870" s="15"/>
      <c r="F870" s="17"/>
      <c r="G870" s="19"/>
      <c r="H870" s="20">
        <f>IF($A870="","",YEAR($A870))</f>
        <v>0</v>
      </c>
      <c r="I870" s="20">
        <f>IF($A870="","",MONTH($A870))</f>
        <v>0</v>
      </c>
      <c r="J870" s="21">
        <f>IF(OR($A870="",$F870=""),"",IF($B870="Entrada",$F870,-$F870))</f>
        <v>0</v>
      </c>
      <c r="K870" s="20">
        <f>IF($A870="","",IF(OR($B870="",$C870="",$F870="",$G870=""),"Preencher tudo",IF(IFERROR(INDEX(CatTipo,MATCH($C870,CatNome,0)),"")&lt;&gt;$B870,"Categoria x Tipo?","OK")))</f>
        <v>0</v>
      </c>
    </row>
    <row r="871" spans="1:11">
      <c r="A871" s="18"/>
      <c r="B871" s="19"/>
      <c r="C871" s="15"/>
      <c r="D871" s="15"/>
      <c r="E871" s="15"/>
      <c r="F871" s="17"/>
      <c r="G871" s="19"/>
      <c r="H871" s="20">
        <f>IF($A871="","",YEAR($A871))</f>
        <v>0</v>
      </c>
      <c r="I871" s="20">
        <f>IF($A871="","",MONTH($A871))</f>
        <v>0</v>
      </c>
      <c r="J871" s="21">
        <f>IF(OR($A871="",$F871=""),"",IF($B871="Entrada",$F871,-$F871))</f>
        <v>0</v>
      </c>
      <c r="K871" s="20">
        <f>IF($A871="","",IF(OR($B871="",$C871="",$F871="",$G871=""),"Preencher tudo",IF(IFERROR(INDEX(CatTipo,MATCH($C871,CatNome,0)),"")&lt;&gt;$B871,"Categoria x Tipo?","OK")))</f>
        <v>0</v>
      </c>
    </row>
    <row r="872" spans="1:11">
      <c r="A872" s="18"/>
      <c r="B872" s="19"/>
      <c r="C872" s="15"/>
      <c r="D872" s="15"/>
      <c r="E872" s="15"/>
      <c r="F872" s="17"/>
      <c r="G872" s="19"/>
      <c r="H872" s="20">
        <f>IF($A872="","",YEAR($A872))</f>
        <v>0</v>
      </c>
      <c r="I872" s="20">
        <f>IF($A872="","",MONTH($A872))</f>
        <v>0</v>
      </c>
      <c r="J872" s="21">
        <f>IF(OR($A872="",$F872=""),"",IF($B872="Entrada",$F872,-$F872))</f>
        <v>0</v>
      </c>
      <c r="K872" s="20">
        <f>IF($A872="","",IF(OR($B872="",$C872="",$F872="",$G872=""),"Preencher tudo",IF(IFERROR(INDEX(CatTipo,MATCH($C872,CatNome,0)),"")&lt;&gt;$B872,"Categoria x Tipo?","OK")))</f>
        <v>0</v>
      </c>
    </row>
    <row r="873" spans="1:11">
      <c r="A873" s="18"/>
      <c r="B873" s="19"/>
      <c r="C873" s="15"/>
      <c r="D873" s="15"/>
      <c r="E873" s="15"/>
      <c r="F873" s="17"/>
      <c r="G873" s="19"/>
      <c r="H873" s="20">
        <f>IF($A873="","",YEAR($A873))</f>
        <v>0</v>
      </c>
      <c r="I873" s="20">
        <f>IF($A873="","",MONTH($A873))</f>
        <v>0</v>
      </c>
      <c r="J873" s="21">
        <f>IF(OR($A873="",$F873=""),"",IF($B873="Entrada",$F873,-$F873))</f>
        <v>0</v>
      </c>
      <c r="K873" s="20">
        <f>IF($A873="","",IF(OR($B873="",$C873="",$F873="",$G873=""),"Preencher tudo",IF(IFERROR(INDEX(CatTipo,MATCH($C873,CatNome,0)),"")&lt;&gt;$B873,"Categoria x Tipo?","OK")))</f>
        <v>0</v>
      </c>
    </row>
    <row r="874" spans="1:11">
      <c r="A874" s="18"/>
      <c r="B874" s="19"/>
      <c r="C874" s="15"/>
      <c r="D874" s="15"/>
      <c r="E874" s="15"/>
      <c r="F874" s="17"/>
      <c r="G874" s="19"/>
      <c r="H874" s="20">
        <f>IF($A874="","",YEAR($A874))</f>
        <v>0</v>
      </c>
      <c r="I874" s="20">
        <f>IF($A874="","",MONTH($A874))</f>
        <v>0</v>
      </c>
      <c r="J874" s="21">
        <f>IF(OR($A874="",$F874=""),"",IF($B874="Entrada",$F874,-$F874))</f>
        <v>0</v>
      </c>
      <c r="K874" s="20">
        <f>IF($A874="","",IF(OR($B874="",$C874="",$F874="",$G874=""),"Preencher tudo",IF(IFERROR(INDEX(CatTipo,MATCH($C874,CatNome,0)),"")&lt;&gt;$B874,"Categoria x Tipo?","OK")))</f>
        <v>0</v>
      </c>
    </row>
    <row r="875" spans="1:11">
      <c r="A875" s="18"/>
      <c r="B875" s="19"/>
      <c r="C875" s="15"/>
      <c r="D875" s="15"/>
      <c r="E875" s="15"/>
      <c r="F875" s="17"/>
      <c r="G875" s="19"/>
      <c r="H875" s="20">
        <f>IF($A875="","",YEAR($A875))</f>
        <v>0</v>
      </c>
      <c r="I875" s="20">
        <f>IF($A875="","",MONTH($A875))</f>
        <v>0</v>
      </c>
      <c r="J875" s="21">
        <f>IF(OR($A875="",$F875=""),"",IF($B875="Entrada",$F875,-$F875))</f>
        <v>0</v>
      </c>
      <c r="K875" s="20">
        <f>IF($A875="","",IF(OR($B875="",$C875="",$F875="",$G875=""),"Preencher tudo",IF(IFERROR(INDEX(CatTipo,MATCH($C875,CatNome,0)),"")&lt;&gt;$B875,"Categoria x Tipo?","OK")))</f>
        <v>0</v>
      </c>
    </row>
    <row r="876" spans="1:11">
      <c r="A876" s="18"/>
      <c r="B876" s="19"/>
      <c r="C876" s="15"/>
      <c r="D876" s="15"/>
      <c r="E876" s="15"/>
      <c r="F876" s="17"/>
      <c r="G876" s="19"/>
      <c r="H876" s="20">
        <f>IF($A876="","",YEAR($A876))</f>
        <v>0</v>
      </c>
      <c r="I876" s="20">
        <f>IF($A876="","",MONTH($A876))</f>
        <v>0</v>
      </c>
      <c r="J876" s="21">
        <f>IF(OR($A876="",$F876=""),"",IF($B876="Entrada",$F876,-$F876))</f>
        <v>0</v>
      </c>
      <c r="K876" s="20">
        <f>IF($A876="","",IF(OR($B876="",$C876="",$F876="",$G876=""),"Preencher tudo",IF(IFERROR(INDEX(CatTipo,MATCH($C876,CatNome,0)),"")&lt;&gt;$B876,"Categoria x Tipo?","OK")))</f>
        <v>0</v>
      </c>
    </row>
    <row r="877" spans="1:11">
      <c r="A877" s="18"/>
      <c r="B877" s="19"/>
      <c r="C877" s="15"/>
      <c r="D877" s="15"/>
      <c r="E877" s="15"/>
      <c r="F877" s="17"/>
      <c r="G877" s="19"/>
      <c r="H877" s="20">
        <f>IF($A877="","",YEAR($A877))</f>
        <v>0</v>
      </c>
      <c r="I877" s="20">
        <f>IF($A877="","",MONTH($A877))</f>
        <v>0</v>
      </c>
      <c r="J877" s="21">
        <f>IF(OR($A877="",$F877=""),"",IF($B877="Entrada",$F877,-$F877))</f>
        <v>0</v>
      </c>
      <c r="K877" s="20">
        <f>IF($A877="","",IF(OR($B877="",$C877="",$F877="",$G877=""),"Preencher tudo",IF(IFERROR(INDEX(CatTipo,MATCH($C877,CatNome,0)),"")&lt;&gt;$B877,"Categoria x Tipo?","OK")))</f>
        <v>0</v>
      </c>
    </row>
    <row r="878" spans="1:11">
      <c r="A878" s="18"/>
      <c r="B878" s="19"/>
      <c r="C878" s="15"/>
      <c r="D878" s="15"/>
      <c r="E878" s="15"/>
      <c r="F878" s="17"/>
      <c r="G878" s="19"/>
      <c r="H878" s="20">
        <f>IF($A878="","",YEAR($A878))</f>
        <v>0</v>
      </c>
      <c r="I878" s="20">
        <f>IF($A878="","",MONTH($A878))</f>
        <v>0</v>
      </c>
      <c r="J878" s="21">
        <f>IF(OR($A878="",$F878=""),"",IF($B878="Entrada",$F878,-$F878))</f>
        <v>0</v>
      </c>
      <c r="K878" s="20">
        <f>IF($A878="","",IF(OR($B878="",$C878="",$F878="",$G878=""),"Preencher tudo",IF(IFERROR(INDEX(CatTipo,MATCH($C878,CatNome,0)),"")&lt;&gt;$B878,"Categoria x Tipo?","OK")))</f>
        <v>0</v>
      </c>
    </row>
    <row r="879" spans="1:11">
      <c r="A879" s="18"/>
      <c r="B879" s="19"/>
      <c r="C879" s="15"/>
      <c r="D879" s="15"/>
      <c r="E879" s="15"/>
      <c r="F879" s="17"/>
      <c r="G879" s="19"/>
      <c r="H879" s="20">
        <f>IF($A879="","",YEAR($A879))</f>
        <v>0</v>
      </c>
      <c r="I879" s="20">
        <f>IF($A879="","",MONTH($A879))</f>
        <v>0</v>
      </c>
      <c r="J879" s="21">
        <f>IF(OR($A879="",$F879=""),"",IF($B879="Entrada",$F879,-$F879))</f>
        <v>0</v>
      </c>
      <c r="K879" s="20">
        <f>IF($A879="","",IF(OR($B879="",$C879="",$F879="",$G879=""),"Preencher tudo",IF(IFERROR(INDEX(CatTipo,MATCH($C879,CatNome,0)),"")&lt;&gt;$B879,"Categoria x Tipo?","OK")))</f>
        <v>0</v>
      </c>
    </row>
    <row r="880" spans="1:11">
      <c r="A880" s="18"/>
      <c r="B880" s="19"/>
      <c r="C880" s="15"/>
      <c r="D880" s="15"/>
      <c r="E880" s="15"/>
      <c r="F880" s="17"/>
      <c r="G880" s="19"/>
      <c r="H880" s="20">
        <f>IF($A880="","",YEAR($A880))</f>
        <v>0</v>
      </c>
      <c r="I880" s="20">
        <f>IF($A880="","",MONTH($A880))</f>
        <v>0</v>
      </c>
      <c r="J880" s="21">
        <f>IF(OR($A880="",$F880=""),"",IF($B880="Entrada",$F880,-$F880))</f>
        <v>0</v>
      </c>
      <c r="K880" s="20">
        <f>IF($A880="","",IF(OR($B880="",$C880="",$F880="",$G880=""),"Preencher tudo",IF(IFERROR(INDEX(CatTipo,MATCH($C880,CatNome,0)),"")&lt;&gt;$B880,"Categoria x Tipo?","OK")))</f>
        <v>0</v>
      </c>
    </row>
    <row r="881" spans="1:11">
      <c r="A881" s="18"/>
      <c r="B881" s="19"/>
      <c r="C881" s="15"/>
      <c r="D881" s="15"/>
      <c r="E881" s="15"/>
      <c r="F881" s="17"/>
      <c r="G881" s="19"/>
      <c r="H881" s="20">
        <f>IF($A881="","",YEAR($A881))</f>
        <v>0</v>
      </c>
      <c r="I881" s="20">
        <f>IF($A881="","",MONTH($A881))</f>
        <v>0</v>
      </c>
      <c r="J881" s="21">
        <f>IF(OR($A881="",$F881=""),"",IF($B881="Entrada",$F881,-$F881))</f>
        <v>0</v>
      </c>
      <c r="K881" s="20">
        <f>IF($A881="","",IF(OR($B881="",$C881="",$F881="",$G881=""),"Preencher tudo",IF(IFERROR(INDEX(CatTipo,MATCH($C881,CatNome,0)),"")&lt;&gt;$B881,"Categoria x Tipo?","OK")))</f>
        <v>0</v>
      </c>
    </row>
    <row r="882" spans="1:11">
      <c r="A882" s="18"/>
      <c r="B882" s="19"/>
      <c r="C882" s="15"/>
      <c r="D882" s="15"/>
      <c r="E882" s="15"/>
      <c r="F882" s="17"/>
      <c r="G882" s="19"/>
      <c r="H882" s="20">
        <f>IF($A882="","",YEAR($A882))</f>
        <v>0</v>
      </c>
      <c r="I882" s="20">
        <f>IF($A882="","",MONTH($A882))</f>
        <v>0</v>
      </c>
      <c r="J882" s="21">
        <f>IF(OR($A882="",$F882=""),"",IF($B882="Entrada",$F882,-$F882))</f>
        <v>0</v>
      </c>
      <c r="K882" s="20">
        <f>IF($A882="","",IF(OR($B882="",$C882="",$F882="",$G882=""),"Preencher tudo",IF(IFERROR(INDEX(CatTipo,MATCH($C882,CatNome,0)),"")&lt;&gt;$B882,"Categoria x Tipo?","OK")))</f>
        <v>0</v>
      </c>
    </row>
    <row r="883" spans="1:11">
      <c r="A883" s="18"/>
      <c r="B883" s="19"/>
      <c r="C883" s="15"/>
      <c r="D883" s="15"/>
      <c r="E883" s="15"/>
      <c r="F883" s="17"/>
      <c r="G883" s="19"/>
      <c r="H883" s="20">
        <f>IF($A883="","",YEAR($A883))</f>
        <v>0</v>
      </c>
      <c r="I883" s="20">
        <f>IF($A883="","",MONTH($A883))</f>
        <v>0</v>
      </c>
      <c r="J883" s="21">
        <f>IF(OR($A883="",$F883=""),"",IF($B883="Entrada",$F883,-$F883))</f>
        <v>0</v>
      </c>
      <c r="K883" s="20">
        <f>IF($A883="","",IF(OR($B883="",$C883="",$F883="",$G883=""),"Preencher tudo",IF(IFERROR(INDEX(CatTipo,MATCH($C883,CatNome,0)),"")&lt;&gt;$B883,"Categoria x Tipo?","OK")))</f>
        <v>0</v>
      </c>
    </row>
    <row r="884" spans="1:11">
      <c r="A884" s="18"/>
      <c r="B884" s="19"/>
      <c r="C884" s="15"/>
      <c r="D884" s="15"/>
      <c r="E884" s="15"/>
      <c r="F884" s="17"/>
      <c r="G884" s="19"/>
      <c r="H884" s="20">
        <f>IF($A884="","",YEAR($A884))</f>
        <v>0</v>
      </c>
      <c r="I884" s="20">
        <f>IF($A884="","",MONTH($A884))</f>
        <v>0</v>
      </c>
      <c r="J884" s="21">
        <f>IF(OR($A884="",$F884=""),"",IF($B884="Entrada",$F884,-$F884))</f>
        <v>0</v>
      </c>
      <c r="K884" s="20">
        <f>IF($A884="","",IF(OR($B884="",$C884="",$F884="",$G884=""),"Preencher tudo",IF(IFERROR(INDEX(CatTipo,MATCH($C884,CatNome,0)),"")&lt;&gt;$B884,"Categoria x Tipo?","OK")))</f>
        <v>0</v>
      </c>
    </row>
    <row r="885" spans="1:11">
      <c r="A885" s="18"/>
      <c r="B885" s="19"/>
      <c r="C885" s="15"/>
      <c r="D885" s="15"/>
      <c r="E885" s="15"/>
      <c r="F885" s="17"/>
      <c r="G885" s="19"/>
      <c r="H885" s="20">
        <f>IF($A885="","",YEAR($A885))</f>
        <v>0</v>
      </c>
      <c r="I885" s="20">
        <f>IF($A885="","",MONTH($A885))</f>
        <v>0</v>
      </c>
      <c r="J885" s="21">
        <f>IF(OR($A885="",$F885=""),"",IF($B885="Entrada",$F885,-$F885))</f>
        <v>0</v>
      </c>
      <c r="K885" s="20">
        <f>IF($A885="","",IF(OR($B885="",$C885="",$F885="",$G885=""),"Preencher tudo",IF(IFERROR(INDEX(CatTipo,MATCH($C885,CatNome,0)),"")&lt;&gt;$B885,"Categoria x Tipo?","OK")))</f>
        <v>0</v>
      </c>
    </row>
    <row r="886" spans="1:11">
      <c r="A886" s="18"/>
      <c r="B886" s="19"/>
      <c r="C886" s="15"/>
      <c r="D886" s="15"/>
      <c r="E886" s="15"/>
      <c r="F886" s="17"/>
      <c r="G886" s="19"/>
      <c r="H886" s="20">
        <f>IF($A886="","",YEAR($A886))</f>
        <v>0</v>
      </c>
      <c r="I886" s="20">
        <f>IF($A886="","",MONTH($A886))</f>
        <v>0</v>
      </c>
      <c r="J886" s="21">
        <f>IF(OR($A886="",$F886=""),"",IF($B886="Entrada",$F886,-$F886))</f>
        <v>0</v>
      </c>
      <c r="K886" s="20">
        <f>IF($A886="","",IF(OR($B886="",$C886="",$F886="",$G886=""),"Preencher tudo",IF(IFERROR(INDEX(CatTipo,MATCH($C886,CatNome,0)),"")&lt;&gt;$B886,"Categoria x Tipo?","OK")))</f>
        <v>0</v>
      </c>
    </row>
    <row r="887" spans="1:11">
      <c r="A887" s="18"/>
      <c r="B887" s="19"/>
      <c r="C887" s="15"/>
      <c r="D887" s="15"/>
      <c r="E887" s="15"/>
      <c r="F887" s="17"/>
      <c r="G887" s="19"/>
      <c r="H887" s="20">
        <f>IF($A887="","",YEAR($A887))</f>
        <v>0</v>
      </c>
      <c r="I887" s="20">
        <f>IF($A887="","",MONTH($A887))</f>
        <v>0</v>
      </c>
      <c r="J887" s="21">
        <f>IF(OR($A887="",$F887=""),"",IF($B887="Entrada",$F887,-$F887))</f>
        <v>0</v>
      </c>
      <c r="K887" s="20">
        <f>IF($A887="","",IF(OR($B887="",$C887="",$F887="",$G887=""),"Preencher tudo",IF(IFERROR(INDEX(CatTipo,MATCH($C887,CatNome,0)),"")&lt;&gt;$B887,"Categoria x Tipo?","OK")))</f>
        <v>0</v>
      </c>
    </row>
    <row r="888" spans="1:11">
      <c r="A888" s="18"/>
      <c r="B888" s="19"/>
      <c r="C888" s="15"/>
      <c r="D888" s="15"/>
      <c r="E888" s="15"/>
      <c r="F888" s="17"/>
      <c r="G888" s="19"/>
      <c r="H888" s="20">
        <f>IF($A888="","",YEAR($A888))</f>
        <v>0</v>
      </c>
      <c r="I888" s="20">
        <f>IF($A888="","",MONTH($A888))</f>
        <v>0</v>
      </c>
      <c r="J888" s="21">
        <f>IF(OR($A888="",$F888=""),"",IF($B888="Entrada",$F888,-$F888))</f>
        <v>0</v>
      </c>
      <c r="K888" s="20">
        <f>IF($A888="","",IF(OR($B888="",$C888="",$F888="",$G888=""),"Preencher tudo",IF(IFERROR(INDEX(CatTipo,MATCH($C888,CatNome,0)),"")&lt;&gt;$B888,"Categoria x Tipo?","OK")))</f>
        <v>0</v>
      </c>
    </row>
    <row r="889" spans="1:11">
      <c r="A889" s="18"/>
      <c r="B889" s="19"/>
      <c r="C889" s="15"/>
      <c r="D889" s="15"/>
      <c r="E889" s="15"/>
      <c r="F889" s="17"/>
      <c r="G889" s="19"/>
      <c r="H889" s="20">
        <f>IF($A889="","",YEAR($A889))</f>
        <v>0</v>
      </c>
      <c r="I889" s="20">
        <f>IF($A889="","",MONTH($A889))</f>
        <v>0</v>
      </c>
      <c r="J889" s="21">
        <f>IF(OR($A889="",$F889=""),"",IF($B889="Entrada",$F889,-$F889))</f>
        <v>0</v>
      </c>
      <c r="K889" s="20">
        <f>IF($A889="","",IF(OR($B889="",$C889="",$F889="",$G889=""),"Preencher tudo",IF(IFERROR(INDEX(CatTipo,MATCH($C889,CatNome,0)),"")&lt;&gt;$B889,"Categoria x Tipo?","OK")))</f>
        <v>0</v>
      </c>
    </row>
    <row r="890" spans="1:11">
      <c r="A890" s="18"/>
      <c r="B890" s="19"/>
      <c r="C890" s="15"/>
      <c r="D890" s="15"/>
      <c r="E890" s="15"/>
      <c r="F890" s="17"/>
      <c r="G890" s="19"/>
      <c r="H890" s="20">
        <f>IF($A890="","",YEAR($A890))</f>
        <v>0</v>
      </c>
      <c r="I890" s="20">
        <f>IF($A890="","",MONTH($A890))</f>
        <v>0</v>
      </c>
      <c r="J890" s="21">
        <f>IF(OR($A890="",$F890=""),"",IF($B890="Entrada",$F890,-$F890))</f>
        <v>0</v>
      </c>
      <c r="K890" s="20">
        <f>IF($A890="","",IF(OR($B890="",$C890="",$F890="",$G890=""),"Preencher tudo",IF(IFERROR(INDEX(CatTipo,MATCH($C890,CatNome,0)),"")&lt;&gt;$B890,"Categoria x Tipo?","OK")))</f>
        <v>0</v>
      </c>
    </row>
    <row r="891" spans="1:11">
      <c r="A891" s="18"/>
      <c r="B891" s="19"/>
      <c r="C891" s="15"/>
      <c r="D891" s="15"/>
      <c r="E891" s="15"/>
      <c r="F891" s="17"/>
      <c r="G891" s="19"/>
      <c r="H891" s="20">
        <f>IF($A891="","",YEAR($A891))</f>
        <v>0</v>
      </c>
      <c r="I891" s="20">
        <f>IF($A891="","",MONTH($A891))</f>
        <v>0</v>
      </c>
      <c r="J891" s="21">
        <f>IF(OR($A891="",$F891=""),"",IF($B891="Entrada",$F891,-$F891))</f>
        <v>0</v>
      </c>
      <c r="K891" s="20">
        <f>IF($A891="","",IF(OR($B891="",$C891="",$F891="",$G891=""),"Preencher tudo",IF(IFERROR(INDEX(CatTipo,MATCH($C891,CatNome,0)),"")&lt;&gt;$B891,"Categoria x Tipo?","OK")))</f>
        <v>0</v>
      </c>
    </row>
    <row r="892" spans="1:11">
      <c r="A892" s="18"/>
      <c r="B892" s="19"/>
      <c r="C892" s="15"/>
      <c r="D892" s="15"/>
      <c r="E892" s="15"/>
      <c r="F892" s="17"/>
      <c r="G892" s="19"/>
      <c r="H892" s="20">
        <f>IF($A892="","",YEAR($A892))</f>
        <v>0</v>
      </c>
      <c r="I892" s="20">
        <f>IF($A892="","",MONTH($A892))</f>
        <v>0</v>
      </c>
      <c r="J892" s="21">
        <f>IF(OR($A892="",$F892=""),"",IF($B892="Entrada",$F892,-$F892))</f>
        <v>0</v>
      </c>
      <c r="K892" s="20">
        <f>IF($A892="","",IF(OR($B892="",$C892="",$F892="",$G892=""),"Preencher tudo",IF(IFERROR(INDEX(CatTipo,MATCH($C892,CatNome,0)),"")&lt;&gt;$B892,"Categoria x Tipo?","OK")))</f>
        <v>0</v>
      </c>
    </row>
    <row r="893" spans="1:11">
      <c r="A893" s="18"/>
      <c r="B893" s="19"/>
      <c r="C893" s="15"/>
      <c r="D893" s="15"/>
      <c r="E893" s="15"/>
      <c r="F893" s="17"/>
      <c r="G893" s="19"/>
      <c r="H893" s="20">
        <f>IF($A893="","",YEAR($A893))</f>
        <v>0</v>
      </c>
      <c r="I893" s="20">
        <f>IF($A893="","",MONTH($A893))</f>
        <v>0</v>
      </c>
      <c r="J893" s="21">
        <f>IF(OR($A893="",$F893=""),"",IF($B893="Entrada",$F893,-$F893))</f>
        <v>0</v>
      </c>
      <c r="K893" s="20">
        <f>IF($A893="","",IF(OR($B893="",$C893="",$F893="",$G893=""),"Preencher tudo",IF(IFERROR(INDEX(CatTipo,MATCH($C893,CatNome,0)),"")&lt;&gt;$B893,"Categoria x Tipo?","OK")))</f>
        <v>0</v>
      </c>
    </row>
    <row r="894" spans="1:11">
      <c r="A894" s="18"/>
      <c r="B894" s="19"/>
      <c r="C894" s="15"/>
      <c r="D894" s="15"/>
      <c r="E894" s="15"/>
      <c r="F894" s="17"/>
      <c r="G894" s="19"/>
      <c r="H894" s="20">
        <f>IF($A894="","",YEAR($A894))</f>
        <v>0</v>
      </c>
      <c r="I894" s="20">
        <f>IF($A894="","",MONTH($A894))</f>
        <v>0</v>
      </c>
      <c r="J894" s="21">
        <f>IF(OR($A894="",$F894=""),"",IF($B894="Entrada",$F894,-$F894))</f>
        <v>0</v>
      </c>
      <c r="K894" s="20">
        <f>IF($A894="","",IF(OR($B894="",$C894="",$F894="",$G894=""),"Preencher tudo",IF(IFERROR(INDEX(CatTipo,MATCH($C894,CatNome,0)),"")&lt;&gt;$B894,"Categoria x Tipo?","OK")))</f>
        <v>0</v>
      </c>
    </row>
    <row r="895" spans="1:11">
      <c r="A895" s="18"/>
      <c r="B895" s="19"/>
      <c r="C895" s="15"/>
      <c r="D895" s="15"/>
      <c r="E895" s="15"/>
      <c r="F895" s="17"/>
      <c r="G895" s="19"/>
      <c r="H895" s="20">
        <f>IF($A895="","",YEAR($A895))</f>
        <v>0</v>
      </c>
      <c r="I895" s="20">
        <f>IF($A895="","",MONTH($A895))</f>
        <v>0</v>
      </c>
      <c r="J895" s="21">
        <f>IF(OR($A895="",$F895=""),"",IF($B895="Entrada",$F895,-$F895))</f>
        <v>0</v>
      </c>
      <c r="K895" s="20">
        <f>IF($A895="","",IF(OR($B895="",$C895="",$F895="",$G895=""),"Preencher tudo",IF(IFERROR(INDEX(CatTipo,MATCH($C895,CatNome,0)),"")&lt;&gt;$B895,"Categoria x Tipo?","OK")))</f>
        <v>0</v>
      </c>
    </row>
    <row r="896" spans="1:11">
      <c r="A896" s="18"/>
      <c r="B896" s="19"/>
      <c r="C896" s="15"/>
      <c r="D896" s="15"/>
      <c r="E896" s="15"/>
      <c r="F896" s="17"/>
      <c r="G896" s="19"/>
      <c r="H896" s="20">
        <f>IF($A896="","",YEAR($A896))</f>
        <v>0</v>
      </c>
      <c r="I896" s="20">
        <f>IF($A896="","",MONTH($A896))</f>
        <v>0</v>
      </c>
      <c r="J896" s="21">
        <f>IF(OR($A896="",$F896=""),"",IF($B896="Entrada",$F896,-$F896))</f>
        <v>0</v>
      </c>
      <c r="K896" s="20">
        <f>IF($A896="","",IF(OR($B896="",$C896="",$F896="",$G896=""),"Preencher tudo",IF(IFERROR(INDEX(CatTipo,MATCH($C896,CatNome,0)),"")&lt;&gt;$B896,"Categoria x Tipo?","OK")))</f>
        <v>0</v>
      </c>
    </row>
    <row r="897" spans="1:11">
      <c r="A897" s="18"/>
      <c r="B897" s="19"/>
      <c r="C897" s="15"/>
      <c r="D897" s="15"/>
      <c r="E897" s="15"/>
      <c r="F897" s="17"/>
      <c r="G897" s="19"/>
      <c r="H897" s="20">
        <f>IF($A897="","",YEAR($A897))</f>
        <v>0</v>
      </c>
      <c r="I897" s="20">
        <f>IF($A897="","",MONTH($A897))</f>
        <v>0</v>
      </c>
      <c r="J897" s="21">
        <f>IF(OR($A897="",$F897=""),"",IF($B897="Entrada",$F897,-$F897))</f>
        <v>0</v>
      </c>
      <c r="K897" s="20">
        <f>IF($A897="","",IF(OR($B897="",$C897="",$F897="",$G897=""),"Preencher tudo",IF(IFERROR(INDEX(CatTipo,MATCH($C897,CatNome,0)),"")&lt;&gt;$B897,"Categoria x Tipo?","OK")))</f>
        <v>0</v>
      </c>
    </row>
    <row r="898" spans="1:11">
      <c r="A898" s="18"/>
      <c r="B898" s="19"/>
      <c r="C898" s="15"/>
      <c r="D898" s="15"/>
      <c r="E898" s="15"/>
      <c r="F898" s="17"/>
      <c r="G898" s="19"/>
      <c r="H898" s="20">
        <f>IF($A898="","",YEAR($A898))</f>
        <v>0</v>
      </c>
      <c r="I898" s="20">
        <f>IF($A898="","",MONTH($A898))</f>
        <v>0</v>
      </c>
      <c r="J898" s="21">
        <f>IF(OR($A898="",$F898=""),"",IF($B898="Entrada",$F898,-$F898))</f>
        <v>0</v>
      </c>
      <c r="K898" s="20">
        <f>IF($A898="","",IF(OR($B898="",$C898="",$F898="",$G898=""),"Preencher tudo",IF(IFERROR(INDEX(CatTipo,MATCH($C898,CatNome,0)),"")&lt;&gt;$B898,"Categoria x Tipo?","OK")))</f>
        <v>0</v>
      </c>
    </row>
    <row r="899" spans="1:11">
      <c r="A899" s="18"/>
      <c r="B899" s="19"/>
      <c r="C899" s="15"/>
      <c r="D899" s="15"/>
      <c r="E899" s="15"/>
      <c r="F899" s="17"/>
      <c r="G899" s="19"/>
      <c r="H899" s="20">
        <f>IF($A899="","",YEAR($A899))</f>
        <v>0</v>
      </c>
      <c r="I899" s="20">
        <f>IF($A899="","",MONTH($A899))</f>
        <v>0</v>
      </c>
      <c r="J899" s="21">
        <f>IF(OR($A899="",$F899=""),"",IF($B899="Entrada",$F899,-$F899))</f>
        <v>0</v>
      </c>
      <c r="K899" s="20">
        <f>IF($A899="","",IF(OR($B899="",$C899="",$F899="",$G899=""),"Preencher tudo",IF(IFERROR(INDEX(CatTipo,MATCH($C899,CatNome,0)),"")&lt;&gt;$B899,"Categoria x Tipo?","OK")))</f>
        <v>0</v>
      </c>
    </row>
    <row r="900" spans="1:11">
      <c r="A900" s="18"/>
      <c r="B900" s="19"/>
      <c r="C900" s="15"/>
      <c r="D900" s="15"/>
      <c r="E900" s="15"/>
      <c r="F900" s="17"/>
      <c r="G900" s="19"/>
      <c r="H900" s="20">
        <f>IF($A900="","",YEAR($A900))</f>
        <v>0</v>
      </c>
      <c r="I900" s="20">
        <f>IF($A900="","",MONTH($A900))</f>
        <v>0</v>
      </c>
      <c r="J900" s="21">
        <f>IF(OR($A900="",$F900=""),"",IF($B900="Entrada",$F900,-$F900))</f>
        <v>0</v>
      </c>
      <c r="K900" s="20">
        <f>IF($A900="","",IF(OR($B900="",$C900="",$F900="",$G900=""),"Preencher tudo",IF(IFERROR(INDEX(CatTipo,MATCH($C900,CatNome,0)),"")&lt;&gt;$B900,"Categoria x Tipo?","OK")))</f>
        <v>0</v>
      </c>
    </row>
    <row r="901" spans="1:11">
      <c r="A901" s="18"/>
      <c r="B901" s="19"/>
      <c r="C901" s="15"/>
      <c r="D901" s="15"/>
      <c r="E901" s="15"/>
      <c r="F901" s="17"/>
      <c r="G901" s="19"/>
      <c r="H901" s="20">
        <f>IF($A901="","",YEAR($A901))</f>
        <v>0</v>
      </c>
      <c r="I901" s="20">
        <f>IF($A901="","",MONTH($A901))</f>
        <v>0</v>
      </c>
      <c r="J901" s="21">
        <f>IF(OR($A901="",$F901=""),"",IF($B901="Entrada",$F901,-$F901))</f>
        <v>0</v>
      </c>
      <c r="K901" s="20">
        <f>IF($A901="","",IF(OR($B901="",$C901="",$F901="",$G901=""),"Preencher tudo",IF(IFERROR(INDEX(CatTipo,MATCH($C901,CatNome,0)),"")&lt;&gt;$B901,"Categoria x Tipo?","OK")))</f>
        <v>0</v>
      </c>
    </row>
    <row r="902" spans="1:11">
      <c r="A902" s="18"/>
      <c r="B902" s="19"/>
      <c r="C902" s="15"/>
      <c r="D902" s="15"/>
      <c r="E902" s="15"/>
      <c r="F902" s="17"/>
      <c r="G902" s="19"/>
      <c r="H902" s="20">
        <f>IF($A902="","",YEAR($A902))</f>
        <v>0</v>
      </c>
      <c r="I902" s="20">
        <f>IF($A902="","",MONTH($A902))</f>
        <v>0</v>
      </c>
      <c r="J902" s="21">
        <f>IF(OR($A902="",$F902=""),"",IF($B902="Entrada",$F902,-$F902))</f>
        <v>0</v>
      </c>
      <c r="K902" s="20">
        <f>IF($A902="","",IF(OR($B902="",$C902="",$F902="",$G902=""),"Preencher tudo",IF(IFERROR(INDEX(CatTipo,MATCH($C902,CatNome,0)),"")&lt;&gt;$B902,"Categoria x Tipo?","OK")))</f>
        <v>0</v>
      </c>
    </row>
    <row r="903" spans="1:11">
      <c r="A903" s="18"/>
      <c r="B903" s="19"/>
      <c r="C903" s="15"/>
      <c r="D903" s="15"/>
      <c r="E903" s="15"/>
      <c r="F903" s="17"/>
      <c r="G903" s="19"/>
      <c r="H903" s="20">
        <f>IF($A903="","",YEAR($A903))</f>
        <v>0</v>
      </c>
      <c r="I903" s="20">
        <f>IF($A903="","",MONTH($A903))</f>
        <v>0</v>
      </c>
      <c r="J903" s="21">
        <f>IF(OR($A903="",$F903=""),"",IF($B903="Entrada",$F903,-$F903))</f>
        <v>0</v>
      </c>
      <c r="K903" s="20">
        <f>IF($A903="","",IF(OR($B903="",$C903="",$F903="",$G903=""),"Preencher tudo",IF(IFERROR(INDEX(CatTipo,MATCH($C903,CatNome,0)),"")&lt;&gt;$B903,"Categoria x Tipo?","OK")))</f>
        <v>0</v>
      </c>
    </row>
    <row r="904" spans="1:11">
      <c r="A904" s="18"/>
      <c r="B904" s="19"/>
      <c r="C904" s="15"/>
      <c r="D904" s="15"/>
      <c r="E904" s="15"/>
      <c r="F904" s="17"/>
      <c r="G904" s="19"/>
      <c r="H904" s="20">
        <f>IF($A904="","",YEAR($A904))</f>
        <v>0</v>
      </c>
      <c r="I904" s="20">
        <f>IF($A904="","",MONTH($A904))</f>
        <v>0</v>
      </c>
      <c r="J904" s="21">
        <f>IF(OR($A904="",$F904=""),"",IF($B904="Entrada",$F904,-$F904))</f>
        <v>0</v>
      </c>
      <c r="K904" s="20">
        <f>IF($A904="","",IF(OR($B904="",$C904="",$F904="",$G904=""),"Preencher tudo",IF(IFERROR(INDEX(CatTipo,MATCH($C904,CatNome,0)),"")&lt;&gt;$B904,"Categoria x Tipo?","OK")))</f>
        <v>0</v>
      </c>
    </row>
    <row r="905" spans="1:11">
      <c r="A905" s="18"/>
      <c r="B905" s="19"/>
      <c r="C905" s="15"/>
      <c r="D905" s="15"/>
      <c r="E905" s="15"/>
      <c r="F905" s="17"/>
      <c r="G905" s="19"/>
      <c r="H905" s="20">
        <f>IF($A905="","",YEAR($A905))</f>
        <v>0</v>
      </c>
      <c r="I905" s="20">
        <f>IF($A905="","",MONTH($A905))</f>
        <v>0</v>
      </c>
      <c r="J905" s="21">
        <f>IF(OR($A905="",$F905=""),"",IF($B905="Entrada",$F905,-$F905))</f>
        <v>0</v>
      </c>
      <c r="K905" s="20">
        <f>IF($A905="","",IF(OR($B905="",$C905="",$F905="",$G905=""),"Preencher tudo",IF(IFERROR(INDEX(CatTipo,MATCH($C905,CatNome,0)),"")&lt;&gt;$B905,"Categoria x Tipo?","OK")))</f>
        <v>0</v>
      </c>
    </row>
    <row r="906" spans="1:11">
      <c r="A906" s="18"/>
      <c r="B906" s="19"/>
      <c r="C906" s="15"/>
      <c r="D906" s="15"/>
      <c r="E906" s="15"/>
      <c r="F906" s="17"/>
      <c r="G906" s="19"/>
      <c r="H906" s="20">
        <f>IF($A906="","",YEAR($A906))</f>
        <v>0</v>
      </c>
      <c r="I906" s="20">
        <f>IF($A906="","",MONTH($A906))</f>
        <v>0</v>
      </c>
      <c r="J906" s="21">
        <f>IF(OR($A906="",$F906=""),"",IF($B906="Entrada",$F906,-$F906))</f>
        <v>0</v>
      </c>
      <c r="K906" s="20">
        <f>IF($A906="","",IF(OR($B906="",$C906="",$F906="",$G906=""),"Preencher tudo",IF(IFERROR(INDEX(CatTipo,MATCH($C906,CatNome,0)),"")&lt;&gt;$B906,"Categoria x Tipo?","OK")))</f>
        <v>0</v>
      </c>
    </row>
    <row r="907" spans="1:11">
      <c r="A907" s="18"/>
      <c r="B907" s="19"/>
      <c r="C907" s="15"/>
      <c r="D907" s="15"/>
      <c r="E907" s="15"/>
      <c r="F907" s="17"/>
      <c r="G907" s="19"/>
      <c r="H907" s="20">
        <f>IF($A907="","",YEAR($A907))</f>
        <v>0</v>
      </c>
      <c r="I907" s="20">
        <f>IF($A907="","",MONTH($A907))</f>
        <v>0</v>
      </c>
      <c r="J907" s="21">
        <f>IF(OR($A907="",$F907=""),"",IF($B907="Entrada",$F907,-$F907))</f>
        <v>0</v>
      </c>
      <c r="K907" s="20">
        <f>IF($A907="","",IF(OR($B907="",$C907="",$F907="",$G907=""),"Preencher tudo",IF(IFERROR(INDEX(CatTipo,MATCH($C907,CatNome,0)),"")&lt;&gt;$B907,"Categoria x Tipo?","OK")))</f>
        <v>0</v>
      </c>
    </row>
    <row r="908" spans="1:11">
      <c r="A908" s="18"/>
      <c r="B908" s="19"/>
      <c r="C908" s="15"/>
      <c r="D908" s="15"/>
      <c r="E908" s="15"/>
      <c r="F908" s="17"/>
      <c r="G908" s="19"/>
      <c r="H908" s="20">
        <f>IF($A908="","",YEAR($A908))</f>
        <v>0</v>
      </c>
      <c r="I908" s="20">
        <f>IF($A908="","",MONTH($A908))</f>
        <v>0</v>
      </c>
      <c r="J908" s="21">
        <f>IF(OR($A908="",$F908=""),"",IF($B908="Entrada",$F908,-$F908))</f>
        <v>0</v>
      </c>
      <c r="K908" s="20">
        <f>IF($A908="","",IF(OR($B908="",$C908="",$F908="",$G908=""),"Preencher tudo",IF(IFERROR(INDEX(CatTipo,MATCH($C908,CatNome,0)),"")&lt;&gt;$B908,"Categoria x Tipo?","OK")))</f>
        <v>0</v>
      </c>
    </row>
    <row r="909" spans="1:11">
      <c r="A909" s="18"/>
      <c r="B909" s="19"/>
      <c r="C909" s="15"/>
      <c r="D909" s="15"/>
      <c r="E909" s="15"/>
      <c r="F909" s="17"/>
      <c r="G909" s="19"/>
      <c r="H909" s="20">
        <f>IF($A909="","",YEAR($A909))</f>
        <v>0</v>
      </c>
      <c r="I909" s="20">
        <f>IF($A909="","",MONTH($A909))</f>
        <v>0</v>
      </c>
      <c r="J909" s="21">
        <f>IF(OR($A909="",$F909=""),"",IF($B909="Entrada",$F909,-$F909))</f>
        <v>0</v>
      </c>
      <c r="K909" s="20">
        <f>IF($A909="","",IF(OR($B909="",$C909="",$F909="",$G909=""),"Preencher tudo",IF(IFERROR(INDEX(CatTipo,MATCH($C909,CatNome,0)),"")&lt;&gt;$B909,"Categoria x Tipo?","OK")))</f>
        <v>0</v>
      </c>
    </row>
    <row r="910" spans="1:11">
      <c r="A910" s="18"/>
      <c r="B910" s="19"/>
      <c r="C910" s="15"/>
      <c r="D910" s="15"/>
      <c r="E910" s="15"/>
      <c r="F910" s="17"/>
      <c r="G910" s="19"/>
      <c r="H910" s="20">
        <f>IF($A910="","",YEAR($A910))</f>
        <v>0</v>
      </c>
      <c r="I910" s="20">
        <f>IF($A910="","",MONTH($A910))</f>
        <v>0</v>
      </c>
      <c r="J910" s="21">
        <f>IF(OR($A910="",$F910=""),"",IF($B910="Entrada",$F910,-$F910))</f>
        <v>0</v>
      </c>
      <c r="K910" s="20">
        <f>IF($A910="","",IF(OR($B910="",$C910="",$F910="",$G910=""),"Preencher tudo",IF(IFERROR(INDEX(CatTipo,MATCH($C910,CatNome,0)),"")&lt;&gt;$B910,"Categoria x Tipo?","OK")))</f>
        <v>0</v>
      </c>
    </row>
    <row r="911" spans="1:11">
      <c r="A911" s="18"/>
      <c r="B911" s="19"/>
      <c r="C911" s="15"/>
      <c r="D911" s="15"/>
      <c r="E911" s="15"/>
      <c r="F911" s="17"/>
      <c r="G911" s="19"/>
      <c r="H911" s="20">
        <f>IF($A911="","",YEAR($A911))</f>
        <v>0</v>
      </c>
      <c r="I911" s="20">
        <f>IF($A911="","",MONTH($A911))</f>
        <v>0</v>
      </c>
      <c r="J911" s="21">
        <f>IF(OR($A911="",$F911=""),"",IF($B911="Entrada",$F911,-$F911))</f>
        <v>0</v>
      </c>
      <c r="K911" s="20">
        <f>IF($A911="","",IF(OR($B911="",$C911="",$F911="",$G911=""),"Preencher tudo",IF(IFERROR(INDEX(CatTipo,MATCH($C911,CatNome,0)),"")&lt;&gt;$B911,"Categoria x Tipo?","OK")))</f>
        <v>0</v>
      </c>
    </row>
    <row r="912" spans="1:11">
      <c r="A912" s="18"/>
      <c r="B912" s="19"/>
      <c r="C912" s="15"/>
      <c r="D912" s="15"/>
      <c r="E912" s="15"/>
      <c r="F912" s="17"/>
      <c r="G912" s="19"/>
      <c r="H912" s="20">
        <f>IF($A912="","",YEAR($A912))</f>
        <v>0</v>
      </c>
      <c r="I912" s="20">
        <f>IF($A912="","",MONTH($A912))</f>
        <v>0</v>
      </c>
      <c r="J912" s="21">
        <f>IF(OR($A912="",$F912=""),"",IF($B912="Entrada",$F912,-$F912))</f>
        <v>0</v>
      </c>
      <c r="K912" s="20">
        <f>IF($A912="","",IF(OR($B912="",$C912="",$F912="",$G912=""),"Preencher tudo",IF(IFERROR(INDEX(CatTipo,MATCH($C912,CatNome,0)),"")&lt;&gt;$B912,"Categoria x Tipo?","OK")))</f>
        <v>0</v>
      </c>
    </row>
    <row r="913" spans="1:11">
      <c r="A913" s="18"/>
      <c r="B913" s="19"/>
      <c r="C913" s="15"/>
      <c r="D913" s="15"/>
      <c r="E913" s="15"/>
      <c r="F913" s="17"/>
      <c r="G913" s="19"/>
      <c r="H913" s="20">
        <f>IF($A913="","",YEAR($A913))</f>
        <v>0</v>
      </c>
      <c r="I913" s="20">
        <f>IF($A913="","",MONTH($A913))</f>
        <v>0</v>
      </c>
      <c r="J913" s="21">
        <f>IF(OR($A913="",$F913=""),"",IF($B913="Entrada",$F913,-$F913))</f>
        <v>0</v>
      </c>
      <c r="K913" s="20">
        <f>IF($A913="","",IF(OR($B913="",$C913="",$F913="",$G913=""),"Preencher tudo",IF(IFERROR(INDEX(CatTipo,MATCH($C913,CatNome,0)),"")&lt;&gt;$B913,"Categoria x Tipo?","OK")))</f>
        <v>0</v>
      </c>
    </row>
    <row r="914" spans="1:11">
      <c r="A914" s="18"/>
      <c r="B914" s="19"/>
      <c r="C914" s="15"/>
      <c r="D914" s="15"/>
      <c r="E914" s="15"/>
      <c r="F914" s="17"/>
      <c r="G914" s="19"/>
      <c r="H914" s="20">
        <f>IF($A914="","",YEAR($A914))</f>
        <v>0</v>
      </c>
      <c r="I914" s="20">
        <f>IF($A914="","",MONTH($A914))</f>
        <v>0</v>
      </c>
      <c r="J914" s="21">
        <f>IF(OR($A914="",$F914=""),"",IF($B914="Entrada",$F914,-$F914))</f>
        <v>0</v>
      </c>
      <c r="K914" s="20">
        <f>IF($A914="","",IF(OR($B914="",$C914="",$F914="",$G914=""),"Preencher tudo",IF(IFERROR(INDEX(CatTipo,MATCH($C914,CatNome,0)),"")&lt;&gt;$B914,"Categoria x Tipo?","OK")))</f>
        <v>0</v>
      </c>
    </row>
    <row r="915" spans="1:11">
      <c r="A915" s="18"/>
      <c r="B915" s="19"/>
      <c r="C915" s="15"/>
      <c r="D915" s="15"/>
      <c r="E915" s="15"/>
      <c r="F915" s="17"/>
      <c r="G915" s="19"/>
      <c r="H915" s="20">
        <f>IF($A915="","",YEAR($A915))</f>
        <v>0</v>
      </c>
      <c r="I915" s="20">
        <f>IF($A915="","",MONTH($A915))</f>
        <v>0</v>
      </c>
      <c r="J915" s="21">
        <f>IF(OR($A915="",$F915=""),"",IF($B915="Entrada",$F915,-$F915))</f>
        <v>0</v>
      </c>
      <c r="K915" s="20">
        <f>IF($A915="","",IF(OR($B915="",$C915="",$F915="",$G915=""),"Preencher tudo",IF(IFERROR(INDEX(CatTipo,MATCH($C915,CatNome,0)),"")&lt;&gt;$B915,"Categoria x Tipo?","OK")))</f>
        <v>0</v>
      </c>
    </row>
    <row r="916" spans="1:11">
      <c r="A916" s="18"/>
      <c r="B916" s="19"/>
      <c r="C916" s="15"/>
      <c r="D916" s="15"/>
      <c r="E916" s="15"/>
      <c r="F916" s="17"/>
      <c r="G916" s="19"/>
      <c r="H916" s="20">
        <f>IF($A916="","",YEAR($A916))</f>
        <v>0</v>
      </c>
      <c r="I916" s="20">
        <f>IF($A916="","",MONTH($A916))</f>
        <v>0</v>
      </c>
      <c r="J916" s="21">
        <f>IF(OR($A916="",$F916=""),"",IF($B916="Entrada",$F916,-$F916))</f>
        <v>0</v>
      </c>
      <c r="K916" s="20">
        <f>IF($A916="","",IF(OR($B916="",$C916="",$F916="",$G916=""),"Preencher tudo",IF(IFERROR(INDEX(CatTipo,MATCH($C916,CatNome,0)),"")&lt;&gt;$B916,"Categoria x Tipo?","OK")))</f>
        <v>0</v>
      </c>
    </row>
    <row r="917" spans="1:11">
      <c r="A917" s="18"/>
      <c r="B917" s="19"/>
      <c r="C917" s="15"/>
      <c r="D917" s="15"/>
      <c r="E917" s="15"/>
      <c r="F917" s="17"/>
      <c r="G917" s="19"/>
      <c r="H917" s="20">
        <f>IF($A917="","",YEAR($A917))</f>
        <v>0</v>
      </c>
      <c r="I917" s="20">
        <f>IF($A917="","",MONTH($A917))</f>
        <v>0</v>
      </c>
      <c r="J917" s="21">
        <f>IF(OR($A917="",$F917=""),"",IF($B917="Entrada",$F917,-$F917))</f>
        <v>0</v>
      </c>
      <c r="K917" s="20">
        <f>IF($A917="","",IF(OR($B917="",$C917="",$F917="",$G917=""),"Preencher tudo",IF(IFERROR(INDEX(CatTipo,MATCH($C917,CatNome,0)),"")&lt;&gt;$B917,"Categoria x Tipo?","OK")))</f>
        <v>0</v>
      </c>
    </row>
    <row r="918" spans="1:11">
      <c r="A918" s="18"/>
      <c r="B918" s="19"/>
      <c r="C918" s="15"/>
      <c r="D918" s="15"/>
      <c r="E918" s="15"/>
      <c r="F918" s="17"/>
      <c r="G918" s="19"/>
      <c r="H918" s="20">
        <f>IF($A918="","",YEAR($A918))</f>
        <v>0</v>
      </c>
      <c r="I918" s="20">
        <f>IF($A918="","",MONTH($A918))</f>
        <v>0</v>
      </c>
      <c r="J918" s="21">
        <f>IF(OR($A918="",$F918=""),"",IF($B918="Entrada",$F918,-$F918))</f>
        <v>0</v>
      </c>
      <c r="K918" s="20">
        <f>IF($A918="","",IF(OR($B918="",$C918="",$F918="",$G918=""),"Preencher tudo",IF(IFERROR(INDEX(CatTipo,MATCH($C918,CatNome,0)),"")&lt;&gt;$B918,"Categoria x Tipo?","OK")))</f>
        <v>0</v>
      </c>
    </row>
    <row r="919" spans="1:11">
      <c r="A919" s="18"/>
      <c r="B919" s="19"/>
      <c r="C919" s="15"/>
      <c r="D919" s="15"/>
      <c r="E919" s="15"/>
      <c r="F919" s="17"/>
      <c r="G919" s="19"/>
      <c r="H919" s="20">
        <f>IF($A919="","",YEAR($A919))</f>
        <v>0</v>
      </c>
      <c r="I919" s="20">
        <f>IF($A919="","",MONTH($A919))</f>
        <v>0</v>
      </c>
      <c r="J919" s="21">
        <f>IF(OR($A919="",$F919=""),"",IF($B919="Entrada",$F919,-$F919))</f>
        <v>0</v>
      </c>
      <c r="K919" s="20">
        <f>IF($A919="","",IF(OR($B919="",$C919="",$F919="",$G919=""),"Preencher tudo",IF(IFERROR(INDEX(CatTipo,MATCH($C919,CatNome,0)),"")&lt;&gt;$B919,"Categoria x Tipo?","OK")))</f>
        <v>0</v>
      </c>
    </row>
    <row r="920" spans="1:11">
      <c r="A920" s="18"/>
      <c r="B920" s="19"/>
      <c r="C920" s="15"/>
      <c r="D920" s="15"/>
      <c r="E920" s="15"/>
      <c r="F920" s="17"/>
      <c r="G920" s="19"/>
      <c r="H920" s="20">
        <f>IF($A920="","",YEAR($A920))</f>
        <v>0</v>
      </c>
      <c r="I920" s="20">
        <f>IF($A920="","",MONTH($A920))</f>
        <v>0</v>
      </c>
      <c r="J920" s="21">
        <f>IF(OR($A920="",$F920=""),"",IF($B920="Entrada",$F920,-$F920))</f>
        <v>0</v>
      </c>
      <c r="K920" s="20">
        <f>IF($A920="","",IF(OR($B920="",$C920="",$F920="",$G920=""),"Preencher tudo",IF(IFERROR(INDEX(CatTipo,MATCH($C920,CatNome,0)),"")&lt;&gt;$B920,"Categoria x Tipo?","OK")))</f>
        <v>0</v>
      </c>
    </row>
    <row r="921" spans="1:11">
      <c r="A921" s="18"/>
      <c r="B921" s="19"/>
      <c r="C921" s="15"/>
      <c r="D921" s="15"/>
      <c r="E921" s="15"/>
      <c r="F921" s="17"/>
      <c r="G921" s="19"/>
      <c r="H921" s="20">
        <f>IF($A921="","",YEAR($A921))</f>
        <v>0</v>
      </c>
      <c r="I921" s="20">
        <f>IF($A921="","",MONTH($A921))</f>
        <v>0</v>
      </c>
      <c r="J921" s="21">
        <f>IF(OR($A921="",$F921=""),"",IF($B921="Entrada",$F921,-$F921))</f>
        <v>0</v>
      </c>
      <c r="K921" s="20">
        <f>IF($A921="","",IF(OR($B921="",$C921="",$F921="",$G921=""),"Preencher tudo",IF(IFERROR(INDEX(CatTipo,MATCH($C921,CatNome,0)),"")&lt;&gt;$B921,"Categoria x Tipo?","OK")))</f>
        <v>0</v>
      </c>
    </row>
    <row r="922" spans="1:11">
      <c r="A922" s="18"/>
      <c r="B922" s="19"/>
      <c r="C922" s="15"/>
      <c r="D922" s="15"/>
      <c r="E922" s="15"/>
      <c r="F922" s="17"/>
      <c r="G922" s="19"/>
      <c r="H922" s="20">
        <f>IF($A922="","",YEAR($A922))</f>
        <v>0</v>
      </c>
      <c r="I922" s="20">
        <f>IF($A922="","",MONTH($A922))</f>
        <v>0</v>
      </c>
      <c r="J922" s="21">
        <f>IF(OR($A922="",$F922=""),"",IF($B922="Entrada",$F922,-$F922))</f>
        <v>0</v>
      </c>
      <c r="K922" s="20">
        <f>IF($A922="","",IF(OR($B922="",$C922="",$F922="",$G922=""),"Preencher tudo",IF(IFERROR(INDEX(CatTipo,MATCH($C922,CatNome,0)),"")&lt;&gt;$B922,"Categoria x Tipo?","OK")))</f>
        <v>0</v>
      </c>
    </row>
    <row r="923" spans="1:11">
      <c r="A923" s="18"/>
      <c r="B923" s="19"/>
      <c r="C923" s="15"/>
      <c r="D923" s="15"/>
      <c r="E923" s="15"/>
      <c r="F923" s="17"/>
      <c r="G923" s="19"/>
      <c r="H923" s="20">
        <f>IF($A923="","",YEAR($A923))</f>
        <v>0</v>
      </c>
      <c r="I923" s="20">
        <f>IF($A923="","",MONTH($A923))</f>
        <v>0</v>
      </c>
      <c r="J923" s="21">
        <f>IF(OR($A923="",$F923=""),"",IF($B923="Entrada",$F923,-$F923))</f>
        <v>0</v>
      </c>
      <c r="K923" s="20">
        <f>IF($A923="","",IF(OR($B923="",$C923="",$F923="",$G923=""),"Preencher tudo",IF(IFERROR(INDEX(CatTipo,MATCH($C923,CatNome,0)),"")&lt;&gt;$B923,"Categoria x Tipo?","OK")))</f>
        <v>0</v>
      </c>
    </row>
    <row r="924" spans="1:11">
      <c r="A924" s="18"/>
      <c r="B924" s="19"/>
      <c r="C924" s="15"/>
      <c r="D924" s="15"/>
      <c r="E924" s="15"/>
      <c r="F924" s="17"/>
      <c r="G924" s="19"/>
      <c r="H924" s="20">
        <f>IF($A924="","",YEAR($A924))</f>
        <v>0</v>
      </c>
      <c r="I924" s="20">
        <f>IF($A924="","",MONTH($A924))</f>
        <v>0</v>
      </c>
      <c r="J924" s="21">
        <f>IF(OR($A924="",$F924=""),"",IF($B924="Entrada",$F924,-$F924))</f>
        <v>0</v>
      </c>
      <c r="K924" s="20">
        <f>IF($A924="","",IF(OR($B924="",$C924="",$F924="",$G924=""),"Preencher tudo",IF(IFERROR(INDEX(CatTipo,MATCH($C924,CatNome,0)),"")&lt;&gt;$B924,"Categoria x Tipo?","OK")))</f>
        <v>0</v>
      </c>
    </row>
    <row r="925" spans="1:11">
      <c r="A925" s="18"/>
      <c r="B925" s="19"/>
      <c r="C925" s="15"/>
      <c r="D925" s="15"/>
      <c r="E925" s="15"/>
      <c r="F925" s="17"/>
      <c r="G925" s="19"/>
      <c r="H925" s="20">
        <f>IF($A925="","",YEAR($A925))</f>
        <v>0</v>
      </c>
      <c r="I925" s="20">
        <f>IF($A925="","",MONTH($A925))</f>
        <v>0</v>
      </c>
      <c r="J925" s="21">
        <f>IF(OR($A925="",$F925=""),"",IF($B925="Entrada",$F925,-$F925))</f>
        <v>0</v>
      </c>
      <c r="K925" s="20">
        <f>IF($A925="","",IF(OR($B925="",$C925="",$F925="",$G925=""),"Preencher tudo",IF(IFERROR(INDEX(CatTipo,MATCH($C925,CatNome,0)),"")&lt;&gt;$B925,"Categoria x Tipo?","OK")))</f>
        <v>0</v>
      </c>
    </row>
    <row r="926" spans="1:11">
      <c r="A926" s="18"/>
      <c r="B926" s="19"/>
      <c r="C926" s="15"/>
      <c r="D926" s="15"/>
      <c r="E926" s="15"/>
      <c r="F926" s="17"/>
      <c r="G926" s="19"/>
      <c r="H926" s="20">
        <f>IF($A926="","",YEAR($A926))</f>
        <v>0</v>
      </c>
      <c r="I926" s="20">
        <f>IF($A926="","",MONTH($A926))</f>
        <v>0</v>
      </c>
      <c r="J926" s="21">
        <f>IF(OR($A926="",$F926=""),"",IF($B926="Entrada",$F926,-$F926))</f>
        <v>0</v>
      </c>
      <c r="K926" s="20">
        <f>IF($A926="","",IF(OR($B926="",$C926="",$F926="",$G926=""),"Preencher tudo",IF(IFERROR(INDEX(CatTipo,MATCH($C926,CatNome,0)),"")&lt;&gt;$B926,"Categoria x Tipo?","OK")))</f>
        <v>0</v>
      </c>
    </row>
    <row r="927" spans="1:11">
      <c r="A927" s="18"/>
      <c r="B927" s="19"/>
      <c r="C927" s="15"/>
      <c r="D927" s="15"/>
      <c r="E927" s="15"/>
      <c r="F927" s="17"/>
      <c r="G927" s="19"/>
      <c r="H927" s="20">
        <f>IF($A927="","",YEAR($A927))</f>
        <v>0</v>
      </c>
      <c r="I927" s="20">
        <f>IF($A927="","",MONTH($A927))</f>
        <v>0</v>
      </c>
      <c r="J927" s="21">
        <f>IF(OR($A927="",$F927=""),"",IF($B927="Entrada",$F927,-$F927))</f>
        <v>0</v>
      </c>
      <c r="K927" s="20">
        <f>IF($A927="","",IF(OR($B927="",$C927="",$F927="",$G927=""),"Preencher tudo",IF(IFERROR(INDEX(CatTipo,MATCH($C927,CatNome,0)),"")&lt;&gt;$B927,"Categoria x Tipo?","OK")))</f>
        <v>0</v>
      </c>
    </row>
    <row r="928" spans="1:11">
      <c r="A928" s="18"/>
      <c r="B928" s="19"/>
      <c r="C928" s="15"/>
      <c r="D928" s="15"/>
      <c r="E928" s="15"/>
      <c r="F928" s="17"/>
      <c r="G928" s="19"/>
      <c r="H928" s="20">
        <f>IF($A928="","",YEAR($A928))</f>
        <v>0</v>
      </c>
      <c r="I928" s="20">
        <f>IF($A928="","",MONTH($A928))</f>
        <v>0</v>
      </c>
      <c r="J928" s="21">
        <f>IF(OR($A928="",$F928=""),"",IF($B928="Entrada",$F928,-$F928))</f>
        <v>0</v>
      </c>
      <c r="K928" s="20">
        <f>IF($A928="","",IF(OR($B928="",$C928="",$F928="",$G928=""),"Preencher tudo",IF(IFERROR(INDEX(CatTipo,MATCH($C928,CatNome,0)),"")&lt;&gt;$B928,"Categoria x Tipo?","OK")))</f>
        <v>0</v>
      </c>
    </row>
    <row r="929" spans="1:11">
      <c r="A929" s="18"/>
      <c r="B929" s="19"/>
      <c r="C929" s="15"/>
      <c r="D929" s="15"/>
      <c r="E929" s="15"/>
      <c r="F929" s="17"/>
      <c r="G929" s="19"/>
      <c r="H929" s="20">
        <f>IF($A929="","",YEAR($A929))</f>
        <v>0</v>
      </c>
      <c r="I929" s="20">
        <f>IF($A929="","",MONTH($A929))</f>
        <v>0</v>
      </c>
      <c r="J929" s="21">
        <f>IF(OR($A929="",$F929=""),"",IF($B929="Entrada",$F929,-$F929))</f>
        <v>0</v>
      </c>
      <c r="K929" s="20">
        <f>IF($A929="","",IF(OR($B929="",$C929="",$F929="",$G929=""),"Preencher tudo",IF(IFERROR(INDEX(CatTipo,MATCH($C929,CatNome,0)),"")&lt;&gt;$B929,"Categoria x Tipo?","OK")))</f>
        <v>0</v>
      </c>
    </row>
    <row r="930" spans="1:11">
      <c r="A930" s="18"/>
      <c r="B930" s="19"/>
      <c r="C930" s="15"/>
      <c r="D930" s="15"/>
      <c r="E930" s="15"/>
      <c r="F930" s="17"/>
      <c r="G930" s="19"/>
      <c r="H930" s="20">
        <f>IF($A930="","",YEAR($A930))</f>
        <v>0</v>
      </c>
      <c r="I930" s="20">
        <f>IF($A930="","",MONTH($A930))</f>
        <v>0</v>
      </c>
      <c r="J930" s="21">
        <f>IF(OR($A930="",$F930=""),"",IF($B930="Entrada",$F930,-$F930))</f>
        <v>0</v>
      </c>
      <c r="K930" s="20">
        <f>IF($A930="","",IF(OR($B930="",$C930="",$F930="",$G930=""),"Preencher tudo",IF(IFERROR(INDEX(CatTipo,MATCH($C930,CatNome,0)),"")&lt;&gt;$B930,"Categoria x Tipo?","OK")))</f>
        <v>0</v>
      </c>
    </row>
    <row r="931" spans="1:11">
      <c r="A931" s="18"/>
      <c r="B931" s="19"/>
      <c r="C931" s="15"/>
      <c r="D931" s="15"/>
      <c r="E931" s="15"/>
      <c r="F931" s="17"/>
      <c r="G931" s="19"/>
      <c r="H931" s="20">
        <f>IF($A931="","",YEAR($A931))</f>
        <v>0</v>
      </c>
      <c r="I931" s="20">
        <f>IF($A931="","",MONTH($A931))</f>
        <v>0</v>
      </c>
      <c r="J931" s="21">
        <f>IF(OR($A931="",$F931=""),"",IF($B931="Entrada",$F931,-$F931))</f>
        <v>0</v>
      </c>
      <c r="K931" s="20">
        <f>IF($A931="","",IF(OR($B931="",$C931="",$F931="",$G931=""),"Preencher tudo",IF(IFERROR(INDEX(CatTipo,MATCH($C931,CatNome,0)),"")&lt;&gt;$B931,"Categoria x Tipo?","OK")))</f>
        <v>0</v>
      </c>
    </row>
    <row r="932" spans="1:11">
      <c r="A932" s="18"/>
      <c r="B932" s="19"/>
      <c r="C932" s="15"/>
      <c r="D932" s="15"/>
      <c r="E932" s="15"/>
      <c r="F932" s="17"/>
      <c r="G932" s="19"/>
      <c r="H932" s="20">
        <f>IF($A932="","",YEAR($A932))</f>
        <v>0</v>
      </c>
      <c r="I932" s="20">
        <f>IF($A932="","",MONTH($A932))</f>
        <v>0</v>
      </c>
      <c r="J932" s="21">
        <f>IF(OR($A932="",$F932=""),"",IF($B932="Entrada",$F932,-$F932))</f>
        <v>0</v>
      </c>
      <c r="K932" s="20">
        <f>IF($A932="","",IF(OR($B932="",$C932="",$F932="",$G932=""),"Preencher tudo",IF(IFERROR(INDEX(CatTipo,MATCH($C932,CatNome,0)),"")&lt;&gt;$B932,"Categoria x Tipo?","OK")))</f>
        <v>0</v>
      </c>
    </row>
    <row r="933" spans="1:11">
      <c r="A933" s="18"/>
      <c r="B933" s="19"/>
      <c r="C933" s="15"/>
      <c r="D933" s="15"/>
      <c r="E933" s="15"/>
      <c r="F933" s="17"/>
      <c r="G933" s="19"/>
      <c r="H933" s="20">
        <f>IF($A933="","",YEAR($A933))</f>
        <v>0</v>
      </c>
      <c r="I933" s="20">
        <f>IF($A933="","",MONTH($A933))</f>
        <v>0</v>
      </c>
      <c r="J933" s="21">
        <f>IF(OR($A933="",$F933=""),"",IF($B933="Entrada",$F933,-$F933))</f>
        <v>0</v>
      </c>
      <c r="K933" s="20">
        <f>IF($A933="","",IF(OR($B933="",$C933="",$F933="",$G933=""),"Preencher tudo",IF(IFERROR(INDEX(CatTipo,MATCH($C933,CatNome,0)),"")&lt;&gt;$B933,"Categoria x Tipo?","OK")))</f>
        <v>0</v>
      </c>
    </row>
    <row r="934" spans="1:11">
      <c r="A934" s="18"/>
      <c r="B934" s="19"/>
      <c r="C934" s="15"/>
      <c r="D934" s="15"/>
      <c r="E934" s="15"/>
      <c r="F934" s="17"/>
      <c r="G934" s="19"/>
      <c r="H934" s="20">
        <f>IF($A934="","",YEAR($A934))</f>
        <v>0</v>
      </c>
      <c r="I934" s="20">
        <f>IF($A934="","",MONTH($A934))</f>
        <v>0</v>
      </c>
      <c r="J934" s="21">
        <f>IF(OR($A934="",$F934=""),"",IF($B934="Entrada",$F934,-$F934))</f>
        <v>0</v>
      </c>
      <c r="K934" s="20">
        <f>IF($A934="","",IF(OR($B934="",$C934="",$F934="",$G934=""),"Preencher tudo",IF(IFERROR(INDEX(CatTipo,MATCH($C934,CatNome,0)),"")&lt;&gt;$B934,"Categoria x Tipo?","OK")))</f>
        <v>0</v>
      </c>
    </row>
    <row r="935" spans="1:11">
      <c r="A935" s="18"/>
      <c r="B935" s="19"/>
      <c r="C935" s="15"/>
      <c r="D935" s="15"/>
      <c r="E935" s="15"/>
      <c r="F935" s="17"/>
      <c r="G935" s="19"/>
      <c r="H935" s="20">
        <f>IF($A935="","",YEAR($A935))</f>
        <v>0</v>
      </c>
      <c r="I935" s="20">
        <f>IF($A935="","",MONTH($A935))</f>
        <v>0</v>
      </c>
      <c r="J935" s="21">
        <f>IF(OR($A935="",$F935=""),"",IF($B935="Entrada",$F935,-$F935))</f>
        <v>0</v>
      </c>
      <c r="K935" s="20">
        <f>IF($A935="","",IF(OR($B935="",$C935="",$F935="",$G935=""),"Preencher tudo",IF(IFERROR(INDEX(CatTipo,MATCH($C935,CatNome,0)),"")&lt;&gt;$B935,"Categoria x Tipo?","OK")))</f>
        <v>0</v>
      </c>
    </row>
    <row r="936" spans="1:11">
      <c r="A936" s="18"/>
      <c r="B936" s="19"/>
      <c r="C936" s="15"/>
      <c r="D936" s="15"/>
      <c r="E936" s="15"/>
      <c r="F936" s="17"/>
      <c r="G936" s="19"/>
      <c r="H936" s="20">
        <f>IF($A936="","",YEAR($A936))</f>
        <v>0</v>
      </c>
      <c r="I936" s="20">
        <f>IF($A936="","",MONTH($A936))</f>
        <v>0</v>
      </c>
      <c r="J936" s="21">
        <f>IF(OR($A936="",$F936=""),"",IF($B936="Entrada",$F936,-$F936))</f>
        <v>0</v>
      </c>
      <c r="K936" s="20">
        <f>IF($A936="","",IF(OR($B936="",$C936="",$F936="",$G936=""),"Preencher tudo",IF(IFERROR(INDEX(CatTipo,MATCH($C936,CatNome,0)),"")&lt;&gt;$B936,"Categoria x Tipo?","OK")))</f>
        <v>0</v>
      </c>
    </row>
    <row r="937" spans="1:11">
      <c r="A937" s="18"/>
      <c r="B937" s="19"/>
      <c r="C937" s="15"/>
      <c r="D937" s="15"/>
      <c r="E937" s="15"/>
      <c r="F937" s="17"/>
      <c r="G937" s="19"/>
      <c r="H937" s="20">
        <f>IF($A937="","",YEAR($A937))</f>
        <v>0</v>
      </c>
      <c r="I937" s="20">
        <f>IF($A937="","",MONTH($A937))</f>
        <v>0</v>
      </c>
      <c r="J937" s="21">
        <f>IF(OR($A937="",$F937=""),"",IF($B937="Entrada",$F937,-$F937))</f>
        <v>0</v>
      </c>
      <c r="K937" s="20">
        <f>IF($A937="","",IF(OR($B937="",$C937="",$F937="",$G937=""),"Preencher tudo",IF(IFERROR(INDEX(CatTipo,MATCH($C937,CatNome,0)),"")&lt;&gt;$B937,"Categoria x Tipo?","OK")))</f>
        <v>0</v>
      </c>
    </row>
    <row r="938" spans="1:11">
      <c r="A938" s="18"/>
      <c r="B938" s="19"/>
      <c r="C938" s="15"/>
      <c r="D938" s="15"/>
      <c r="E938" s="15"/>
      <c r="F938" s="17"/>
      <c r="G938" s="19"/>
      <c r="H938" s="20">
        <f>IF($A938="","",YEAR($A938))</f>
        <v>0</v>
      </c>
      <c r="I938" s="20">
        <f>IF($A938="","",MONTH($A938))</f>
        <v>0</v>
      </c>
      <c r="J938" s="21">
        <f>IF(OR($A938="",$F938=""),"",IF($B938="Entrada",$F938,-$F938))</f>
        <v>0</v>
      </c>
      <c r="K938" s="20">
        <f>IF($A938="","",IF(OR($B938="",$C938="",$F938="",$G938=""),"Preencher tudo",IF(IFERROR(INDEX(CatTipo,MATCH($C938,CatNome,0)),"")&lt;&gt;$B938,"Categoria x Tipo?","OK")))</f>
        <v>0</v>
      </c>
    </row>
    <row r="939" spans="1:11">
      <c r="A939" s="18"/>
      <c r="B939" s="19"/>
      <c r="C939" s="15"/>
      <c r="D939" s="15"/>
      <c r="E939" s="15"/>
      <c r="F939" s="17"/>
      <c r="G939" s="19"/>
      <c r="H939" s="20">
        <f>IF($A939="","",YEAR($A939))</f>
        <v>0</v>
      </c>
      <c r="I939" s="20">
        <f>IF($A939="","",MONTH($A939))</f>
        <v>0</v>
      </c>
      <c r="J939" s="21">
        <f>IF(OR($A939="",$F939=""),"",IF($B939="Entrada",$F939,-$F939))</f>
        <v>0</v>
      </c>
      <c r="K939" s="20">
        <f>IF($A939="","",IF(OR($B939="",$C939="",$F939="",$G939=""),"Preencher tudo",IF(IFERROR(INDEX(CatTipo,MATCH($C939,CatNome,0)),"")&lt;&gt;$B939,"Categoria x Tipo?","OK")))</f>
        <v>0</v>
      </c>
    </row>
    <row r="940" spans="1:11">
      <c r="A940" s="18"/>
      <c r="B940" s="19"/>
      <c r="C940" s="15"/>
      <c r="D940" s="15"/>
      <c r="E940" s="15"/>
      <c r="F940" s="17"/>
      <c r="G940" s="19"/>
      <c r="H940" s="20">
        <f>IF($A940="","",YEAR($A940))</f>
        <v>0</v>
      </c>
      <c r="I940" s="20">
        <f>IF($A940="","",MONTH($A940))</f>
        <v>0</v>
      </c>
      <c r="J940" s="21">
        <f>IF(OR($A940="",$F940=""),"",IF($B940="Entrada",$F940,-$F940))</f>
        <v>0</v>
      </c>
      <c r="K940" s="20">
        <f>IF($A940="","",IF(OR($B940="",$C940="",$F940="",$G940=""),"Preencher tudo",IF(IFERROR(INDEX(CatTipo,MATCH($C940,CatNome,0)),"")&lt;&gt;$B940,"Categoria x Tipo?","OK")))</f>
        <v>0</v>
      </c>
    </row>
    <row r="941" spans="1:11">
      <c r="A941" s="18"/>
      <c r="B941" s="19"/>
      <c r="C941" s="15"/>
      <c r="D941" s="15"/>
      <c r="E941" s="15"/>
      <c r="F941" s="17"/>
      <c r="G941" s="19"/>
      <c r="H941" s="20">
        <f>IF($A941="","",YEAR($A941))</f>
        <v>0</v>
      </c>
      <c r="I941" s="20">
        <f>IF($A941="","",MONTH($A941))</f>
        <v>0</v>
      </c>
      <c r="J941" s="21">
        <f>IF(OR($A941="",$F941=""),"",IF($B941="Entrada",$F941,-$F941))</f>
        <v>0</v>
      </c>
      <c r="K941" s="20">
        <f>IF($A941="","",IF(OR($B941="",$C941="",$F941="",$G941=""),"Preencher tudo",IF(IFERROR(INDEX(CatTipo,MATCH($C941,CatNome,0)),"")&lt;&gt;$B941,"Categoria x Tipo?","OK")))</f>
        <v>0</v>
      </c>
    </row>
    <row r="942" spans="1:11">
      <c r="A942" s="18"/>
      <c r="B942" s="19"/>
      <c r="C942" s="15"/>
      <c r="D942" s="15"/>
      <c r="E942" s="15"/>
      <c r="F942" s="17"/>
      <c r="G942" s="19"/>
      <c r="H942" s="20">
        <f>IF($A942="","",YEAR($A942))</f>
        <v>0</v>
      </c>
      <c r="I942" s="20">
        <f>IF($A942="","",MONTH($A942))</f>
        <v>0</v>
      </c>
      <c r="J942" s="21">
        <f>IF(OR($A942="",$F942=""),"",IF($B942="Entrada",$F942,-$F942))</f>
        <v>0</v>
      </c>
      <c r="K942" s="20">
        <f>IF($A942="","",IF(OR($B942="",$C942="",$F942="",$G942=""),"Preencher tudo",IF(IFERROR(INDEX(CatTipo,MATCH($C942,CatNome,0)),"")&lt;&gt;$B942,"Categoria x Tipo?","OK")))</f>
        <v>0</v>
      </c>
    </row>
    <row r="943" spans="1:11">
      <c r="A943" s="18"/>
      <c r="B943" s="19"/>
      <c r="C943" s="15"/>
      <c r="D943" s="15"/>
      <c r="E943" s="15"/>
      <c r="F943" s="17"/>
      <c r="G943" s="19"/>
      <c r="H943" s="20">
        <f>IF($A943="","",YEAR($A943))</f>
        <v>0</v>
      </c>
      <c r="I943" s="20">
        <f>IF($A943="","",MONTH($A943))</f>
        <v>0</v>
      </c>
      <c r="J943" s="21">
        <f>IF(OR($A943="",$F943=""),"",IF($B943="Entrada",$F943,-$F943))</f>
        <v>0</v>
      </c>
      <c r="K943" s="20">
        <f>IF($A943="","",IF(OR($B943="",$C943="",$F943="",$G943=""),"Preencher tudo",IF(IFERROR(INDEX(CatTipo,MATCH($C943,CatNome,0)),"")&lt;&gt;$B943,"Categoria x Tipo?","OK")))</f>
        <v>0</v>
      </c>
    </row>
    <row r="944" spans="1:11">
      <c r="A944" s="18"/>
      <c r="B944" s="19"/>
      <c r="C944" s="15"/>
      <c r="D944" s="15"/>
      <c r="E944" s="15"/>
      <c r="F944" s="17"/>
      <c r="G944" s="19"/>
      <c r="H944" s="20">
        <f>IF($A944="","",YEAR($A944))</f>
        <v>0</v>
      </c>
      <c r="I944" s="20">
        <f>IF($A944="","",MONTH($A944))</f>
        <v>0</v>
      </c>
      <c r="J944" s="21">
        <f>IF(OR($A944="",$F944=""),"",IF($B944="Entrada",$F944,-$F944))</f>
        <v>0</v>
      </c>
      <c r="K944" s="20">
        <f>IF($A944="","",IF(OR($B944="",$C944="",$F944="",$G944=""),"Preencher tudo",IF(IFERROR(INDEX(CatTipo,MATCH($C944,CatNome,0)),"")&lt;&gt;$B944,"Categoria x Tipo?","OK")))</f>
        <v>0</v>
      </c>
    </row>
    <row r="945" spans="1:11">
      <c r="A945" s="18"/>
      <c r="B945" s="19"/>
      <c r="C945" s="15"/>
      <c r="D945" s="15"/>
      <c r="E945" s="15"/>
      <c r="F945" s="17"/>
      <c r="G945" s="19"/>
      <c r="H945" s="20">
        <f>IF($A945="","",YEAR($A945))</f>
        <v>0</v>
      </c>
      <c r="I945" s="20">
        <f>IF($A945="","",MONTH($A945))</f>
        <v>0</v>
      </c>
      <c r="J945" s="21">
        <f>IF(OR($A945="",$F945=""),"",IF($B945="Entrada",$F945,-$F945))</f>
        <v>0</v>
      </c>
      <c r="K945" s="20">
        <f>IF($A945="","",IF(OR($B945="",$C945="",$F945="",$G945=""),"Preencher tudo",IF(IFERROR(INDEX(CatTipo,MATCH($C945,CatNome,0)),"")&lt;&gt;$B945,"Categoria x Tipo?","OK")))</f>
        <v>0</v>
      </c>
    </row>
    <row r="946" spans="1:11">
      <c r="A946" s="18"/>
      <c r="B946" s="19"/>
      <c r="C946" s="15"/>
      <c r="D946" s="15"/>
      <c r="E946" s="15"/>
      <c r="F946" s="17"/>
      <c r="G946" s="19"/>
      <c r="H946" s="20">
        <f>IF($A946="","",YEAR($A946))</f>
        <v>0</v>
      </c>
      <c r="I946" s="20">
        <f>IF($A946="","",MONTH($A946))</f>
        <v>0</v>
      </c>
      <c r="J946" s="21">
        <f>IF(OR($A946="",$F946=""),"",IF($B946="Entrada",$F946,-$F946))</f>
        <v>0</v>
      </c>
      <c r="K946" s="20">
        <f>IF($A946="","",IF(OR($B946="",$C946="",$F946="",$G946=""),"Preencher tudo",IF(IFERROR(INDEX(CatTipo,MATCH($C946,CatNome,0)),"")&lt;&gt;$B946,"Categoria x Tipo?","OK")))</f>
        <v>0</v>
      </c>
    </row>
    <row r="947" spans="1:11">
      <c r="A947" s="18"/>
      <c r="B947" s="19"/>
      <c r="C947" s="15"/>
      <c r="D947" s="15"/>
      <c r="E947" s="15"/>
      <c r="F947" s="17"/>
      <c r="G947" s="19"/>
      <c r="H947" s="20">
        <f>IF($A947="","",YEAR($A947))</f>
        <v>0</v>
      </c>
      <c r="I947" s="20">
        <f>IF($A947="","",MONTH($A947))</f>
        <v>0</v>
      </c>
      <c r="J947" s="21">
        <f>IF(OR($A947="",$F947=""),"",IF($B947="Entrada",$F947,-$F947))</f>
        <v>0</v>
      </c>
      <c r="K947" s="20">
        <f>IF($A947="","",IF(OR($B947="",$C947="",$F947="",$G947=""),"Preencher tudo",IF(IFERROR(INDEX(CatTipo,MATCH($C947,CatNome,0)),"")&lt;&gt;$B947,"Categoria x Tipo?","OK")))</f>
        <v>0</v>
      </c>
    </row>
    <row r="948" spans="1:11">
      <c r="A948" s="18"/>
      <c r="B948" s="19"/>
      <c r="C948" s="15"/>
      <c r="D948" s="15"/>
      <c r="E948" s="15"/>
      <c r="F948" s="17"/>
      <c r="G948" s="19"/>
      <c r="H948" s="20">
        <f>IF($A948="","",YEAR($A948))</f>
        <v>0</v>
      </c>
      <c r="I948" s="20">
        <f>IF($A948="","",MONTH($A948))</f>
        <v>0</v>
      </c>
      <c r="J948" s="21">
        <f>IF(OR($A948="",$F948=""),"",IF($B948="Entrada",$F948,-$F948))</f>
        <v>0</v>
      </c>
      <c r="K948" s="20">
        <f>IF($A948="","",IF(OR($B948="",$C948="",$F948="",$G948=""),"Preencher tudo",IF(IFERROR(INDEX(CatTipo,MATCH($C948,CatNome,0)),"")&lt;&gt;$B948,"Categoria x Tipo?","OK")))</f>
        <v>0</v>
      </c>
    </row>
    <row r="949" spans="1:11">
      <c r="A949" s="18"/>
      <c r="B949" s="19"/>
      <c r="C949" s="15"/>
      <c r="D949" s="15"/>
      <c r="E949" s="15"/>
      <c r="F949" s="17"/>
      <c r="G949" s="19"/>
      <c r="H949" s="20">
        <f>IF($A949="","",YEAR($A949))</f>
        <v>0</v>
      </c>
      <c r="I949" s="20">
        <f>IF($A949="","",MONTH($A949))</f>
        <v>0</v>
      </c>
      <c r="J949" s="21">
        <f>IF(OR($A949="",$F949=""),"",IF($B949="Entrada",$F949,-$F949))</f>
        <v>0</v>
      </c>
      <c r="K949" s="20">
        <f>IF($A949="","",IF(OR($B949="",$C949="",$F949="",$G949=""),"Preencher tudo",IF(IFERROR(INDEX(CatTipo,MATCH($C949,CatNome,0)),"")&lt;&gt;$B949,"Categoria x Tipo?","OK")))</f>
        <v>0</v>
      </c>
    </row>
    <row r="950" spans="1:11">
      <c r="A950" s="18"/>
      <c r="B950" s="19"/>
      <c r="C950" s="15"/>
      <c r="D950" s="15"/>
      <c r="E950" s="15"/>
      <c r="F950" s="17"/>
      <c r="G950" s="19"/>
      <c r="H950" s="20">
        <f>IF($A950="","",YEAR($A950))</f>
        <v>0</v>
      </c>
      <c r="I950" s="20">
        <f>IF($A950="","",MONTH($A950))</f>
        <v>0</v>
      </c>
      <c r="J950" s="21">
        <f>IF(OR($A950="",$F950=""),"",IF($B950="Entrada",$F950,-$F950))</f>
        <v>0</v>
      </c>
      <c r="K950" s="20">
        <f>IF($A950="","",IF(OR($B950="",$C950="",$F950="",$G950=""),"Preencher tudo",IF(IFERROR(INDEX(CatTipo,MATCH($C950,CatNome,0)),"")&lt;&gt;$B950,"Categoria x Tipo?","OK")))</f>
        <v>0</v>
      </c>
    </row>
    <row r="951" spans="1:11">
      <c r="A951" s="18"/>
      <c r="B951" s="19"/>
      <c r="C951" s="15"/>
      <c r="D951" s="15"/>
      <c r="E951" s="15"/>
      <c r="F951" s="17"/>
      <c r="G951" s="19"/>
      <c r="H951" s="20">
        <f>IF($A951="","",YEAR($A951))</f>
        <v>0</v>
      </c>
      <c r="I951" s="20">
        <f>IF($A951="","",MONTH($A951))</f>
        <v>0</v>
      </c>
      <c r="J951" s="21">
        <f>IF(OR($A951="",$F951=""),"",IF($B951="Entrada",$F951,-$F951))</f>
        <v>0</v>
      </c>
      <c r="K951" s="20">
        <f>IF($A951="","",IF(OR($B951="",$C951="",$F951="",$G951=""),"Preencher tudo",IF(IFERROR(INDEX(CatTipo,MATCH($C951,CatNome,0)),"")&lt;&gt;$B951,"Categoria x Tipo?","OK")))</f>
        <v>0</v>
      </c>
    </row>
    <row r="952" spans="1:11">
      <c r="A952" s="18"/>
      <c r="B952" s="19"/>
      <c r="C952" s="15"/>
      <c r="D952" s="15"/>
      <c r="E952" s="15"/>
      <c r="F952" s="17"/>
      <c r="G952" s="19"/>
      <c r="H952" s="20">
        <f>IF($A952="","",YEAR($A952))</f>
        <v>0</v>
      </c>
      <c r="I952" s="20">
        <f>IF($A952="","",MONTH($A952))</f>
        <v>0</v>
      </c>
      <c r="J952" s="21">
        <f>IF(OR($A952="",$F952=""),"",IF($B952="Entrada",$F952,-$F952))</f>
        <v>0</v>
      </c>
      <c r="K952" s="20">
        <f>IF($A952="","",IF(OR($B952="",$C952="",$F952="",$G952=""),"Preencher tudo",IF(IFERROR(INDEX(CatTipo,MATCH($C952,CatNome,0)),"")&lt;&gt;$B952,"Categoria x Tipo?","OK")))</f>
        <v>0</v>
      </c>
    </row>
    <row r="953" spans="1:11">
      <c r="A953" s="18"/>
      <c r="B953" s="19"/>
      <c r="C953" s="15"/>
      <c r="D953" s="15"/>
      <c r="E953" s="15"/>
      <c r="F953" s="17"/>
      <c r="G953" s="19"/>
      <c r="H953" s="20">
        <f>IF($A953="","",YEAR($A953))</f>
        <v>0</v>
      </c>
      <c r="I953" s="20">
        <f>IF($A953="","",MONTH($A953))</f>
        <v>0</v>
      </c>
      <c r="J953" s="21">
        <f>IF(OR($A953="",$F953=""),"",IF($B953="Entrada",$F953,-$F953))</f>
        <v>0</v>
      </c>
      <c r="K953" s="20">
        <f>IF($A953="","",IF(OR($B953="",$C953="",$F953="",$G953=""),"Preencher tudo",IF(IFERROR(INDEX(CatTipo,MATCH($C953,CatNome,0)),"")&lt;&gt;$B953,"Categoria x Tipo?","OK")))</f>
        <v>0</v>
      </c>
    </row>
    <row r="954" spans="1:11">
      <c r="A954" s="18"/>
      <c r="B954" s="19"/>
      <c r="C954" s="15"/>
      <c r="D954" s="15"/>
      <c r="E954" s="15"/>
      <c r="F954" s="17"/>
      <c r="G954" s="19"/>
      <c r="H954" s="20">
        <f>IF($A954="","",YEAR($A954))</f>
        <v>0</v>
      </c>
      <c r="I954" s="20">
        <f>IF($A954="","",MONTH($A954))</f>
        <v>0</v>
      </c>
      <c r="J954" s="21">
        <f>IF(OR($A954="",$F954=""),"",IF($B954="Entrada",$F954,-$F954))</f>
        <v>0</v>
      </c>
      <c r="K954" s="20">
        <f>IF($A954="","",IF(OR($B954="",$C954="",$F954="",$G954=""),"Preencher tudo",IF(IFERROR(INDEX(CatTipo,MATCH($C954,CatNome,0)),"")&lt;&gt;$B954,"Categoria x Tipo?","OK")))</f>
        <v>0</v>
      </c>
    </row>
    <row r="955" spans="1:11">
      <c r="A955" s="18"/>
      <c r="B955" s="19"/>
      <c r="C955" s="15"/>
      <c r="D955" s="15"/>
      <c r="E955" s="15"/>
      <c r="F955" s="17"/>
      <c r="G955" s="19"/>
      <c r="H955" s="20">
        <f>IF($A955="","",YEAR($A955))</f>
        <v>0</v>
      </c>
      <c r="I955" s="20">
        <f>IF($A955="","",MONTH($A955))</f>
        <v>0</v>
      </c>
      <c r="J955" s="21">
        <f>IF(OR($A955="",$F955=""),"",IF($B955="Entrada",$F955,-$F955))</f>
        <v>0</v>
      </c>
      <c r="K955" s="20">
        <f>IF($A955="","",IF(OR($B955="",$C955="",$F955="",$G955=""),"Preencher tudo",IF(IFERROR(INDEX(CatTipo,MATCH($C955,CatNome,0)),"")&lt;&gt;$B955,"Categoria x Tipo?","OK")))</f>
        <v>0</v>
      </c>
    </row>
    <row r="956" spans="1:11">
      <c r="A956" s="18"/>
      <c r="B956" s="19"/>
      <c r="C956" s="15"/>
      <c r="D956" s="15"/>
      <c r="E956" s="15"/>
      <c r="F956" s="17"/>
      <c r="G956" s="19"/>
      <c r="H956" s="20">
        <f>IF($A956="","",YEAR($A956))</f>
        <v>0</v>
      </c>
      <c r="I956" s="20">
        <f>IF($A956="","",MONTH($A956))</f>
        <v>0</v>
      </c>
      <c r="J956" s="21">
        <f>IF(OR($A956="",$F956=""),"",IF($B956="Entrada",$F956,-$F956))</f>
        <v>0</v>
      </c>
      <c r="K956" s="20">
        <f>IF($A956="","",IF(OR($B956="",$C956="",$F956="",$G956=""),"Preencher tudo",IF(IFERROR(INDEX(CatTipo,MATCH($C956,CatNome,0)),"")&lt;&gt;$B956,"Categoria x Tipo?","OK")))</f>
        <v>0</v>
      </c>
    </row>
    <row r="957" spans="1:11">
      <c r="A957" s="18"/>
      <c r="B957" s="19"/>
      <c r="C957" s="15"/>
      <c r="D957" s="15"/>
      <c r="E957" s="15"/>
      <c r="F957" s="17"/>
      <c r="G957" s="19"/>
      <c r="H957" s="20">
        <f>IF($A957="","",YEAR($A957))</f>
        <v>0</v>
      </c>
      <c r="I957" s="20">
        <f>IF($A957="","",MONTH($A957))</f>
        <v>0</v>
      </c>
      <c r="J957" s="21">
        <f>IF(OR($A957="",$F957=""),"",IF($B957="Entrada",$F957,-$F957))</f>
        <v>0</v>
      </c>
      <c r="K957" s="20">
        <f>IF($A957="","",IF(OR($B957="",$C957="",$F957="",$G957=""),"Preencher tudo",IF(IFERROR(INDEX(CatTipo,MATCH($C957,CatNome,0)),"")&lt;&gt;$B957,"Categoria x Tipo?","OK")))</f>
        <v>0</v>
      </c>
    </row>
    <row r="958" spans="1:11">
      <c r="A958" s="18"/>
      <c r="B958" s="19"/>
      <c r="C958" s="15"/>
      <c r="D958" s="15"/>
      <c r="E958" s="15"/>
      <c r="F958" s="17"/>
      <c r="G958" s="19"/>
      <c r="H958" s="20">
        <f>IF($A958="","",YEAR($A958))</f>
        <v>0</v>
      </c>
      <c r="I958" s="20">
        <f>IF($A958="","",MONTH($A958))</f>
        <v>0</v>
      </c>
      <c r="J958" s="21">
        <f>IF(OR($A958="",$F958=""),"",IF($B958="Entrada",$F958,-$F958))</f>
        <v>0</v>
      </c>
      <c r="K958" s="20">
        <f>IF($A958="","",IF(OR($B958="",$C958="",$F958="",$G958=""),"Preencher tudo",IF(IFERROR(INDEX(CatTipo,MATCH($C958,CatNome,0)),"")&lt;&gt;$B958,"Categoria x Tipo?","OK")))</f>
        <v>0</v>
      </c>
    </row>
    <row r="959" spans="1:11">
      <c r="A959" s="18"/>
      <c r="B959" s="19"/>
      <c r="C959" s="15"/>
      <c r="D959" s="15"/>
      <c r="E959" s="15"/>
      <c r="F959" s="17"/>
      <c r="G959" s="19"/>
      <c r="H959" s="20">
        <f>IF($A959="","",YEAR($A959))</f>
        <v>0</v>
      </c>
      <c r="I959" s="20">
        <f>IF($A959="","",MONTH($A959))</f>
        <v>0</v>
      </c>
      <c r="J959" s="21">
        <f>IF(OR($A959="",$F959=""),"",IF($B959="Entrada",$F959,-$F959))</f>
        <v>0</v>
      </c>
      <c r="K959" s="20">
        <f>IF($A959="","",IF(OR($B959="",$C959="",$F959="",$G959=""),"Preencher tudo",IF(IFERROR(INDEX(CatTipo,MATCH($C959,CatNome,0)),"")&lt;&gt;$B959,"Categoria x Tipo?","OK")))</f>
        <v>0</v>
      </c>
    </row>
    <row r="960" spans="1:11">
      <c r="A960" s="18"/>
      <c r="B960" s="19"/>
      <c r="C960" s="15"/>
      <c r="D960" s="15"/>
      <c r="E960" s="15"/>
      <c r="F960" s="17"/>
      <c r="G960" s="19"/>
      <c r="H960" s="20">
        <f>IF($A960="","",YEAR($A960))</f>
        <v>0</v>
      </c>
      <c r="I960" s="20">
        <f>IF($A960="","",MONTH($A960))</f>
        <v>0</v>
      </c>
      <c r="J960" s="21">
        <f>IF(OR($A960="",$F960=""),"",IF($B960="Entrada",$F960,-$F960))</f>
        <v>0</v>
      </c>
      <c r="K960" s="20">
        <f>IF($A960="","",IF(OR($B960="",$C960="",$F960="",$G960=""),"Preencher tudo",IF(IFERROR(INDEX(CatTipo,MATCH($C960,CatNome,0)),"")&lt;&gt;$B960,"Categoria x Tipo?","OK")))</f>
        <v>0</v>
      </c>
    </row>
    <row r="961" spans="1:11">
      <c r="A961" s="18"/>
      <c r="B961" s="19"/>
      <c r="C961" s="15"/>
      <c r="D961" s="15"/>
      <c r="E961" s="15"/>
      <c r="F961" s="17"/>
      <c r="G961" s="19"/>
      <c r="H961" s="20">
        <f>IF($A961="","",YEAR($A961))</f>
        <v>0</v>
      </c>
      <c r="I961" s="20">
        <f>IF($A961="","",MONTH($A961))</f>
        <v>0</v>
      </c>
      <c r="J961" s="21">
        <f>IF(OR($A961="",$F961=""),"",IF($B961="Entrada",$F961,-$F961))</f>
        <v>0</v>
      </c>
      <c r="K961" s="20">
        <f>IF($A961="","",IF(OR($B961="",$C961="",$F961="",$G961=""),"Preencher tudo",IF(IFERROR(INDEX(CatTipo,MATCH($C961,CatNome,0)),"")&lt;&gt;$B961,"Categoria x Tipo?","OK")))</f>
        <v>0</v>
      </c>
    </row>
    <row r="962" spans="1:11">
      <c r="A962" s="18"/>
      <c r="B962" s="19"/>
      <c r="C962" s="15"/>
      <c r="D962" s="15"/>
      <c r="E962" s="15"/>
      <c r="F962" s="17"/>
      <c r="G962" s="19"/>
      <c r="H962" s="20">
        <f>IF($A962="","",YEAR($A962))</f>
        <v>0</v>
      </c>
      <c r="I962" s="20">
        <f>IF($A962="","",MONTH($A962))</f>
        <v>0</v>
      </c>
      <c r="J962" s="21">
        <f>IF(OR($A962="",$F962=""),"",IF($B962="Entrada",$F962,-$F962))</f>
        <v>0</v>
      </c>
      <c r="K962" s="20">
        <f>IF($A962="","",IF(OR($B962="",$C962="",$F962="",$G962=""),"Preencher tudo",IF(IFERROR(INDEX(CatTipo,MATCH($C962,CatNome,0)),"")&lt;&gt;$B962,"Categoria x Tipo?","OK")))</f>
        <v>0</v>
      </c>
    </row>
    <row r="963" spans="1:11">
      <c r="A963" s="18"/>
      <c r="B963" s="19"/>
      <c r="C963" s="15"/>
      <c r="D963" s="15"/>
      <c r="E963" s="15"/>
      <c r="F963" s="17"/>
      <c r="G963" s="19"/>
      <c r="H963" s="20">
        <f>IF($A963="","",YEAR($A963))</f>
        <v>0</v>
      </c>
      <c r="I963" s="20">
        <f>IF($A963="","",MONTH($A963))</f>
        <v>0</v>
      </c>
      <c r="J963" s="21">
        <f>IF(OR($A963="",$F963=""),"",IF($B963="Entrada",$F963,-$F963))</f>
        <v>0</v>
      </c>
      <c r="K963" s="20">
        <f>IF($A963="","",IF(OR($B963="",$C963="",$F963="",$G963=""),"Preencher tudo",IF(IFERROR(INDEX(CatTipo,MATCH($C963,CatNome,0)),"")&lt;&gt;$B963,"Categoria x Tipo?","OK")))</f>
        <v>0</v>
      </c>
    </row>
    <row r="964" spans="1:11">
      <c r="A964" s="18"/>
      <c r="B964" s="19"/>
      <c r="C964" s="15"/>
      <c r="D964" s="15"/>
      <c r="E964" s="15"/>
      <c r="F964" s="17"/>
      <c r="G964" s="19"/>
      <c r="H964" s="20">
        <f>IF($A964="","",YEAR($A964))</f>
        <v>0</v>
      </c>
      <c r="I964" s="20">
        <f>IF($A964="","",MONTH($A964))</f>
        <v>0</v>
      </c>
      <c r="J964" s="21">
        <f>IF(OR($A964="",$F964=""),"",IF($B964="Entrada",$F964,-$F964))</f>
        <v>0</v>
      </c>
      <c r="K964" s="20">
        <f>IF($A964="","",IF(OR($B964="",$C964="",$F964="",$G964=""),"Preencher tudo",IF(IFERROR(INDEX(CatTipo,MATCH($C964,CatNome,0)),"")&lt;&gt;$B964,"Categoria x Tipo?","OK")))</f>
        <v>0</v>
      </c>
    </row>
    <row r="965" spans="1:11">
      <c r="A965" s="18"/>
      <c r="B965" s="19"/>
      <c r="C965" s="15"/>
      <c r="D965" s="15"/>
      <c r="E965" s="15"/>
      <c r="F965" s="17"/>
      <c r="G965" s="19"/>
      <c r="H965" s="20">
        <f>IF($A965="","",YEAR($A965))</f>
        <v>0</v>
      </c>
      <c r="I965" s="20">
        <f>IF($A965="","",MONTH($A965))</f>
        <v>0</v>
      </c>
      <c r="J965" s="21">
        <f>IF(OR($A965="",$F965=""),"",IF($B965="Entrada",$F965,-$F965))</f>
        <v>0</v>
      </c>
      <c r="K965" s="20">
        <f>IF($A965="","",IF(OR($B965="",$C965="",$F965="",$G965=""),"Preencher tudo",IF(IFERROR(INDEX(CatTipo,MATCH($C965,CatNome,0)),"")&lt;&gt;$B965,"Categoria x Tipo?","OK")))</f>
        <v>0</v>
      </c>
    </row>
    <row r="966" spans="1:11">
      <c r="A966" s="18"/>
      <c r="B966" s="19"/>
      <c r="C966" s="15"/>
      <c r="D966" s="15"/>
      <c r="E966" s="15"/>
      <c r="F966" s="17"/>
      <c r="G966" s="19"/>
      <c r="H966" s="20">
        <f>IF($A966="","",YEAR($A966))</f>
        <v>0</v>
      </c>
      <c r="I966" s="20">
        <f>IF($A966="","",MONTH($A966))</f>
        <v>0</v>
      </c>
      <c r="J966" s="21">
        <f>IF(OR($A966="",$F966=""),"",IF($B966="Entrada",$F966,-$F966))</f>
        <v>0</v>
      </c>
      <c r="K966" s="20">
        <f>IF($A966="","",IF(OR($B966="",$C966="",$F966="",$G966=""),"Preencher tudo",IF(IFERROR(INDEX(CatTipo,MATCH($C966,CatNome,0)),"")&lt;&gt;$B966,"Categoria x Tipo?","OK")))</f>
        <v>0</v>
      </c>
    </row>
    <row r="967" spans="1:11">
      <c r="A967" s="18"/>
      <c r="B967" s="19"/>
      <c r="C967" s="15"/>
      <c r="D967" s="15"/>
      <c r="E967" s="15"/>
      <c r="F967" s="17"/>
      <c r="G967" s="19"/>
      <c r="H967" s="20">
        <f>IF($A967="","",YEAR($A967))</f>
        <v>0</v>
      </c>
      <c r="I967" s="20">
        <f>IF($A967="","",MONTH($A967))</f>
        <v>0</v>
      </c>
      <c r="J967" s="21">
        <f>IF(OR($A967="",$F967=""),"",IF($B967="Entrada",$F967,-$F967))</f>
        <v>0</v>
      </c>
      <c r="K967" s="20">
        <f>IF($A967="","",IF(OR($B967="",$C967="",$F967="",$G967=""),"Preencher tudo",IF(IFERROR(INDEX(CatTipo,MATCH($C967,CatNome,0)),"")&lt;&gt;$B967,"Categoria x Tipo?","OK")))</f>
        <v>0</v>
      </c>
    </row>
    <row r="968" spans="1:11">
      <c r="A968" s="18"/>
      <c r="B968" s="19"/>
      <c r="C968" s="15"/>
      <c r="D968" s="15"/>
      <c r="E968" s="15"/>
      <c r="F968" s="17"/>
      <c r="G968" s="19"/>
      <c r="H968" s="20">
        <f>IF($A968="","",YEAR($A968))</f>
        <v>0</v>
      </c>
      <c r="I968" s="20">
        <f>IF($A968="","",MONTH($A968))</f>
        <v>0</v>
      </c>
      <c r="J968" s="21">
        <f>IF(OR($A968="",$F968=""),"",IF($B968="Entrada",$F968,-$F968))</f>
        <v>0</v>
      </c>
      <c r="K968" s="20">
        <f>IF($A968="","",IF(OR($B968="",$C968="",$F968="",$G968=""),"Preencher tudo",IF(IFERROR(INDEX(CatTipo,MATCH($C968,CatNome,0)),"")&lt;&gt;$B968,"Categoria x Tipo?","OK")))</f>
        <v>0</v>
      </c>
    </row>
    <row r="969" spans="1:11">
      <c r="A969" s="18"/>
      <c r="B969" s="19"/>
      <c r="C969" s="15"/>
      <c r="D969" s="15"/>
      <c r="E969" s="15"/>
      <c r="F969" s="17"/>
      <c r="G969" s="19"/>
      <c r="H969" s="20">
        <f>IF($A969="","",YEAR($A969))</f>
        <v>0</v>
      </c>
      <c r="I969" s="20">
        <f>IF($A969="","",MONTH($A969))</f>
        <v>0</v>
      </c>
      <c r="J969" s="21">
        <f>IF(OR($A969="",$F969=""),"",IF($B969="Entrada",$F969,-$F969))</f>
        <v>0</v>
      </c>
      <c r="K969" s="20">
        <f>IF($A969="","",IF(OR($B969="",$C969="",$F969="",$G969=""),"Preencher tudo",IF(IFERROR(INDEX(CatTipo,MATCH($C969,CatNome,0)),"")&lt;&gt;$B969,"Categoria x Tipo?","OK")))</f>
        <v>0</v>
      </c>
    </row>
    <row r="970" spans="1:11">
      <c r="A970" s="18"/>
      <c r="B970" s="19"/>
      <c r="C970" s="15"/>
      <c r="D970" s="15"/>
      <c r="E970" s="15"/>
      <c r="F970" s="17"/>
      <c r="G970" s="19"/>
      <c r="H970" s="20">
        <f>IF($A970="","",YEAR($A970))</f>
        <v>0</v>
      </c>
      <c r="I970" s="20">
        <f>IF($A970="","",MONTH($A970))</f>
        <v>0</v>
      </c>
      <c r="J970" s="21">
        <f>IF(OR($A970="",$F970=""),"",IF($B970="Entrada",$F970,-$F970))</f>
        <v>0</v>
      </c>
      <c r="K970" s="20">
        <f>IF($A970="","",IF(OR($B970="",$C970="",$F970="",$G970=""),"Preencher tudo",IF(IFERROR(INDEX(CatTipo,MATCH($C970,CatNome,0)),"")&lt;&gt;$B970,"Categoria x Tipo?","OK")))</f>
        <v>0</v>
      </c>
    </row>
    <row r="971" spans="1:11">
      <c r="A971" s="18"/>
      <c r="B971" s="19"/>
      <c r="C971" s="15"/>
      <c r="D971" s="15"/>
      <c r="E971" s="15"/>
      <c r="F971" s="17"/>
      <c r="G971" s="19"/>
      <c r="H971" s="20">
        <f>IF($A971="","",YEAR($A971))</f>
        <v>0</v>
      </c>
      <c r="I971" s="20">
        <f>IF($A971="","",MONTH($A971))</f>
        <v>0</v>
      </c>
      <c r="J971" s="21">
        <f>IF(OR($A971="",$F971=""),"",IF($B971="Entrada",$F971,-$F971))</f>
        <v>0</v>
      </c>
      <c r="K971" s="20">
        <f>IF($A971="","",IF(OR($B971="",$C971="",$F971="",$G971=""),"Preencher tudo",IF(IFERROR(INDEX(CatTipo,MATCH($C971,CatNome,0)),"")&lt;&gt;$B971,"Categoria x Tipo?","OK")))</f>
        <v>0</v>
      </c>
    </row>
    <row r="972" spans="1:11">
      <c r="A972" s="18"/>
      <c r="B972" s="19"/>
      <c r="C972" s="15"/>
      <c r="D972" s="15"/>
      <c r="E972" s="15"/>
      <c r="F972" s="17"/>
      <c r="G972" s="19"/>
      <c r="H972" s="20">
        <f>IF($A972="","",YEAR($A972))</f>
        <v>0</v>
      </c>
      <c r="I972" s="20">
        <f>IF($A972="","",MONTH($A972))</f>
        <v>0</v>
      </c>
      <c r="J972" s="21">
        <f>IF(OR($A972="",$F972=""),"",IF($B972="Entrada",$F972,-$F972))</f>
        <v>0</v>
      </c>
      <c r="K972" s="20">
        <f>IF($A972="","",IF(OR($B972="",$C972="",$F972="",$G972=""),"Preencher tudo",IF(IFERROR(INDEX(CatTipo,MATCH($C972,CatNome,0)),"")&lt;&gt;$B972,"Categoria x Tipo?","OK")))</f>
        <v>0</v>
      </c>
    </row>
    <row r="973" spans="1:11">
      <c r="A973" s="18"/>
      <c r="B973" s="19"/>
      <c r="C973" s="15"/>
      <c r="D973" s="15"/>
      <c r="E973" s="15"/>
      <c r="F973" s="17"/>
      <c r="G973" s="19"/>
      <c r="H973" s="20">
        <f>IF($A973="","",YEAR($A973))</f>
        <v>0</v>
      </c>
      <c r="I973" s="20">
        <f>IF($A973="","",MONTH($A973))</f>
        <v>0</v>
      </c>
      <c r="J973" s="21">
        <f>IF(OR($A973="",$F973=""),"",IF($B973="Entrada",$F973,-$F973))</f>
        <v>0</v>
      </c>
      <c r="K973" s="20">
        <f>IF($A973="","",IF(OR($B973="",$C973="",$F973="",$G973=""),"Preencher tudo",IF(IFERROR(INDEX(CatTipo,MATCH($C973,CatNome,0)),"")&lt;&gt;$B973,"Categoria x Tipo?","OK")))</f>
        <v>0</v>
      </c>
    </row>
    <row r="974" spans="1:11">
      <c r="A974" s="18"/>
      <c r="B974" s="19"/>
      <c r="C974" s="15"/>
      <c r="D974" s="15"/>
      <c r="E974" s="15"/>
      <c r="F974" s="17"/>
      <c r="G974" s="19"/>
      <c r="H974" s="20">
        <f>IF($A974="","",YEAR($A974))</f>
        <v>0</v>
      </c>
      <c r="I974" s="20">
        <f>IF($A974="","",MONTH($A974))</f>
        <v>0</v>
      </c>
      <c r="J974" s="21">
        <f>IF(OR($A974="",$F974=""),"",IF($B974="Entrada",$F974,-$F974))</f>
        <v>0</v>
      </c>
      <c r="K974" s="20">
        <f>IF($A974="","",IF(OR($B974="",$C974="",$F974="",$G974=""),"Preencher tudo",IF(IFERROR(INDEX(CatTipo,MATCH($C974,CatNome,0)),"")&lt;&gt;$B974,"Categoria x Tipo?","OK")))</f>
        <v>0</v>
      </c>
    </row>
    <row r="975" spans="1:11">
      <c r="A975" s="18"/>
      <c r="B975" s="19"/>
      <c r="C975" s="15"/>
      <c r="D975" s="15"/>
      <c r="E975" s="15"/>
      <c r="F975" s="17"/>
      <c r="G975" s="19"/>
      <c r="H975" s="20">
        <f>IF($A975="","",YEAR($A975))</f>
        <v>0</v>
      </c>
      <c r="I975" s="20">
        <f>IF($A975="","",MONTH($A975))</f>
        <v>0</v>
      </c>
      <c r="J975" s="21">
        <f>IF(OR($A975="",$F975=""),"",IF($B975="Entrada",$F975,-$F975))</f>
        <v>0</v>
      </c>
      <c r="K975" s="20">
        <f>IF($A975="","",IF(OR($B975="",$C975="",$F975="",$G975=""),"Preencher tudo",IF(IFERROR(INDEX(CatTipo,MATCH($C975,CatNome,0)),"")&lt;&gt;$B975,"Categoria x Tipo?","OK")))</f>
        <v>0</v>
      </c>
    </row>
    <row r="976" spans="1:11">
      <c r="A976" s="18"/>
      <c r="B976" s="19"/>
      <c r="C976" s="15"/>
      <c r="D976" s="15"/>
      <c r="E976" s="15"/>
      <c r="F976" s="17"/>
      <c r="G976" s="19"/>
      <c r="H976" s="20">
        <f>IF($A976="","",YEAR($A976))</f>
        <v>0</v>
      </c>
      <c r="I976" s="20">
        <f>IF($A976="","",MONTH($A976))</f>
        <v>0</v>
      </c>
      <c r="J976" s="21">
        <f>IF(OR($A976="",$F976=""),"",IF($B976="Entrada",$F976,-$F976))</f>
        <v>0</v>
      </c>
      <c r="K976" s="20">
        <f>IF($A976="","",IF(OR($B976="",$C976="",$F976="",$G976=""),"Preencher tudo",IF(IFERROR(INDEX(CatTipo,MATCH($C976,CatNome,0)),"")&lt;&gt;$B976,"Categoria x Tipo?","OK")))</f>
        <v>0</v>
      </c>
    </row>
    <row r="977" spans="1:11">
      <c r="A977" s="18"/>
      <c r="B977" s="19"/>
      <c r="C977" s="15"/>
      <c r="D977" s="15"/>
      <c r="E977" s="15"/>
      <c r="F977" s="17"/>
      <c r="G977" s="19"/>
      <c r="H977" s="20">
        <f>IF($A977="","",YEAR($A977))</f>
        <v>0</v>
      </c>
      <c r="I977" s="20">
        <f>IF($A977="","",MONTH($A977))</f>
        <v>0</v>
      </c>
      <c r="J977" s="21">
        <f>IF(OR($A977="",$F977=""),"",IF($B977="Entrada",$F977,-$F977))</f>
        <v>0</v>
      </c>
      <c r="K977" s="20">
        <f>IF($A977="","",IF(OR($B977="",$C977="",$F977="",$G977=""),"Preencher tudo",IF(IFERROR(INDEX(CatTipo,MATCH($C977,CatNome,0)),"")&lt;&gt;$B977,"Categoria x Tipo?","OK")))</f>
        <v>0</v>
      </c>
    </row>
    <row r="978" spans="1:11">
      <c r="A978" s="18"/>
      <c r="B978" s="19"/>
      <c r="C978" s="15"/>
      <c r="D978" s="15"/>
      <c r="E978" s="15"/>
      <c r="F978" s="17"/>
      <c r="G978" s="19"/>
      <c r="H978" s="20">
        <f>IF($A978="","",YEAR($A978))</f>
        <v>0</v>
      </c>
      <c r="I978" s="20">
        <f>IF($A978="","",MONTH($A978))</f>
        <v>0</v>
      </c>
      <c r="J978" s="21">
        <f>IF(OR($A978="",$F978=""),"",IF($B978="Entrada",$F978,-$F978))</f>
        <v>0</v>
      </c>
      <c r="K978" s="20">
        <f>IF($A978="","",IF(OR($B978="",$C978="",$F978="",$G978=""),"Preencher tudo",IF(IFERROR(INDEX(CatTipo,MATCH($C978,CatNome,0)),"")&lt;&gt;$B978,"Categoria x Tipo?","OK")))</f>
        <v>0</v>
      </c>
    </row>
    <row r="979" spans="1:11">
      <c r="A979" s="18"/>
      <c r="B979" s="19"/>
      <c r="C979" s="15"/>
      <c r="D979" s="15"/>
      <c r="E979" s="15"/>
      <c r="F979" s="17"/>
      <c r="G979" s="19"/>
      <c r="H979" s="20">
        <f>IF($A979="","",YEAR($A979))</f>
        <v>0</v>
      </c>
      <c r="I979" s="20">
        <f>IF($A979="","",MONTH($A979))</f>
        <v>0</v>
      </c>
      <c r="J979" s="21">
        <f>IF(OR($A979="",$F979=""),"",IF($B979="Entrada",$F979,-$F979))</f>
        <v>0</v>
      </c>
      <c r="K979" s="20">
        <f>IF($A979="","",IF(OR($B979="",$C979="",$F979="",$G979=""),"Preencher tudo",IF(IFERROR(INDEX(CatTipo,MATCH($C979,CatNome,0)),"")&lt;&gt;$B979,"Categoria x Tipo?","OK")))</f>
        <v>0</v>
      </c>
    </row>
    <row r="980" spans="1:11">
      <c r="A980" s="18"/>
      <c r="B980" s="19"/>
      <c r="C980" s="15"/>
      <c r="D980" s="15"/>
      <c r="E980" s="15"/>
      <c r="F980" s="17"/>
      <c r="G980" s="19"/>
      <c r="H980" s="20">
        <f>IF($A980="","",YEAR($A980))</f>
        <v>0</v>
      </c>
      <c r="I980" s="20">
        <f>IF($A980="","",MONTH($A980))</f>
        <v>0</v>
      </c>
      <c r="J980" s="21">
        <f>IF(OR($A980="",$F980=""),"",IF($B980="Entrada",$F980,-$F980))</f>
        <v>0</v>
      </c>
      <c r="K980" s="20">
        <f>IF($A980="","",IF(OR($B980="",$C980="",$F980="",$G980=""),"Preencher tudo",IF(IFERROR(INDEX(CatTipo,MATCH($C980,CatNome,0)),"")&lt;&gt;$B980,"Categoria x Tipo?","OK")))</f>
        <v>0</v>
      </c>
    </row>
    <row r="981" spans="1:11">
      <c r="A981" s="18"/>
      <c r="B981" s="19"/>
      <c r="C981" s="15"/>
      <c r="D981" s="15"/>
      <c r="E981" s="15"/>
      <c r="F981" s="17"/>
      <c r="G981" s="19"/>
      <c r="H981" s="20">
        <f>IF($A981="","",YEAR($A981))</f>
        <v>0</v>
      </c>
      <c r="I981" s="20">
        <f>IF($A981="","",MONTH($A981))</f>
        <v>0</v>
      </c>
      <c r="J981" s="21">
        <f>IF(OR($A981="",$F981=""),"",IF($B981="Entrada",$F981,-$F981))</f>
        <v>0</v>
      </c>
      <c r="K981" s="20">
        <f>IF($A981="","",IF(OR($B981="",$C981="",$F981="",$G981=""),"Preencher tudo",IF(IFERROR(INDEX(CatTipo,MATCH($C981,CatNome,0)),"")&lt;&gt;$B981,"Categoria x Tipo?","OK")))</f>
        <v>0</v>
      </c>
    </row>
    <row r="982" spans="1:11">
      <c r="A982" s="18"/>
      <c r="B982" s="19"/>
      <c r="C982" s="15"/>
      <c r="D982" s="15"/>
      <c r="E982" s="15"/>
      <c r="F982" s="17"/>
      <c r="G982" s="19"/>
      <c r="H982" s="20">
        <f>IF($A982="","",YEAR($A982))</f>
        <v>0</v>
      </c>
      <c r="I982" s="20">
        <f>IF($A982="","",MONTH($A982))</f>
        <v>0</v>
      </c>
      <c r="J982" s="21">
        <f>IF(OR($A982="",$F982=""),"",IF($B982="Entrada",$F982,-$F982))</f>
        <v>0</v>
      </c>
      <c r="K982" s="20">
        <f>IF($A982="","",IF(OR($B982="",$C982="",$F982="",$G982=""),"Preencher tudo",IF(IFERROR(INDEX(CatTipo,MATCH($C982,CatNome,0)),"")&lt;&gt;$B982,"Categoria x Tipo?","OK")))</f>
        <v>0</v>
      </c>
    </row>
    <row r="983" spans="1:11">
      <c r="A983" s="18"/>
      <c r="B983" s="19"/>
      <c r="C983" s="15"/>
      <c r="D983" s="15"/>
      <c r="E983" s="15"/>
      <c r="F983" s="17"/>
      <c r="G983" s="19"/>
      <c r="H983" s="20">
        <f>IF($A983="","",YEAR($A983))</f>
        <v>0</v>
      </c>
      <c r="I983" s="20">
        <f>IF($A983="","",MONTH($A983))</f>
        <v>0</v>
      </c>
      <c r="J983" s="21">
        <f>IF(OR($A983="",$F983=""),"",IF($B983="Entrada",$F983,-$F983))</f>
        <v>0</v>
      </c>
      <c r="K983" s="20">
        <f>IF($A983="","",IF(OR($B983="",$C983="",$F983="",$G983=""),"Preencher tudo",IF(IFERROR(INDEX(CatTipo,MATCH($C983,CatNome,0)),"")&lt;&gt;$B983,"Categoria x Tipo?","OK")))</f>
        <v>0</v>
      </c>
    </row>
    <row r="984" spans="1:11">
      <c r="A984" s="18"/>
      <c r="B984" s="19"/>
      <c r="C984" s="15"/>
      <c r="D984" s="15"/>
      <c r="E984" s="15"/>
      <c r="F984" s="17"/>
      <c r="G984" s="19"/>
      <c r="H984" s="20">
        <f>IF($A984="","",YEAR($A984))</f>
        <v>0</v>
      </c>
      <c r="I984" s="20">
        <f>IF($A984="","",MONTH($A984))</f>
        <v>0</v>
      </c>
      <c r="J984" s="21">
        <f>IF(OR($A984="",$F984=""),"",IF($B984="Entrada",$F984,-$F984))</f>
        <v>0</v>
      </c>
      <c r="K984" s="20">
        <f>IF($A984="","",IF(OR($B984="",$C984="",$F984="",$G984=""),"Preencher tudo",IF(IFERROR(INDEX(CatTipo,MATCH($C984,CatNome,0)),"")&lt;&gt;$B984,"Categoria x Tipo?","OK")))</f>
        <v>0</v>
      </c>
    </row>
    <row r="985" spans="1:11">
      <c r="A985" s="18"/>
      <c r="B985" s="19"/>
      <c r="C985" s="15"/>
      <c r="D985" s="15"/>
      <c r="E985" s="15"/>
      <c r="F985" s="17"/>
      <c r="G985" s="19"/>
      <c r="H985" s="20">
        <f>IF($A985="","",YEAR($A985))</f>
        <v>0</v>
      </c>
      <c r="I985" s="20">
        <f>IF($A985="","",MONTH($A985))</f>
        <v>0</v>
      </c>
      <c r="J985" s="21">
        <f>IF(OR($A985="",$F985=""),"",IF($B985="Entrada",$F985,-$F985))</f>
        <v>0</v>
      </c>
      <c r="K985" s="20">
        <f>IF($A985="","",IF(OR($B985="",$C985="",$F985="",$G985=""),"Preencher tudo",IF(IFERROR(INDEX(CatTipo,MATCH($C985,CatNome,0)),"")&lt;&gt;$B985,"Categoria x Tipo?","OK")))</f>
        <v>0</v>
      </c>
    </row>
    <row r="986" spans="1:11">
      <c r="A986" s="18"/>
      <c r="B986" s="19"/>
      <c r="C986" s="15"/>
      <c r="D986" s="15"/>
      <c r="E986" s="15"/>
      <c r="F986" s="17"/>
      <c r="G986" s="19"/>
      <c r="H986" s="20">
        <f>IF($A986="","",YEAR($A986))</f>
        <v>0</v>
      </c>
      <c r="I986" s="20">
        <f>IF($A986="","",MONTH($A986))</f>
        <v>0</v>
      </c>
      <c r="J986" s="21">
        <f>IF(OR($A986="",$F986=""),"",IF($B986="Entrada",$F986,-$F986))</f>
        <v>0</v>
      </c>
      <c r="K986" s="20">
        <f>IF($A986="","",IF(OR($B986="",$C986="",$F986="",$G986=""),"Preencher tudo",IF(IFERROR(INDEX(CatTipo,MATCH($C986,CatNome,0)),"")&lt;&gt;$B986,"Categoria x Tipo?","OK")))</f>
        <v>0</v>
      </c>
    </row>
    <row r="987" spans="1:11">
      <c r="A987" s="18"/>
      <c r="B987" s="19"/>
      <c r="C987" s="15"/>
      <c r="D987" s="15"/>
      <c r="E987" s="15"/>
      <c r="F987" s="17"/>
      <c r="G987" s="19"/>
      <c r="H987" s="20">
        <f>IF($A987="","",YEAR($A987))</f>
        <v>0</v>
      </c>
      <c r="I987" s="20">
        <f>IF($A987="","",MONTH($A987))</f>
        <v>0</v>
      </c>
      <c r="J987" s="21">
        <f>IF(OR($A987="",$F987=""),"",IF($B987="Entrada",$F987,-$F987))</f>
        <v>0</v>
      </c>
      <c r="K987" s="20">
        <f>IF($A987="","",IF(OR($B987="",$C987="",$F987="",$G987=""),"Preencher tudo",IF(IFERROR(INDEX(CatTipo,MATCH($C987,CatNome,0)),"")&lt;&gt;$B987,"Categoria x Tipo?","OK")))</f>
        <v>0</v>
      </c>
    </row>
    <row r="988" spans="1:11">
      <c r="A988" s="18"/>
      <c r="B988" s="19"/>
      <c r="C988" s="15"/>
      <c r="D988" s="15"/>
      <c r="E988" s="15"/>
      <c r="F988" s="17"/>
      <c r="G988" s="19"/>
      <c r="H988" s="20">
        <f>IF($A988="","",YEAR($A988))</f>
        <v>0</v>
      </c>
      <c r="I988" s="20">
        <f>IF($A988="","",MONTH($A988))</f>
        <v>0</v>
      </c>
      <c r="J988" s="21">
        <f>IF(OR($A988="",$F988=""),"",IF($B988="Entrada",$F988,-$F988))</f>
        <v>0</v>
      </c>
      <c r="K988" s="20">
        <f>IF($A988="","",IF(OR($B988="",$C988="",$F988="",$G988=""),"Preencher tudo",IF(IFERROR(INDEX(CatTipo,MATCH($C988,CatNome,0)),"")&lt;&gt;$B988,"Categoria x Tipo?","OK")))</f>
        <v>0</v>
      </c>
    </row>
    <row r="989" spans="1:11">
      <c r="A989" s="18"/>
      <c r="B989" s="19"/>
      <c r="C989" s="15"/>
      <c r="D989" s="15"/>
      <c r="E989" s="15"/>
      <c r="F989" s="17"/>
      <c r="G989" s="19"/>
      <c r="H989" s="20">
        <f>IF($A989="","",YEAR($A989))</f>
        <v>0</v>
      </c>
      <c r="I989" s="20">
        <f>IF($A989="","",MONTH($A989))</f>
        <v>0</v>
      </c>
      <c r="J989" s="21">
        <f>IF(OR($A989="",$F989=""),"",IF($B989="Entrada",$F989,-$F989))</f>
        <v>0</v>
      </c>
      <c r="K989" s="20">
        <f>IF($A989="","",IF(OR($B989="",$C989="",$F989="",$G989=""),"Preencher tudo",IF(IFERROR(INDEX(CatTipo,MATCH($C989,CatNome,0)),"")&lt;&gt;$B989,"Categoria x Tipo?","OK")))</f>
        <v>0</v>
      </c>
    </row>
    <row r="990" spans="1:11">
      <c r="A990" s="18"/>
      <c r="B990" s="19"/>
      <c r="C990" s="15"/>
      <c r="D990" s="15"/>
      <c r="E990" s="15"/>
      <c r="F990" s="17"/>
      <c r="G990" s="19"/>
      <c r="H990" s="20">
        <f>IF($A990="","",YEAR($A990))</f>
        <v>0</v>
      </c>
      <c r="I990" s="20">
        <f>IF($A990="","",MONTH($A990))</f>
        <v>0</v>
      </c>
      <c r="J990" s="21">
        <f>IF(OR($A990="",$F990=""),"",IF($B990="Entrada",$F990,-$F990))</f>
        <v>0</v>
      </c>
      <c r="K990" s="20">
        <f>IF($A990="","",IF(OR($B990="",$C990="",$F990="",$G990=""),"Preencher tudo",IF(IFERROR(INDEX(CatTipo,MATCH($C990,CatNome,0)),"")&lt;&gt;$B990,"Categoria x Tipo?","OK")))</f>
        <v>0</v>
      </c>
    </row>
    <row r="991" spans="1:11">
      <c r="A991" s="18"/>
      <c r="B991" s="19"/>
      <c r="C991" s="15"/>
      <c r="D991" s="15"/>
      <c r="E991" s="15"/>
      <c r="F991" s="17"/>
      <c r="G991" s="19"/>
      <c r="H991" s="20">
        <f>IF($A991="","",YEAR($A991))</f>
        <v>0</v>
      </c>
      <c r="I991" s="20">
        <f>IF($A991="","",MONTH($A991))</f>
        <v>0</v>
      </c>
      <c r="J991" s="21">
        <f>IF(OR($A991="",$F991=""),"",IF($B991="Entrada",$F991,-$F991))</f>
        <v>0</v>
      </c>
      <c r="K991" s="20">
        <f>IF($A991="","",IF(OR($B991="",$C991="",$F991="",$G991=""),"Preencher tudo",IF(IFERROR(INDEX(CatTipo,MATCH($C991,CatNome,0)),"")&lt;&gt;$B991,"Categoria x Tipo?","OK")))</f>
        <v>0</v>
      </c>
    </row>
    <row r="992" spans="1:11">
      <c r="A992" s="18"/>
      <c r="B992" s="19"/>
      <c r="C992" s="15"/>
      <c r="D992" s="15"/>
      <c r="E992" s="15"/>
      <c r="F992" s="17"/>
      <c r="G992" s="19"/>
      <c r="H992" s="20">
        <f>IF($A992="","",YEAR($A992))</f>
        <v>0</v>
      </c>
      <c r="I992" s="20">
        <f>IF($A992="","",MONTH($A992))</f>
        <v>0</v>
      </c>
      <c r="J992" s="21">
        <f>IF(OR($A992="",$F992=""),"",IF($B992="Entrada",$F992,-$F992))</f>
        <v>0</v>
      </c>
      <c r="K992" s="20">
        <f>IF($A992="","",IF(OR($B992="",$C992="",$F992="",$G992=""),"Preencher tudo",IF(IFERROR(INDEX(CatTipo,MATCH($C992,CatNome,0)),"")&lt;&gt;$B992,"Categoria x Tipo?","OK")))</f>
        <v>0</v>
      </c>
    </row>
    <row r="993" spans="1:11">
      <c r="A993" s="18"/>
      <c r="B993" s="19"/>
      <c r="C993" s="15"/>
      <c r="D993" s="15"/>
      <c r="E993" s="15"/>
      <c r="F993" s="17"/>
      <c r="G993" s="19"/>
      <c r="H993" s="20">
        <f>IF($A993="","",YEAR($A993))</f>
        <v>0</v>
      </c>
      <c r="I993" s="20">
        <f>IF($A993="","",MONTH($A993))</f>
        <v>0</v>
      </c>
      <c r="J993" s="21">
        <f>IF(OR($A993="",$F993=""),"",IF($B993="Entrada",$F993,-$F993))</f>
        <v>0</v>
      </c>
      <c r="K993" s="20">
        <f>IF($A993="","",IF(OR($B993="",$C993="",$F993="",$G993=""),"Preencher tudo",IF(IFERROR(INDEX(CatTipo,MATCH($C993,CatNome,0)),"")&lt;&gt;$B993,"Categoria x Tipo?","OK")))</f>
        <v>0</v>
      </c>
    </row>
    <row r="994" spans="1:11">
      <c r="A994" s="18"/>
      <c r="B994" s="19"/>
      <c r="C994" s="15"/>
      <c r="D994" s="15"/>
      <c r="E994" s="15"/>
      <c r="F994" s="17"/>
      <c r="G994" s="19"/>
      <c r="H994" s="20">
        <f>IF($A994="","",YEAR($A994))</f>
        <v>0</v>
      </c>
      <c r="I994" s="20">
        <f>IF($A994="","",MONTH($A994))</f>
        <v>0</v>
      </c>
      <c r="J994" s="21">
        <f>IF(OR($A994="",$F994=""),"",IF($B994="Entrada",$F994,-$F994))</f>
        <v>0</v>
      </c>
      <c r="K994" s="20">
        <f>IF($A994="","",IF(OR($B994="",$C994="",$F994="",$G994=""),"Preencher tudo",IF(IFERROR(INDEX(CatTipo,MATCH($C994,CatNome,0)),"")&lt;&gt;$B994,"Categoria x Tipo?","OK")))</f>
        <v>0</v>
      </c>
    </row>
    <row r="995" spans="1:11">
      <c r="A995" s="18"/>
      <c r="B995" s="19"/>
      <c r="C995" s="15"/>
      <c r="D995" s="15"/>
      <c r="E995" s="15"/>
      <c r="F995" s="17"/>
      <c r="G995" s="19"/>
      <c r="H995" s="20">
        <f>IF($A995="","",YEAR($A995))</f>
        <v>0</v>
      </c>
      <c r="I995" s="20">
        <f>IF($A995="","",MONTH($A995))</f>
        <v>0</v>
      </c>
      <c r="J995" s="21">
        <f>IF(OR($A995="",$F995=""),"",IF($B995="Entrada",$F995,-$F995))</f>
        <v>0</v>
      </c>
      <c r="K995" s="20">
        <f>IF($A995="","",IF(OR($B995="",$C995="",$F995="",$G995=""),"Preencher tudo",IF(IFERROR(INDEX(CatTipo,MATCH($C995,CatNome,0)),"")&lt;&gt;$B995,"Categoria x Tipo?","OK")))</f>
        <v>0</v>
      </c>
    </row>
    <row r="996" spans="1:11">
      <c r="A996" s="18"/>
      <c r="B996" s="19"/>
      <c r="C996" s="15"/>
      <c r="D996" s="15"/>
      <c r="E996" s="15"/>
      <c r="F996" s="17"/>
      <c r="G996" s="19"/>
      <c r="H996" s="20">
        <f>IF($A996="","",YEAR($A996))</f>
        <v>0</v>
      </c>
      <c r="I996" s="20">
        <f>IF($A996="","",MONTH($A996))</f>
        <v>0</v>
      </c>
      <c r="J996" s="21">
        <f>IF(OR($A996="",$F996=""),"",IF($B996="Entrada",$F996,-$F996))</f>
        <v>0</v>
      </c>
      <c r="K996" s="20">
        <f>IF($A996="","",IF(OR($B996="",$C996="",$F996="",$G996=""),"Preencher tudo",IF(IFERROR(INDEX(CatTipo,MATCH($C996,CatNome,0)),"")&lt;&gt;$B996,"Categoria x Tipo?","OK")))</f>
        <v>0</v>
      </c>
    </row>
    <row r="997" spans="1:11">
      <c r="A997" s="18"/>
      <c r="B997" s="19"/>
      <c r="C997" s="15"/>
      <c r="D997" s="15"/>
      <c r="E997" s="15"/>
      <c r="F997" s="17"/>
      <c r="G997" s="19"/>
      <c r="H997" s="20">
        <f>IF($A997="","",YEAR($A997))</f>
        <v>0</v>
      </c>
      <c r="I997" s="20">
        <f>IF($A997="","",MONTH($A997))</f>
        <v>0</v>
      </c>
      <c r="J997" s="21">
        <f>IF(OR($A997="",$F997=""),"",IF($B997="Entrada",$F997,-$F997))</f>
        <v>0</v>
      </c>
      <c r="K997" s="20">
        <f>IF($A997="","",IF(OR($B997="",$C997="",$F997="",$G997=""),"Preencher tudo",IF(IFERROR(INDEX(CatTipo,MATCH($C997,CatNome,0)),"")&lt;&gt;$B997,"Categoria x Tipo?","OK")))</f>
        <v>0</v>
      </c>
    </row>
    <row r="998" spans="1:11">
      <c r="A998" s="18"/>
      <c r="B998" s="19"/>
      <c r="C998" s="15"/>
      <c r="D998" s="15"/>
      <c r="E998" s="15"/>
      <c r="F998" s="17"/>
      <c r="G998" s="19"/>
      <c r="H998" s="20">
        <f>IF($A998="","",YEAR($A998))</f>
        <v>0</v>
      </c>
      <c r="I998" s="20">
        <f>IF($A998="","",MONTH($A998))</f>
        <v>0</v>
      </c>
      <c r="J998" s="21">
        <f>IF(OR($A998="",$F998=""),"",IF($B998="Entrada",$F998,-$F998))</f>
        <v>0</v>
      </c>
      <c r="K998" s="20">
        <f>IF($A998="","",IF(OR($B998="",$C998="",$F998="",$G998=""),"Preencher tudo",IF(IFERROR(INDEX(CatTipo,MATCH($C998,CatNome,0)),"")&lt;&gt;$B998,"Categoria x Tipo?","OK")))</f>
        <v>0</v>
      </c>
    </row>
    <row r="999" spans="1:11">
      <c r="A999" s="18"/>
      <c r="B999" s="19"/>
      <c r="C999" s="15"/>
      <c r="D999" s="15"/>
      <c r="E999" s="15"/>
      <c r="F999" s="17"/>
      <c r="G999" s="19"/>
      <c r="H999" s="20">
        <f>IF($A999="","",YEAR($A999))</f>
        <v>0</v>
      </c>
      <c r="I999" s="20">
        <f>IF($A999="","",MONTH($A999))</f>
        <v>0</v>
      </c>
      <c r="J999" s="21">
        <f>IF(OR($A999="",$F999=""),"",IF($B999="Entrada",$F999,-$F999))</f>
        <v>0</v>
      </c>
      <c r="K999" s="20">
        <f>IF($A999="","",IF(OR($B999="",$C999="",$F999="",$G999=""),"Preencher tudo",IF(IFERROR(INDEX(CatTipo,MATCH($C999,CatNome,0)),"")&lt;&gt;$B999,"Categoria x Tipo?","OK")))</f>
        <v>0</v>
      </c>
    </row>
    <row r="1000" spans="1:11">
      <c r="A1000" s="18"/>
      <c r="B1000" s="19"/>
      <c r="C1000" s="15"/>
      <c r="D1000" s="15"/>
      <c r="E1000" s="15"/>
      <c r="F1000" s="17"/>
      <c r="G1000" s="19"/>
      <c r="H1000" s="20">
        <f>IF($A1000="","",YEAR($A1000))</f>
        <v>0</v>
      </c>
      <c r="I1000" s="20">
        <f>IF($A1000="","",MONTH($A1000))</f>
        <v>0</v>
      </c>
      <c r="J1000" s="21">
        <f>IF(OR($A1000="",$F1000=""),"",IF($B1000="Entrada",$F1000,-$F1000))</f>
        <v>0</v>
      </c>
      <c r="K1000" s="20">
        <f>IF($A1000="","",IF(OR($B1000="",$C1000="",$F1000="",$G1000=""),"Preencher tudo",IF(IFERROR(INDEX(CatTipo,MATCH($C1000,CatNome,0)),"")&lt;&gt;$B1000,"Categoria x Tipo?","OK")))</f>
        <v>0</v>
      </c>
    </row>
    <row r="1001" spans="1:11">
      <c r="A1001" s="18"/>
      <c r="B1001" s="19"/>
      <c r="C1001" s="15"/>
      <c r="D1001" s="15"/>
      <c r="E1001" s="15"/>
      <c r="F1001" s="17"/>
      <c r="G1001" s="19"/>
      <c r="H1001" s="20">
        <f>IF($A1001="","",YEAR($A1001))</f>
        <v>0</v>
      </c>
      <c r="I1001" s="20">
        <f>IF($A1001="","",MONTH($A1001))</f>
        <v>0</v>
      </c>
      <c r="J1001" s="21">
        <f>IF(OR($A1001="",$F1001=""),"",IF($B1001="Entrada",$F1001,-$F1001))</f>
        <v>0</v>
      </c>
      <c r="K1001" s="20">
        <f>IF($A1001="","",IF(OR($B1001="",$C1001="",$F1001="",$G1001=""),"Preencher tudo",IF(IFERROR(INDEX(CatTipo,MATCH($C1001,CatNome,0)),"")&lt;&gt;$B1001,"Categoria x Tipo?","OK")))</f>
        <v>0</v>
      </c>
    </row>
    <row r="1002" spans="1:11">
      <c r="A1002" s="18"/>
      <c r="B1002" s="19"/>
      <c r="C1002" s="15"/>
      <c r="D1002" s="15"/>
      <c r="E1002" s="15"/>
      <c r="F1002" s="17"/>
      <c r="G1002" s="19"/>
      <c r="H1002" s="20">
        <f>IF($A1002="","",YEAR($A1002))</f>
        <v>0</v>
      </c>
      <c r="I1002" s="20">
        <f>IF($A1002="","",MONTH($A1002))</f>
        <v>0</v>
      </c>
      <c r="J1002" s="21">
        <f>IF(OR($A1002="",$F1002=""),"",IF($B1002="Entrada",$F1002,-$F1002))</f>
        <v>0</v>
      </c>
      <c r="K1002" s="20">
        <f>IF($A1002="","",IF(OR($B1002="",$C1002="",$F1002="",$G1002=""),"Preencher tudo",IF(IFERROR(INDEX(CatTipo,MATCH($C1002,CatNome,0)),"")&lt;&gt;$B1002,"Categoria x Tipo?","OK")))</f>
        <v>0</v>
      </c>
    </row>
    <row r="1003" spans="1:11">
      <c r="A1003" s="18"/>
      <c r="B1003" s="19"/>
      <c r="C1003" s="15"/>
      <c r="D1003" s="15"/>
      <c r="E1003" s="15"/>
      <c r="F1003" s="17"/>
      <c r="G1003" s="19"/>
      <c r="H1003" s="20">
        <f>IF($A1003="","",YEAR($A1003))</f>
        <v>0</v>
      </c>
      <c r="I1003" s="20">
        <f>IF($A1003="","",MONTH($A1003))</f>
        <v>0</v>
      </c>
      <c r="J1003" s="21">
        <f>IF(OR($A1003="",$F1003=""),"",IF($B1003="Entrada",$F1003,-$F1003))</f>
        <v>0</v>
      </c>
      <c r="K1003" s="20">
        <f>IF($A1003="","",IF(OR($B1003="",$C1003="",$F1003="",$G1003=""),"Preencher tudo",IF(IFERROR(INDEX(CatTipo,MATCH($C1003,CatNome,0)),"")&lt;&gt;$B1003,"Categoria x Tipo?","OK")))</f>
        <v>0</v>
      </c>
    </row>
    <row r="1004" spans="1:11">
      <c r="A1004" s="18"/>
      <c r="B1004" s="19"/>
      <c r="C1004" s="15"/>
      <c r="D1004" s="15"/>
      <c r="E1004" s="15"/>
      <c r="F1004" s="17"/>
      <c r="G1004" s="19"/>
      <c r="H1004" s="20">
        <f>IF($A1004="","",YEAR($A1004))</f>
        <v>0</v>
      </c>
      <c r="I1004" s="20">
        <f>IF($A1004="","",MONTH($A1004))</f>
        <v>0</v>
      </c>
      <c r="J1004" s="21">
        <f>IF(OR($A1004="",$F1004=""),"",IF($B1004="Entrada",$F1004,-$F1004))</f>
        <v>0</v>
      </c>
      <c r="K1004" s="20">
        <f>IF($A1004="","",IF(OR($B1004="",$C1004="",$F1004="",$G1004=""),"Preencher tudo",IF(IFERROR(INDEX(CatTipo,MATCH($C1004,CatNome,0)),"")&lt;&gt;$B1004,"Categoria x Tipo?","OK")))</f>
        <v>0</v>
      </c>
    </row>
  </sheetData>
  <autoFilter ref="A4:K1004"/>
  <mergeCells count="2">
    <mergeCell ref="A1:K1"/>
    <mergeCell ref="A2:K2"/>
  </mergeCells>
  <conditionalFormatting sqref="G5:G1004">
    <cfRule type="cellIs" dxfId="3" priority="4" operator="equal">
      <formula>"Previsto"</formula>
    </cfRule>
  </conditionalFormatting>
  <conditionalFormatting sqref="K5:K1004">
    <cfRule type="cellIs" dxfId="0" priority="1" operator="equal">
      <formula>"OK"</formula>
    </cfRule>
    <cfRule type="containsText" dxfId="1" priority="2" operator="containsText" text="?">
      <formula>NOT(ISERROR(SEARCH("?",K5)))</formula>
    </cfRule>
    <cfRule type="cellIs" dxfId="2" priority="3" operator="equal">
      <formula>"Preencher tudo"</formula>
    </cfRule>
  </conditionalFormatting>
  <dataValidations count="6">
    <dataValidation type="date" operator="greaterThanOrEqual" allowBlank="1" showInputMessage="1" showErrorMessage="1" errorTitle="Data inválida" error="Digite uma data válida (dd/mm/aaaa)." promptTitle="Data" prompt="Digite a data no formato dd/mm/aaaa" sqref="A5:A1004">
      <formula1>36526</formula1>
    </dataValidation>
    <dataValidation type="list" allowBlank="1" showInputMessage="1" showErrorMessage="1" errorTitle="Valor inválido" error="Escolha um item da lista." sqref="B5:B1004">
      <formula1>"Entrada,Saída"</formula1>
    </dataValidation>
    <dataValidation type="list" allowBlank="1" showInputMessage="1" showErrorMessage="1" errorTitle="Valor inválido" error="Escolha um item da lista." sqref="C5:C1004">
      <formula1>CatNome</formula1>
    </dataValidation>
    <dataValidation type="list" allowBlank="1" showInputMessage="1" showErrorMessage="1" errorTitle="Valor inválido" error="Escolha um item da lista." sqref="E5:E1004">
      <formula1>Contas</formula1>
    </dataValidation>
    <dataValidation type="decimal" operator="greaterThanOrEqual" allowBlank="1" showInputMessage="1" showErrorMessage="1" errorTitle="Valor inválido" error="Digite um número maior ou igual a 0." promptTitle="Dica" prompt="Digite o valor SEM sinal de menos" sqref="F5:F1004">
      <formula1>0</formula1>
    </dataValidation>
    <dataValidation type="list" allowBlank="1" showInputMessage="1" showErrorMessage="1" errorTitle="Valor inválido" error="Escolha um item da lista." sqref="G5:G1004">
      <formula1>"Realizado,Previsto"</formula1>
    </dataValidation>
  </dataValidations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4" width="16.7109375" customWidth="1"/>
    <col min="5" max="5" width="18.7109375" customWidth="1"/>
    <col min="6" max="8" width="16.7109375" customWidth="1"/>
    <col min="9" max="9" width="18.7109375" customWidth="1"/>
    <col min="10" max="10" width="12.7109375" customWidth="1"/>
    <col min="11" max="11" width="22.7109375" customWidth="1"/>
  </cols>
  <sheetData>
    <row r="1" spans="1:11" ht="36" customHeight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13" t="s">
        <v>39</v>
      </c>
    </row>
    <row r="4" spans="1:11" ht="44" customHeight="1">
      <c r="A4" s="11" t="s">
        <v>91</v>
      </c>
      <c r="B4" s="11" t="s">
        <v>119</v>
      </c>
      <c r="C4" s="11" t="s">
        <v>120</v>
      </c>
      <c r="D4" s="11" t="s">
        <v>121</v>
      </c>
      <c r="E4" s="11" t="s">
        <v>122</v>
      </c>
      <c r="F4" s="11" t="s">
        <v>123</v>
      </c>
      <c r="G4" s="11" t="s">
        <v>124</v>
      </c>
      <c r="H4" s="11" t="s">
        <v>125</v>
      </c>
      <c r="I4" s="11" t="s">
        <v>126</v>
      </c>
      <c r="J4" s="11" t="s">
        <v>127</v>
      </c>
      <c r="K4" s="11" t="s">
        <v>128</v>
      </c>
    </row>
    <row r="5" spans="1:11">
      <c r="A5" s="22">
        <f>DATE(Ano,1,1)</f>
        <v>46023.0</v>
      </c>
      <c r="B5" s="21">
        <f>SUMIFS('Lançamentos'!$F$5:$F$1004,'Lançamentos'!$B$5:$B$1004,"Entrada",'Lançamentos'!$G$5:$G$1004,"Realizado",'Lançamentos'!$H$5:$H$1004,Ano,'Lançamentos'!$I$5:$I$1004,MONTH($A5))</f>
        <v>63989.77</v>
      </c>
      <c r="C5" s="21">
        <f>SUMIFS('Lançamentos'!$F$5:$F$1004,'Lançamentos'!$B$5:$B$1004,"Saída",'Lançamentos'!$G$5:$G$1004,"Realizado",'Lançamentos'!$H$5:$H$1004,Ano,'Lançamentos'!$I$5:$I$1004,MONTH($A5))</f>
        <v>46233.09</v>
      </c>
      <c r="D5" s="21">
        <f>B5-C5</f>
        <v>17756.68</v>
      </c>
      <c r="E5" s="21">
        <f>SaldoIni+D5</f>
        <v>35756.68</v>
      </c>
      <c r="F5" s="21">
        <f>SUMIFS('Lançamentos'!$F$5:$F$1004,'Lançamentos'!$B$5:$B$1004,"Entrada",'Lançamentos'!$G$5:$G$1004,"Previsto",'Lançamentos'!$H$5:$H$1004,Ano,'Lançamentos'!$I$5:$I$1004,MONTH($A5))</f>
        <v>0</v>
      </c>
      <c r="G5" s="21">
        <f>SUMIFS('Lançamentos'!$F$5:$F$1004,'Lançamentos'!$B$5:$B$1004,"Saída",'Lançamentos'!$G$5:$G$1004,"Previsto",'Lançamentos'!$H$5:$H$1004,Ano,'Lançamentos'!$I$5:$I$1004,MONTH($A5))</f>
        <v>0</v>
      </c>
      <c r="H5" s="21">
        <f>(B5+F5)-(C5+G5)</f>
        <v>17756.68</v>
      </c>
      <c r="I5" s="21">
        <f>SaldoIni+H5</f>
        <v>35756.68</v>
      </c>
      <c r="J5" s="23">
        <f>IF(B5=0,"",D5/B5)</f>
        <v>0.27749248043867</v>
      </c>
      <c r="K5" s="20" t="str">
        <f>IF(I5&lt;0,"SALDO NEGATIVO",IF(H5&lt;0,"Mês no vermelho","OK"))</f>
        <v>OK</v>
      </c>
    </row>
    <row r="6" spans="1:11">
      <c r="A6" s="22">
        <f>DATE(Ano,2,1)</f>
        <v>46054.0</v>
      </c>
      <c r="B6" s="21">
        <f>SUMIFS('Lançamentos'!$F$5:$F$1004,'Lançamentos'!$B$5:$B$1004,"Entrada",'Lançamentos'!$G$5:$G$1004,"Realizado",'Lançamentos'!$H$5:$H$1004,Ano,'Lançamentos'!$I$5:$I$1004,MONTH($A6))</f>
        <v>40254.31</v>
      </c>
      <c r="C6" s="21">
        <f>SUMIFS('Lançamentos'!$F$5:$F$1004,'Lançamentos'!$B$5:$B$1004,"Saída",'Lançamentos'!$G$5:$G$1004,"Realizado",'Lançamentos'!$H$5:$H$1004,Ano,'Lançamentos'!$I$5:$I$1004,MONTH($A6))</f>
        <v>46696.98</v>
      </c>
      <c r="D6" s="21">
        <f>B6-C6</f>
        <v>-6442.67000000001</v>
      </c>
      <c r="E6" s="21">
        <f>E5+D6</f>
        <v>29314.01</v>
      </c>
      <c r="F6" s="21">
        <f>SUMIFS('Lançamentos'!$F$5:$F$1004,'Lançamentos'!$B$5:$B$1004,"Entrada",'Lançamentos'!$G$5:$G$1004,"Previsto",'Lançamentos'!$H$5:$H$1004,Ano,'Lançamentos'!$I$5:$I$1004,MONTH($A6))</f>
        <v>0</v>
      </c>
      <c r="G6" s="21">
        <f>SUMIFS('Lançamentos'!$F$5:$F$1004,'Lançamentos'!$B$5:$B$1004,"Saída",'Lançamentos'!$G$5:$G$1004,"Previsto",'Lançamentos'!$H$5:$H$1004,Ano,'Lançamentos'!$I$5:$I$1004,MONTH($A6))</f>
        <v>0</v>
      </c>
      <c r="H6" s="21">
        <f>(B6+F6)-(C6+G6)</f>
        <v>-6442.67000000001</v>
      </c>
      <c r="I6" s="21">
        <f>I5+H6</f>
        <v>29314.01</v>
      </c>
      <c r="J6" s="23">
        <f>IF(B6=0,"",D6/B6)</f>
        <v>-0.160049197216398</v>
      </c>
      <c r="K6" s="20" t="str">
        <f>IF(I6&lt;0,"SALDO NEGATIVO",IF(H6&lt;0,"Mês no vermelho","OK"))</f>
        <v>Mês no vermelho</v>
      </c>
    </row>
    <row r="7" spans="1:11">
      <c r="A7" s="22">
        <f>DATE(Ano,3,1)</f>
        <v>46082.0</v>
      </c>
      <c r="B7" s="21">
        <f>SUMIFS('Lançamentos'!$F$5:$F$1004,'Lançamentos'!$B$5:$B$1004,"Entrada",'Lançamentos'!$G$5:$G$1004,"Realizado",'Lançamentos'!$H$5:$H$1004,Ano,'Lançamentos'!$I$5:$I$1004,MONTH($A7))</f>
        <v>53321.93</v>
      </c>
      <c r="C7" s="21">
        <f>SUMIFS('Lançamentos'!$F$5:$F$1004,'Lançamentos'!$B$5:$B$1004,"Saída",'Lançamentos'!$G$5:$G$1004,"Realizado",'Lançamentos'!$H$5:$H$1004,Ano,'Lançamentos'!$I$5:$I$1004,MONTH($A7))</f>
        <v>47533.36</v>
      </c>
      <c r="D7" s="21">
        <f>B7-C7</f>
        <v>5788.57</v>
      </c>
      <c r="E7" s="21">
        <f>E6+D7</f>
        <v>35102.58</v>
      </c>
      <c r="F7" s="21">
        <f>SUMIFS('Lançamentos'!$F$5:$F$1004,'Lançamentos'!$B$5:$B$1004,"Entrada",'Lançamentos'!$G$5:$G$1004,"Previsto",'Lançamentos'!$H$5:$H$1004,Ano,'Lançamentos'!$I$5:$I$1004,MONTH($A7))</f>
        <v>0</v>
      </c>
      <c r="G7" s="21">
        <f>SUMIFS('Lançamentos'!$F$5:$F$1004,'Lançamentos'!$B$5:$B$1004,"Saída",'Lançamentos'!$G$5:$G$1004,"Previsto",'Lançamentos'!$H$5:$H$1004,Ano,'Lançamentos'!$I$5:$I$1004,MONTH($A7))</f>
        <v>0</v>
      </c>
      <c r="H7" s="21">
        <f>(B7+F7)-(C7+G7)</f>
        <v>5788.57</v>
      </c>
      <c r="I7" s="21">
        <f>I6+H7</f>
        <v>35102.58</v>
      </c>
      <c r="J7" s="23">
        <f>IF(B7=0,"",D7/B7)</f>
        <v>0.108558898749539</v>
      </c>
      <c r="K7" s="20" t="str">
        <f>IF(I7&lt;0,"SALDO NEGATIVO",IF(H7&lt;0,"Mês no vermelho","OK"))</f>
        <v>OK</v>
      </c>
    </row>
    <row r="8" spans="1:11">
      <c r="A8" s="22">
        <f>DATE(Ano,4,1)</f>
        <v>46113.0</v>
      </c>
      <c r="B8" s="21">
        <f>SUMIFS('Lançamentos'!$F$5:$F$1004,'Lançamentos'!$B$5:$B$1004,"Entrada",'Lançamentos'!$G$5:$G$1004,"Realizado",'Lançamentos'!$H$5:$H$1004,Ano,'Lançamentos'!$I$5:$I$1004,MONTH($A8))</f>
        <v>58002.05</v>
      </c>
      <c r="C8" s="21">
        <f>SUMIFS('Lançamentos'!$F$5:$F$1004,'Lançamentos'!$B$5:$B$1004,"Saída",'Lançamentos'!$G$5:$G$1004,"Realizado",'Lançamentos'!$H$5:$H$1004,Ano,'Lançamentos'!$I$5:$I$1004,MONTH($A8))</f>
        <v>53111.75</v>
      </c>
      <c r="D8" s="21">
        <f>B8-C8</f>
        <v>4890.3</v>
      </c>
      <c r="E8" s="21">
        <f>E7+D8</f>
        <v>39992.88</v>
      </c>
      <c r="F8" s="21">
        <f>SUMIFS('Lançamentos'!$F$5:$F$1004,'Lançamentos'!$B$5:$B$1004,"Entrada",'Lançamentos'!$G$5:$G$1004,"Previsto",'Lançamentos'!$H$5:$H$1004,Ano,'Lançamentos'!$I$5:$I$1004,MONTH($A8))</f>
        <v>0</v>
      </c>
      <c r="G8" s="21">
        <f>SUMIFS('Lançamentos'!$F$5:$F$1004,'Lançamentos'!$B$5:$B$1004,"Saída",'Lançamentos'!$G$5:$G$1004,"Previsto",'Lançamentos'!$H$5:$H$1004,Ano,'Lançamentos'!$I$5:$I$1004,MONTH($A8))</f>
        <v>0</v>
      </c>
      <c r="H8" s="21">
        <f>(B8+F8)-(C8+G8)</f>
        <v>4890.3</v>
      </c>
      <c r="I8" s="21">
        <f>I7+H8</f>
        <v>39992.88</v>
      </c>
      <c r="J8" s="23">
        <f>IF(B8=0,"",D8/B8)</f>
        <v>0.0843125372292876</v>
      </c>
      <c r="K8" s="20" t="str">
        <f>IF(I8&lt;0,"SALDO NEGATIVO",IF(H8&lt;0,"Mês no vermelho","OK"))</f>
        <v>OK</v>
      </c>
    </row>
    <row r="9" spans="1:11">
      <c r="A9" s="22">
        <f>DATE(Ano,5,1)</f>
        <v>46143.0</v>
      </c>
      <c r="B9" s="21">
        <f>SUMIFS('Lançamentos'!$F$5:$F$1004,'Lançamentos'!$B$5:$B$1004,"Entrada",'Lançamentos'!$G$5:$G$1004,"Realizado",'Lançamentos'!$H$5:$H$1004,Ano,'Lançamentos'!$I$5:$I$1004,MONTH($A9))</f>
        <v>60390.1</v>
      </c>
      <c r="C9" s="21">
        <f>SUMIFS('Lançamentos'!$F$5:$F$1004,'Lançamentos'!$B$5:$B$1004,"Saída",'Lançamentos'!$G$5:$G$1004,"Realizado",'Lançamentos'!$H$5:$H$1004,Ano,'Lançamentos'!$I$5:$I$1004,MONTH($A9))</f>
        <v>50394.22</v>
      </c>
      <c r="D9" s="21">
        <f>B9-C9</f>
        <v>9995.88</v>
      </c>
      <c r="E9" s="21">
        <f>E8+D9</f>
        <v>49988.76</v>
      </c>
      <c r="F9" s="21">
        <f>SUMIFS('Lançamentos'!$F$5:$F$1004,'Lançamentos'!$B$5:$B$1004,"Entrada",'Lançamentos'!$G$5:$G$1004,"Previsto",'Lançamentos'!$H$5:$H$1004,Ano,'Lançamentos'!$I$5:$I$1004,MONTH($A9))</f>
        <v>0</v>
      </c>
      <c r="G9" s="21">
        <f>SUMIFS('Lançamentos'!$F$5:$F$1004,'Lançamentos'!$B$5:$B$1004,"Saída",'Lançamentos'!$G$5:$G$1004,"Previsto",'Lançamentos'!$H$5:$H$1004,Ano,'Lançamentos'!$I$5:$I$1004,MONTH($A9))</f>
        <v>0</v>
      </c>
      <c r="H9" s="21">
        <f>(B9+F9)-(C9+G9)</f>
        <v>9995.88</v>
      </c>
      <c r="I9" s="21">
        <f>I8+H9</f>
        <v>49988.76</v>
      </c>
      <c r="J9" s="23">
        <f>IF(B9=0,"",D9/B9)</f>
        <v>0.165521832220844</v>
      </c>
      <c r="K9" s="20" t="str">
        <f>IF(I9&lt;0,"SALDO NEGATIVO",IF(H9&lt;0,"Mês no vermelho","OK"))</f>
        <v>OK</v>
      </c>
    </row>
    <row r="10" spans="1:11">
      <c r="A10" s="22">
        <f>DATE(Ano,6,1)</f>
        <v>46174.0</v>
      </c>
      <c r="B10" s="21">
        <f>SUMIFS('Lançamentos'!$F$5:$F$1004,'Lançamentos'!$B$5:$B$1004,"Entrada",'Lançamentos'!$G$5:$G$1004,"Realizado",'Lançamentos'!$H$5:$H$1004,Ano,'Lançamentos'!$I$5:$I$1004,MONTH($A10))</f>
        <v>54820.79</v>
      </c>
      <c r="C10" s="21">
        <f>SUMIFS('Lançamentos'!$F$5:$F$1004,'Lançamentos'!$B$5:$B$1004,"Saída",'Lançamentos'!$G$5:$G$1004,"Realizado",'Lançamentos'!$H$5:$H$1004,Ano,'Lançamentos'!$I$5:$I$1004,MONTH($A10))</f>
        <v>48052.49</v>
      </c>
      <c r="D10" s="21">
        <f>B10-C10</f>
        <v>6768.3</v>
      </c>
      <c r="E10" s="21">
        <f>E9+D10</f>
        <v>56757.06</v>
      </c>
      <c r="F10" s="21">
        <f>SUMIFS('Lançamentos'!$F$5:$F$1004,'Lançamentos'!$B$5:$B$1004,"Entrada",'Lançamentos'!$G$5:$G$1004,"Previsto",'Lançamentos'!$H$5:$H$1004,Ano,'Lançamentos'!$I$5:$I$1004,MONTH($A10))</f>
        <v>0</v>
      </c>
      <c r="G10" s="21">
        <f>SUMIFS('Lançamentos'!$F$5:$F$1004,'Lançamentos'!$B$5:$B$1004,"Saída",'Lançamentos'!$G$5:$G$1004,"Previsto",'Lançamentos'!$H$5:$H$1004,Ano,'Lançamentos'!$I$5:$I$1004,MONTH($A10))</f>
        <v>0</v>
      </c>
      <c r="H10" s="21">
        <f>(B10+F10)-(C10+G10)</f>
        <v>6768.3</v>
      </c>
      <c r="I10" s="21">
        <f>I9+H10</f>
        <v>56757.06</v>
      </c>
      <c r="J10" s="23">
        <f>IF(B10=0,"",D10/B10)</f>
        <v>0.123462285019971</v>
      </c>
      <c r="K10" s="20" t="str">
        <f>IF(I10&lt;0,"SALDO NEGATIVO",IF(H10&lt;0,"Mês no vermelho","OK"))</f>
        <v>OK</v>
      </c>
    </row>
    <row r="11" spans="1:11">
      <c r="A11" s="22">
        <f>DATE(Ano,7,1)</f>
        <v>46204.0</v>
      </c>
      <c r="B11" s="21">
        <f>SUMIFS('Lançamentos'!$F$5:$F$1004,'Lançamentos'!$B$5:$B$1004,"Entrada",'Lançamentos'!$G$5:$G$1004,"Realizado",'Lançamentos'!$H$5:$H$1004,Ano,'Lançamentos'!$I$5:$I$1004,MONTH($A11))</f>
        <v>58286.86</v>
      </c>
      <c r="C11" s="21">
        <f>SUMIFS('Lançamentos'!$F$5:$F$1004,'Lançamentos'!$B$5:$B$1004,"Saída",'Lançamentos'!$G$5:$G$1004,"Realizado",'Lançamentos'!$H$5:$H$1004,Ano,'Lançamentos'!$I$5:$I$1004,MONTH($A11))</f>
        <v>49515.01</v>
      </c>
      <c r="D11" s="21">
        <f>B11-C11</f>
        <v>8771.85</v>
      </c>
      <c r="E11" s="21">
        <f>E10+D11</f>
        <v>65528.91</v>
      </c>
      <c r="F11" s="21">
        <f>SUMIFS('Lançamentos'!$F$5:$F$1004,'Lançamentos'!$B$5:$B$1004,"Entrada",'Lançamentos'!$G$5:$G$1004,"Previsto",'Lançamentos'!$H$5:$H$1004,Ano,'Lançamentos'!$I$5:$I$1004,MONTH($A11))</f>
        <v>0</v>
      </c>
      <c r="G11" s="21">
        <f>SUMIFS('Lançamentos'!$F$5:$F$1004,'Lançamentos'!$B$5:$B$1004,"Saída",'Lançamentos'!$G$5:$G$1004,"Previsto",'Lançamentos'!$H$5:$H$1004,Ano,'Lançamentos'!$I$5:$I$1004,MONTH($A11))</f>
        <v>0</v>
      </c>
      <c r="H11" s="21">
        <f>(B11+F11)-(C11+G11)</f>
        <v>8771.85</v>
      </c>
      <c r="I11" s="21">
        <f>I10+H11</f>
        <v>65528.91</v>
      </c>
      <c r="J11" s="23">
        <f>IF(B11=0,"",D11/B11)</f>
        <v>0.150494468221483</v>
      </c>
      <c r="K11" s="20" t="str">
        <f>IF(I11&lt;0,"SALDO NEGATIVO",IF(H11&lt;0,"Mês no vermelho","OK"))</f>
        <v>OK</v>
      </c>
    </row>
    <row r="12" spans="1:11">
      <c r="A12" s="22">
        <f>DATE(Ano,8,1)</f>
        <v>46235.0</v>
      </c>
      <c r="B12" s="21">
        <f>SUMIFS('Lançamentos'!$F$5:$F$1004,'Lançamentos'!$B$5:$B$1004,"Entrada",'Lançamentos'!$G$5:$G$1004,"Realizado",'Lançamentos'!$H$5:$H$1004,Ano,'Lançamentos'!$I$5:$I$1004,MONTH($A12))</f>
        <v>63824.33</v>
      </c>
      <c r="C12" s="21">
        <f>SUMIFS('Lançamentos'!$F$5:$F$1004,'Lançamentos'!$B$5:$B$1004,"Saída",'Lançamentos'!$G$5:$G$1004,"Realizado",'Lançamentos'!$H$5:$H$1004,Ano,'Lançamentos'!$I$5:$I$1004,MONTH($A12))</f>
        <v>49937.95</v>
      </c>
      <c r="D12" s="21">
        <f>B12-C12</f>
        <v>13886.38</v>
      </c>
      <c r="E12" s="21">
        <f>E11+D12</f>
        <v>79415.29</v>
      </c>
      <c r="F12" s="21">
        <f>SUMIFS('Lançamentos'!$F$5:$F$1004,'Lançamentos'!$B$5:$B$1004,"Entrada",'Lançamentos'!$G$5:$G$1004,"Previsto",'Lançamentos'!$H$5:$H$1004,Ano,'Lançamentos'!$I$5:$I$1004,MONTH($A12))</f>
        <v>0</v>
      </c>
      <c r="G12" s="21">
        <f>SUMIFS('Lançamentos'!$F$5:$F$1004,'Lançamentos'!$B$5:$B$1004,"Saída",'Lançamentos'!$G$5:$G$1004,"Previsto",'Lançamentos'!$H$5:$H$1004,Ano,'Lançamentos'!$I$5:$I$1004,MONTH($A12))</f>
        <v>0</v>
      </c>
      <c r="H12" s="21">
        <f>(B12+F12)-(C12+G12)</f>
        <v>13886.38</v>
      </c>
      <c r="I12" s="21">
        <f>I11+H12</f>
        <v>79415.29</v>
      </c>
      <c r="J12" s="23">
        <f>IF(B12=0,"",D12/B12)</f>
        <v>0.21757188833788</v>
      </c>
      <c r="K12" s="20" t="str">
        <f>IF(I12&lt;0,"SALDO NEGATIVO",IF(H12&lt;0,"Mês no vermelho","OK"))</f>
        <v>OK</v>
      </c>
    </row>
    <row r="13" spans="1:11">
      <c r="A13" s="22">
        <f>DATE(Ano,9,1)</f>
        <v>46266.0</v>
      </c>
      <c r="B13" s="21">
        <f>SUMIFS('Lançamentos'!$F$5:$F$1004,'Lançamentos'!$B$5:$B$1004,"Entrada",'Lançamentos'!$G$5:$G$1004,"Realizado",'Lançamentos'!$H$5:$H$1004,Ano,'Lançamentos'!$I$5:$I$1004,MONTH($A13))</f>
        <v>62682.3</v>
      </c>
      <c r="C13" s="21">
        <f>SUMIFS('Lançamentos'!$F$5:$F$1004,'Lançamentos'!$B$5:$B$1004,"Saída",'Lançamentos'!$G$5:$G$1004,"Realizado",'Lançamentos'!$H$5:$H$1004,Ano,'Lançamentos'!$I$5:$I$1004,MONTH($A13))</f>
        <v>52393.47</v>
      </c>
      <c r="D13" s="21">
        <f>B13-C13</f>
        <v>10288.83</v>
      </c>
      <c r="E13" s="21">
        <f>E12+D13</f>
        <v>89704.12</v>
      </c>
      <c r="F13" s="21">
        <f>SUMIFS('Lançamentos'!$F$5:$F$1004,'Lançamentos'!$B$5:$B$1004,"Entrada",'Lançamentos'!$G$5:$G$1004,"Previsto",'Lançamentos'!$H$5:$H$1004,Ano,'Lançamentos'!$I$5:$I$1004,MONTH($A13))</f>
        <v>0</v>
      </c>
      <c r="G13" s="21">
        <f>SUMIFS('Lançamentos'!$F$5:$F$1004,'Lançamentos'!$B$5:$B$1004,"Saída",'Lançamentos'!$G$5:$G$1004,"Previsto",'Lançamentos'!$H$5:$H$1004,Ano,'Lançamentos'!$I$5:$I$1004,MONTH($A13))</f>
        <v>0</v>
      </c>
      <c r="H13" s="21">
        <f>(B13+F13)-(C13+G13)</f>
        <v>10288.83</v>
      </c>
      <c r="I13" s="21">
        <f>I12+H13</f>
        <v>89704.12</v>
      </c>
      <c r="J13" s="23">
        <f>IF(B13=0,"",D13/B13)</f>
        <v>0.164142509129371</v>
      </c>
      <c r="K13" s="20" t="str">
        <f>IF(I13&lt;0,"SALDO NEGATIVO",IF(H13&lt;0,"Mês no vermelho","OK"))</f>
        <v>OK</v>
      </c>
    </row>
    <row r="14" spans="1:11">
      <c r="A14" s="22">
        <f>DATE(Ano,10,1)</f>
        <v>46296.0</v>
      </c>
      <c r="B14" s="21">
        <f>SUMIFS('Lançamentos'!$F$5:$F$1004,'Lançamentos'!$B$5:$B$1004,"Entrada",'Lançamentos'!$G$5:$G$1004,"Realizado",'Lançamentos'!$H$5:$H$1004,Ano,'Lançamentos'!$I$5:$I$1004,MONTH($A14))</f>
        <v>11498.85</v>
      </c>
      <c r="C14" s="21">
        <f>SUMIFS('Lançamentos'!$F$5:$F$1004,'Lançamentos'!$B$5:$B$1004,"Saída",'Lançamentos'!$G$5:$G$1004,"Realizado",'Lançamentos'!$H$5:$H$1004,Ano,'Lançamentos'!$I$5:$I$1004,MONTH($A14))</f>
        <v>29820.96</v>
      </c>
      <c r="D14" s="21">
        <f>B14-C14</f>
        <v>-18322.11</v>
      </c>
      <c r="E14" s="21">
        <f>E13+D14</f>
        <v>71382.01</v>
      </c>
      <c r="F14" s="21">
        <f>SUMIFS('Lançamentos'!$F$5:$F$1004,'Lançamentos'!$B$5:$B$1004,"Entrada",'Lançamentos'!$G$5:$G$1004,"Previsto",'Lançamentos'!$H$5:$H$1004,Ano,'Lançamentos'!$I$5:$I$1004,MONTH($A14))</f>
        <v>50073.07</v>
      </c>
      <c r="G14" s="21">
        <f>SUMIFS('Lançamentos'!$F$5:$F$1004,'Lançamentos'!$B$5:$B$1004,"Saída",'Lançamentos'!$G$5:$G$1004,"Previsto",'Lançamentos'!$H$5:$H$1004,Ano,'Lançamentos'!$I$5:$I$1004,MONTH($A14))</f>
        <v>19667.6</v>
      </c>
      <c r="H14" s="21">
        <f>(B14+F14)-(C14+G14)</f>
        <v>12083.36</v>
      </c>
      <c r="I14" s="21">
        <f>I13+H14</f>
        <v>101787.48</v>
      </c>
      <c r="J14" s="23">
        <f>IF(B14=0,"",D14/B14)</f>
        <v>-1.59338629515125</v>
      </c>
      <c r="K14" s="20" t="str">
        <f>IF(I14&lt;0,"SALDO NEGATIVO",IF(H14&lt;0,"Mês no vermelho","OK"))</f>
        <v>OK</v>
      </c>
    </row>
    <row r="15" spans="1:11">
      <c r="A15" s="22">
        <f>DATE(Ano,11,1)</f>
        <v>46327.0</v>
      </c>
      <c r="B15" s="21">
        <f>SUMIFS('Lançamentos'!$F$5:$F$1004,'Lançamentos'!$B$5:$B$1004,"Entrada",'Lançamentos'!$G$5:$G$1004,"Realizado",'Lançamentos'!$H$5:$H$1004,Ano,'Lançamentos'!$I$5:$I$1004,MONTH($A15))</f>
        <v>0</v>
      </c>
      <c r="C15" s="21">
        <f>SUMIFS('Lançamentos'!$F$5:$F$1004,'Lançamentos'!$B$5:$B$1004,"Saída",'Lançamentos'!$G$5:$G$1004,"Realizado",'Lançamentos'!$H$5:$H$1004,Ano,'Lançamentos'!$I$5:$I$1004,MONTH($A15))</f>
        <v>0</v>
      </c>
      <c r="D15" s="21">
        <f>B15-C15</f>
        <v>0</v>
      </c>
      <c r="E15" s="21">
        <f>E14+D15</f>
        <v>71382.01</v>
      </c>
      <c r="F15" s="21">
        <f>SUMIFS('Lançamentos'!$F$5:$F$1004,'Lançamentos'!$B$5:$B$1004,"Entrada",'Lançamentos'!$G$5:$G$1004,"Previsto",'Lançamentos'!$H$5:$H$1004,Ano,'Lançamentos'!$I$5:$I$1004,MONTH($A15))</f>
        <v>66691.59</v>
      </c>
      <c r="G15" s="21">
        <f>SUMIFS('Lançamentos'!$F$5:$F$1004,'Lançamentos'!$B$5:$B$1004,"Saída",'Lançamentos'!$G$5:$G$1004,"Previsto",'Lançamentos'!$H$5:$H$1004,Ano,'Lançamentos'!$I$5:$I$1004,MONTH($A15))</f>
        <v>57906.61</v>
      </c>
      <c r="H15" s="21">
        <f>(B15+F15)-(C15+G15)</f>
        <v>8784.98</v>
      </c>
      <c r="I15" s="21">
        <f>I14+H15</f>
        <v>110572.46</v>
      </c>
      <c r="J15" s="23">
        <f>IF(B15=0,"",D15/B15)</f>
        <v>0</v>
      </c>
      <c r="K15" s="20" t="str">
        <f>IF(I15&lt;0,"SALDO NEGATIVO",IF(H15&lt;0,"Mês no vermelho","OK"))</f>
        <v>OK</v>
      </c>
    </row>
    <row r="16" spans="1:11">
      <c r="A16" s="22">
        <f>DATE(Ano,12,1)</f>
        <v>46357.0</v>
      </c>
      <c r="B16" s="21">
        <f>SUMIFS('Lançamentos'!$F$5:$F$1004,'Lançamentos'!$B$5:$B$1004,"Entrada",'Lançamentos'!$G$5:$G$1004,"Realizado",'Lançamentos'!$H$5:$H$1004,Ano,'Lançamentos'!$I$5:$I$1004,MONTH($A16))</f>
        <v>0</v>
      </c>
      <c r="C16" s="21">
        <f>SUMIFS('Lançamentos'!$F$5:$F$1004,'Lançamentos'!$B$5:$B$1004,"Saída",'Lançamentos'!$G$5:$G$1004,"Realizado",'Lançamentos'!$H$5:$H$1004,Ano,'Lançamentos'!$I$5:$I$1004,MONTH($A16))</f>
        <v>0</v>
      </c>
      <c r="D16" s="21">
        <f>B16-C16</f>
        <v>0</v>
      </c>
      <c r="E16" s="21">
        <f>E15+D16</f>
        <v>71382.01</v>
      </c>
      <c r="F16" s="21">
        <f>SUMIFS('Lançamentos'!$F$5:$F$1004,'Lançamentos'!$B$5:$B$1004,"Entrada",'Lançamentos'!$G$5:$G$1004,"Previsto",'Lançamentos'!$H$5:$H$1004,Ano,'Lançamentos'!$I$5:$I$1004,MONTH($A16))</f>
        <v>71261.99</v>
      </c>
      <c r="G16" s="21">
        <f>SUMIFS('Lançamentos'!$F$5:$F$1004,'Lançamentos'!$B$5:$B$1004,"Saída",'Lançamentos'!$G$5:$G$1004,"Previsto",'Lançamentos'!$H$5:$H$1004,Ano,'Lançamentos'!$I$5:$I$1004,MONTH($A16))</f>
        <v>56660.81</v>
      </c>
      <c r="H16" s="21">
        <f>(B16+F16)-(C16+G16)</f>
        <v>14601.18</v>
      </c>
      <c r="I16" s="21">
        <f>I15+H16</f>
        <v>125173.64</v>
      </c>
      <c r="J16" s="23">
        <f>IF(B16=0,"",D16/B16)</f>
        <v>0</v>
      </c>
      <c r="K16" s="20" t="str">
        <f>IF(I16&lt;0,"SALDO NEGATIVO",IF(H16&lt;0,"Mês no vermelho","OK"))</f>
        <v>OK</v>
      </c>
    </row>
    <row r="17" spans="1:11">
      <c r="A17" s="24" t="s">
        <v>129</v>
      </c>
      <c r="B17" s="25">
        <f>SUM(B5:B16)</f>
        <v>527071.29</v>
      </c>
      <c r="C17" s="25">
        <f>SUM(C5:C16)</f>
        <v>473689.28</v>
      </c>
      <c r="D17" s="25">
        <f>SUM(D5:D16)</f>
        <v>53382.01</v>
      </c>
      <c r="E17" s="25">
        <f>E16</f>
        <v>71382.01</v>
      </c>
      <c r="F17" s="25">
        <f>SUM(F5:F16)</f>
        <v>188026.65</v>
      </c>
      <c r="G17" s="25">
        <f>SUM(G5:G16)</f>
        <v>134235.02</v>
      </c>
      <c r="H17" s="25">
        <f>SUM(H5:H16)</f>
        <v>107173.64</v>
      </c>
      <c r="I17" s="25">
        <f>I16</f>
        <v>125173.64</v>
      </c>
      <c r="J17" s="26">
        <f>IF(B17=0,"",D17/B17)</f>
        <v>0.101280435897011</v>
      </c>
      <c r="K17" s="27"/>
    </row>
    <row r="19" spans="1:11">
      <c r="A19" s="12" t="s">
        <v>130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</sheetData>
  <sheetProtection sheet="1" objects="1" scenarios="1"/>
  <mergeCells count="3">
    <mergeCell ref="A1:K1"/>
    <mergeCell ref="A2:K2"/>
    <mergeCell ref="A19:K20"/>
  </mergeCells>
  <conditionalFormatting sqref="I5:I16">
    <cfRule type="cellIs" dxfId="6" priority="4" operator="lessThan">
      <formula>0</formula>
    </cfRule>
  </conditionalFormatting>
  <conditionalFormatting sqref="K5:K16">
    <cfRule type="cellIs" dxfId="4" priority="1" operator="equal">
      <formula>"SALDO NEGATIVO"</formula>
    </cfRule>
    <cfRule type="cellIs" dxfId="5" priority="2" operator="equal">
      <formula>"Mês no vermelho"</formula>
    </cfRule>
    <cfRule type="cellIs" dxfId="0" priority="3" operator="equal">
      <formula>"OK"</formula>
    </cfRule>
  </conditionalFormatting>
  <pageMargins left="0.7" right="0.7" top="0.75" bottom="0.75" header="0.3" footer="0.3"/>
  <pageSetup paperSize="9" orientation="landscape"/>
  <headerFooter>
    <oddFooter>&amp;L&amp;8Carvex XLS - Fluxo de Caixa Inteligente&amp;R&amp;8Página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D41"/>
  <sheetViews>
    <sheetView showGridLines="0" workbookViewId="0"/>
  </sheetViews>
  <sheetFormatPr defaultRowHeight="15"/>
  <sheetData>
    <row r="1" spans="1:4">
      <c r="A1" t="s">
        <v>48</v>
      </c>
      <c r="B1" t="s">
        <v>49</v>
      </c>
      <c r="C1" t="s">
        <v>131</v>
      </c>
      <c r="D1" t="s">
        <v>132</v>
      </c>
    </row>
    <row r="2" spans="1:4">
      <c r="A2" t="str">
        <f>IF(Config!B12="","",Config!B12)</f>
        <v>Vendas de produtos</v>
      </c>
      <c r="B2" t="str">
        <f>IF(Config!C12="","",Config!C12)</f>
        <v>Entrada</v>
      </c>
      <c r="C2">
        <f>IF(A2="",0,IF(B2&lt;&gt;"Saída",0,SUMIFS('Lançamentos'!$F$5:$F$1004,'Lançamentos'!$C$5:$C$1004,A2,'Lançamentos'!$B$5:$B$1004,"Saída",'Lançamentos'!$G$5:$G$1004,"Realizado",'Lançamentos'!$H$5:$H$1004,Ano)))</f>
        <v>0</v>
      </c>
      <c r="D2">
        <f>IF(C2&gt;0,C2+ROW()/1000000000,"")</f>
        <v>0</v>
      </c>
    </row>
    <row r="3" spans="1:4">
      <c r="A3" t="str">
        <f>IF(Config!B13="","",Config!B13)</f>
        <v>Prestação de serviços</v>
      </c>
      <c r="B3" t="str">
        <f>IF(Config!C13="","",Config!C13)</f>
        <v>Entrada</v>
      </c>
      <c r="C3">
        <f>IF(A3="",0,IF(B3&lt;&gt;"Saída",0,SUMIFS('Lançamentos'!$F$5:$F$1004,'Lançamentos'!$C$5:$C$1004,A3,'Lançamentos'!$B$5:$B$1004,"Saída",'Lançamentos'!$G$5:$G$1004,"Realizado",'Lançamentos'!$H$5:$H$1004,Ano)))</f>
        <v>0</v>
      </c>
      <c r="D3">
        <f>IF(C3&gt;0,C3+ROW()/1000000000,"")</f>
        <v>0</v>
      </c>
    </row>
    <row r="4" spans="1:4">
      <c r="A4" t="str">
        <f>IF(Config!B14="","",Config!B14)</f>
        <v>Outras receitas</v>
      </c>
      <c r="B4" t="str">
        <f>IF(Config!C14="","",Config!C14)</f>
        <v>Entrada</v>
      </c>
      <c r="C4">
        <f>IF(A4="",0,IF(B4&lt;&gt;"Saída",0,SUMIFS('Lançamentos'!$F$5:$F$1004,'Lançamentos'!$C$5:$C$1004,A4,'Lançamentos'!$B$5:$B$1004,"Saída",'Lançamentos'!$G$5:$G$1004,"Realizado",'Lançamentos'!$H$5:$H$1004,Ano)))</f>
        <v>0</v>
      </c>
      <c r="D4">
        <f>IF(C4&gt;0,C4+ROW()/1000000000,"")</f>
        <v>0</v>
      </c>
    </row>
    <row r="5" spans="1:4">
      <c r="A5" t="str">
        <f>IF(Config!B15="","",Config!B15)</f>
        <v>Aporte de sócio</v>
      </c>
      <c r="B5" t="str">
        <f>IF(Config!C15="","",Config!C15)</f>
        <v>Entrada</v>
      </c>
      <c r="C5">
        <f>IF(A5="",0,IF(B5&lt;&gt;"Saída",0,SUMIFS('Lançamentos'!$F$5:$F$1004,'Lançamentos'!$C$5:$C$1004,A5,'Lançamentos'!$B$5:$B$1004,"Saída",'Lançamentos'!$G$5:$G$1004,"Realizado",'Lançamentos'!$H$5:$H$1004,Ano)))</f>
        <v>0</v>
      </c>
      <c r="D5">
        <f>IF(C5&gt;0,C5+ROW()/1000000000,"")</f>
        <v>0</v>
      </c>
    </row>
    <row r="6" spans="1:4">
      <c r="A6" t="str">
        <f>IF(Config!B16="","",Config!B16)</f>
        <v>Empréstimos recebidos</v>
      </c>
      <c r="B6" t="str">
        <f>IF(Config!C16="","",Config!C16)</f>
        <v>Entrada</v>
      </c>
      <c r="C6">
        <f>IF(A6="",0,IF(B6&lt;&gt;"Saída",0,SUMIFS('Lançamentos'!$F$5:$F$1004,'Lançamentos'!$C$5:$C$1004,A6,'Lançamentos'!$B$5:$B$1004,"Saída",'Lançamentos'!$G$5:$G$1004,"Realizado",'Lançamentos'!$H$5:$H$1004,Ano)))</f>
        <v>0</v>
      </c>
      <c r="D6">
        <f>IF(C6&gt;0,C6+ROW()/1000000000,"")</f>
        <v>0</v>
      </c>
    </row>
    <row r="7" spans="1:4">
      <c r="A7" t="str">
        <f>IF(Config!B17="","",Config!B17)</f>
        <v>Fornecedores / mercadorias</v>
      </c>
      <c r="B7" t="str">
        <f>IF(Config!C17="","",Config!C17)</f>
        <v>Saída</v>
      </c>
      <c r="C7">
        <f>IF(A7="",0,IF(B7&lt;&gt;"Saída",0,SUMIFS('Lançamentos'!$F$5:$F$1004,'Lançamentos'!$C$5:$C$1004,A7,'Lançamentos'!$B$5:$B$1004,"Saída",'Lançamentos'!$G$5:$G$1004,"Realizado",'Lançamentos'!$H$5:$H$1004,Ano)))</f>
        <v>144480.97</v>
      </c>
      <c r="D7">
        <f>IF(C7&gt;0,C7+ROW()/1000000000,"")</f>
        <v>144480.970000007</v>
      </c>
    </row>
    <row r="8" spans="1:4">
      <c r="A8" t="str">
        <f>IF(Config!B18="","",Config!B18)</f>
        <v>Impostos</v>
      </c>
      <c r="B8" t="str">
        <f>IF(Config!C18="","",Config!C18)</f>
        <v>Saída</v>
      </c>
      <c r="C8">
        <f>IF(A8="",0,IF(B8&lt;&gt;"Saída",0,SUMIFS('Lançamentos'!$F$5:$F$1004,'Lançamentos'!$C$5:$C$1004,A8,'Lançamentos'!$B$5:$B$1004,"Saída",'Lançamentos'!$G$5:$G$1004,"Realizado",'Lançamentos'!$H$5:$H$1004,Ano)))</f>
        <v>23927.92</v>
      </c>
      <c r="D8">
        <f>IF(C8&gt;0,C8+ROW()/1000000000,"")</f>
        <v>23927.920000008</v>
      </c>
    </row>
    <row r="9" spans="1:4">
      <c r="A9" t="str">
        <f>IF(Config!B19="","",Config!B19)</f>
        <v>Comissões e taxas</v>
      </c>
      <c r="B9" t="str">
        <f>IF(Config!C19="","",Config!C19)</f>
        <v>Saída</v>
      </c>
      <c r="C9">
        <f>IF(A9="",0,IF(B9&lt;&gt;"Saída",0,SUMIFS('Lançamentos'!$F$5:$F$1004,'Lançamentos'!$C$5:$C$1004,A9,'Lançamentos'!$B$5:$B$1004,"Saída",'Lançamentos'!$G$5:$G$1004,"Realizado",'Lançamentos'!$H$5:$H$1004,Ano)))</f>
        <v>11754.08</v>
      </c>
      <c r="D9">
        <f>IF(C9&gt;0,C9+ROW()/1000000000,"")</f>
        <v>11754.080000009</v>
      </c>
    </row>
    <row r="10" spans="1:4">
      <c r="A10" t="str">
        <f>IF(Config!B20="","",Config!B20)</f>
        <v>Frete e logística</v>
      </c>
      <c r="B10" t="str">
        <f>IF(Config!C20="","",Config!C20)</f>
        <v>Saída</v>
      </c>
      <c r="C10">
        <f>IF(A10="",0,IF(B10&lt;&gt;"Saída",0,SUMIFS('Lançamentos'!$F$5:$F$1004,'Lançamentos'!$C$5:$C$1004,A10,'Lançamentos'!$B$5:$B$1004,"Saída",'Lançamentos'!$G$5:$G$1004,"Realizado",'Lançamentos'!$H$5:$H$1004,Ano)))</f>
        <v>9760.37</v>
      </c>
      <c r="D10">
        <f>IF(C10&gt;0,C10+ROW()/1000000000,"")</f>
        <v>9760.37000001</v>
      </c>
    </row>
    <row r="11" spans="1:4">
      <c r="A11" t="str">
        <f>IF(Config!B21="","",Config!B21)</f>
        <v>Manutenção</v>
      </c>
      <c r="B11" t="str">
        <f>IF(Config!C21="","",Config!C21)</f>
        <v>Saída</v>
      </c>
      <c r="C11">
        <f>IF(A11="",0,IF(B11&lt;&gt;"Saída",0,SUMIFS('Lançamentos'!$F$5:$F$1004,'Lançamentos'!$C$5:$C$1004,A11,'Lançamentos'!$B$5:$B$1004,"Saída",'Lançamentos'!$G$5:$G$1004,"Realizado",'Lançamentos'!$H$5:$H$1004,Ano)))</f>
        <v>3312.85</v>
      </c>
      <c r="D11">
        <f>IF(C11&gt;0,C11+ROW()/1000000000,"")</f>
        <v>3312.850000011</v>
      </c>
    </row>
    <row r="12" spans="1:4">
      <c r="A12" t="str">
        <f>IF(Config!B22="","",Config!B22)</f>
        <v>Folha de pagamento</v>
      </c>
      <c r="B12" t="str">
        <f>IF(Config!C22="","",Config!C22)</f>
        <v>Saída</v>
      </c>
      <c r="C12">
        <f>IF(A12="",0,IF(B12&lt;&gt;"Saída",0,SUMIFS('Lançamentos'!$F$5:$F$1004,'Lançamentos'!$C$5:$C$1004,A12,'Lançamentos'!$B$5:$B$1004,"Saída",'Lançamentos'!$G$5:$G$1004,"Realizado",'Lançamentos'!$H$5:$H$1004,Ano)))</f>
        <v>118000</v>
      </c>
      <c r="D12">
        <f>IF(C12&gt;0,C12+ROW()/1000000000,"")</f>
        <v>118000.000000012</v>
      </c>
    </row>
    <row r="13" spans="1:4">
      <c r="A13" t="str">
        <f>IF(Config!B23="","",Config!B23)</f>
        <v>Aluguel</v>
      </c>
      <c r="B13" t="str">
        <f>IF(Config!C23="","",Config!C23)</f>
        <v>Saída</v>
      </c>
      <c r="C13">
        <f>IF(A13="",0,IF(B13&lt;&gt;"Saída",0,SUMIFS('Lançamentos'!$F$5:$F$1004,'Lançamentos'!$C$5:$C$1004,A13,'Lançamentos'!$B$5:$B$1004,"Saída",'Lançamentos'!$G$5:$G$1004,"Realizado",'Lançamentos'!$H$5:$H$1004,Ano)))</f>
        <v>37800</v>
      </c>
      <c r="D13">
        <f>IF(C13&gt;0,C13+ROW()/1000000000,"")</f>
        <v>37800.000000013</v>
      </c>
    </row>
    <row r="14" spans="1:4">
      <c r="A14" t="str">
        <f>IF(Config!B24="","",Config!B24)</f>
        <v>Energia, água e internet</v>
      </c>
      <c r="B14" t="str">
        <f>IF(Config!C24="","",Config!C24)</f>
        <v>Saída</v>
      </c>
      <c r="C14">
        <f>IF(A14="",0,IF(B14&lt;&gt;"Saída",0,SUMIFS('Lançamentos'!$F$5:$F$1004,'Lançamentos'!$C$5:$C$1004,A14,'Lançamentos'!$B$5:$B$1004,"Saída",'Lançamentos'!$G$5:$G$1004,"Realizado",'Lançamentos'!$H$5:$H$1004,Ano)))</f>
        <v>11994.84</v>
      </c>
      <c r="D14">
        <f>IF(C14&gt;0,C14+ROW()/1000000000,"")</f>
        <v>11994.840000014</v>
      </c>
    </row>
    <row r="15" spans="1:4">
      <c r="A15" t="str">
        <f>IF(Config!B25="","",Config!B25)</f>
        <v>Marketing</v>
      </c>
      <c r="B15" t="str">
        <f>IF(Config!C25="","",Config!C25)</f>
        <v>Saída</v>
      </c>
      <c r="C15">
        <f>IF(A15="",0,IF(B15&lt;&gt;"Saída",0,SUMIFS('Lançamentos'!$F$5:$F$1004,'Lançamentos'!$C$5:$C$1004,A15,'Lançamentos'!$B$5:$B$1004,"Saída",'Lançamentos'!$G$5:$G$1004,"Realizado",'Lançamentos'!$H$5:$H$1004,Ano)))</f>
        <v>16008.25</v>
      </c>
      <c r="D15">
        <f>IF(C15&gt;0,C15+ROW()/1000000000,"")</f>
        <v>16008.250000015</v>
      </c>
    </row>
    <row r="16" spans="1:4">
      <c r="A16" t="str">
        <f>IF(Config!B26="","",Config!B26)</f>
        <v>Contador e sistemas</v>
      </c>
      <c r="B16" t="str">
        <f>IF(Config!C26="","",Config!C26)</f>
        <v>Saída</v>
      </c>
      <c r="C16">
        <f>IF(A16="",0,IF(B16&lt;&gt;"Saída",0,SUMIFS('Lançamentos'!$F$5:$F$1004,'Lançamentos'!$C$5:$C$1004,A16,'Lançamentos'!$B$5:$B$1004,"Saída",'Lançamentos'!$G$5:$G$1004,"Realizado",'Lançamentos'!$H$5:$H$1004,Ano)))</f>
        <v>12150</v>
      </c>
      <c r="D16">
        <f>IF(C16&gt;0,C16+ROW()/1000000000,"")</f>
        <v>12150.000000016</v>
      </c>
    </row>
    <row r="17" spans="1:4">
      <c r="A17" t="str">
        <f>IF(Config!B27="","",Config!B27)</f>
        <v>Pró-labore / retiradas</v>
      </c>
      <c r="B17" t="str">
        <f>IF(Config!C27="","",Config!C27)</f>
        <v>Saída</v>
      </c>
      <c r="C17">
        <f>IF(A17="",0,IF(B17&lt;&gt;"Saída",0,SUMIFS('Lançamentos'!$F$5:$F$1004,'Lançamentos'!$C$5:$C$1004,A17,'Lançamentos'!$B$5:$B$1004,"Saída",'Lançamentos'!$G$5:$G$1004,"Realizado",'Lançamentos'!$H$5:$H$1004,Ano)))</f>
        <v>60000</v>
      </c>
      <c r="D17">
        <f>IF(C17&gt;0,C17+ROW()/1000000000,"")</f>
        <v>60000.000000017</v>
      </c>
    </row>
    <row r="18" spans="1:4">
      <c r="A18" t="str">
        <f>IF(Config!B28="","",Config!B28)</f>
        <v>Empréstimos / financiamentos</v>
      </c>
      <c r="B18" t="str">
        <f>IF(Config!C28="","",Config!C28)</f>
        <v>Saída</v>
      </c>
      <c r="C18">
        <f>IF(A18="",0,IF(B18&lt;&gt;"Saída",0,SUMIFS('Lançamentos'!$F$5:$F$1004,'Lançamentos'!$C$5:$C$1004,A18,'Lançamentos'!$B$5:$B$1004,"Saída",'Lançamentos'!$G$5:$G$1004,"Realizado",'Lançamentos'!$H$5:$H$1004,Ano)))</f>
        <v>18900</v>
      </c>
      <c r="D18">
        <f>IF(C18&gt;0,C18+ROW()/1000000000,"")</f>
        <v>18900.000000018</v>
      </c>
    </row>
    <row r="19" spans="1:4">
      <c r="A19" t="str">
        <f>IF(Config!B29="","",Config!B29)</f>
        <v>Investimentos</v>
      </c>
      <c r="B19" t="str">
        <f>IF(Config!C29="","",Config!C29)</f>
        <v>Saída</v>
      </c>
      <c r="C19">
        <f>IF(A19="",0,IF(B19&lt;&gt;"Saída",0,SUMIFS('Lançamentos'!$F$5:$F$1004,'Lançamentos'!$C$5:$C$1004,A19,'Lançamentos'!$B$5:$B$1004,"Saída",'Lançamentos'!$G$5:$G$1004,"Realizado",'Lançamentos'!$H$5:$H$1004,Ano)))</f>
        <v>5600</v>
      </c>
      <c r="D19">
        <f>IF(C19&gt;0,C19+ROW()/1000000000,"")</f>
        <v>5600.000000019</v>
      </c>
    </row>
    <row r="20" spans="1:4">
      <c r="A20" t="str">
        <f>IF(Config!B30="","",Config!B30)</f>
        <v>Outras despesas</v>
      </c>
      <c r="B20" t="str">
        <f>IF(Config!C30="","",Config!C30)</f>
        <v>Saída</v>
      </c>
      <c r="C20">
        <f>IF(A20="",0,IF(B20&lt;&gt;"Saída",0,SUMIFS('Lançamentos'!$F$5:$F$1004,'Lançamentos'!$C$5:$C$1004,A20,'Lançamentos'!$B$5:$B$1004,"Saída",'Lançamentos'!$G$5:$G$1004,"Realizado",'Lançamentos'!$H$5:$H$1004,Ano)))</f>
        <v>0</v>
      </c>
      <c r="D20">
        <f>IF(C20&gt;0,C20+ROW()/1000000000,"")</f>
        <v>0</v>
      </c>
    </row>
    <row r="21" spans="1:4">
      <c r="A21">
        <f>IF(Config!B31="","",Config!B31)</f>
        <v>0</v>
      </c>
      <c r="B21">
        <f>IF(Config!C31="","",Config!C31)</f>
        <v>0</v>
      </c>
      <c r="C21">
        <f>IF(A21="",0,IF(B21&lt;&gt;"Saída",0,SUMIFS('Lançamentos'!$F$5:$F$1004,'Lançamentos'!$C$5:$C$1004,A21,'Lançamentos'!$B$5:$B$1004,"Saída",'Lançamentos'!$G$5:$G$1004,"Realizado",'Lançamentos'!$H$5:$H$1004,Ano)))</f>
        <v>0</v>
      </c>
      <c r="D21">
        <f>IF(C21&gt;0,C21+ROW()/1000000000,"")</f>
        <v>0</v>
      </c>
    </row>
    <row r="22" spans="1:4">
      <c r="A22">
        <f>IF(Config!B32="","",Config!B32)</f>
        <v>0</v>
      </c>
      <c r="B22">
        <f>IF(Config!C32="","",Config!C32)</f>
        <v>0</v>
      </c>
      <c r="C22">
        <f>IF(A22="",0,IF(B22&lt;&gt;"Saída",0,SUMIFS('Lançamentos'!$F$5:$F$1004,'Lançamentos'!$C$5:$C$1004,A22,'Lançamentos'!$B$5:$B$1004,"Saída",'Lançamentos'!$G$5:$G$1004,"Realizado",'Lançamentos'!$H$5:$H$1004,Ano)))</f>
        <v>0</v>
      </c>
      <c r="D22">
        <f>IF(C22&gt;0,C22+ROW()/1000000000,"")</f>
        <v>0</v>
      </c>
    </row>
    <row r="23" spans="1:4">
      <c r="A23">
        <f>IF(Config!B33="","",Config!B33)</f>
        <v>0</v>
      </c>
      <c r="B23">
        <f>IF(Config!C33="","",Config!C33)</f>
        <v>0</v>
      </c>
      <c r="C23">
        <f>IF(A23="",0,IF(B23&lt;&gt;"Saída",0,SUMIFS('Lançamentos'!$F$5:$F$1004,'Lançamentos'!$C$5:$C$1004,A23,'Lançamentos'!$B$5:$B$1004,"Saída",'Lançamentos'!$G$5:$G$1004,"Realizado",'Lançamentos'!$H$5:$H$1004,Ano)))</f>
        <v>0</v>
      </c>
      <c r="D23">
        <f>IF(C23&gt;0,C23+ROW()/1000000000,"")</f>
        <v>0</v>
      </c>
    </row>
    <row r="24" spans="1:4">
      <c r="A24">
        <f>IF(Config!B34="","",Config!B34)</f>
        <v>0</v>
      </c>
      <c r="B24">
        <f>IF(Config!C34="","",Config!C34)</f>
        <v>0</v>
      </c>
      <c r="C24">
        <f>IF(A24="",0,IF(B24&lt;&gt;"Saída",0,SUMIFS('Lançamentos'!$F$5:$F$1004,'Lançamentos'!$C$5:$C$1004,A24,'Lançamentos'!$B$5:$B$1004,"Saída",'Lançamentos'!$G$5:$G$1004,"Realizado",'Lançamentos'!$H$5:$H$1004,Ano)))</f>
        <v>0</v>
      </c>
      <c r="D24">
        <f>IF(C24&gt;0,C24+ROW()/1000000000,"")</f>
        <v>0</v>
      </c>
    </row>
    <row r="25" spans="1:4">
      <c r="A25">
        <f>IF(Config!B35="","",Config!B35)</f>
        <v>0</v>
      </c>
      <c r="B25">
        <f>IF(Config!C35="","",Config!C35)</f>
        <v>0</v>
      </c>
      <c r="C25">
        <f>IF(A25="",0,IF(B25&lt;&gt;"Saída",0,SUMIFS('Lançamentos'!$F$5:$F$1004,'Lançamentos'!$C$5:$C$1004,A25,'Lançamentos'!$B$5:$B$1004,"Saída",'Lançamentos'!$G$5:$G$1004,"Realizado",'Lançamentos'!$H$5:$H$1004,Ano)))</f>
        <v>0</v>
      </c>
      <c r="D25">
        <f>IF(C25&gt;0,C25+ROW()/1000000000,"")</f>
        <v>0</v>
      </c>
    </row>
    <row r="26" spans="1:4">
      <c r="A26">
        <f>IF(Config!B36="","",Config!B36)</f>
        <v>0</v>
      </c>
      <c r="B26">
        <f>IF(Config!C36="","",Config!C36)</f>
        <v>0</v>
      </c>
      <c r="C26">
        <f>IF(A26="",0,IF(B26&lt;&gt;"Saída",0,SUMIFS('Lançamentos'!$F$5:$F$1004,'Lançamentos'!$C$5:$C$1004,A26,'Lançamentos'!$B$5:$B$1004,"Saída",'Lançamentos'!$G$5:$G$1004,"Realizado",'Lançamentos'!$H$5:$H$1004,Ano)))</f>
        <v>0</v>
      </c>
      <c r="D26">
        <f>IF(C26&gt;0,C26+ROW()/1000000000,"")</f>
        <v>0</v>
      </c>
    </row>
    <row r="27" spans="1:4">
      <c r="A27">
        <f>IF(Config!B37="","",Config!B37)</f>
        <v>0</v>
      </c>
      <c r="B27">
        <f>IF(Config!C37="","",Config!C37)</f>
        <v>0</v>
      </c>
      <c r="C27">
        <f>IF(A27="",0,IF(B27&lt;&gt;"Saída",0,SUMIFS('Lançamentos'!$F$5:$F$1004,'Lançamentos'!$C$5:$C$1004,A27,'Lançamentos'!$B$5:$B$1004,"Saída",'Lançamentos'!$G$5:$G$1004,"Realizado",'Lançamentos'!$H$5:$H$1004,Ano)))</f>
        <v>0</v>
      </c>
      <c r="D27">
        <f>IF(C27&gt;0,C27+ROW()/1000000000,"")</f>
        <v>0</v>
      </c>
    </row>
    <row r="28" spans="1:4">
      <c r="A28">
        <f>IF(Config!B38="","",Config!B38)</f>
        <v>0</v>
      </c>
      <c r="B28">
        <f>IF(Config!C38="","",Config!C38)</f>
        <v>0</v>
      </c>
      <c r="C28">
        <f>IF(A28="",0,IF(B28&lt;&gt;"Saída",0,SUMIFS('Lançamentos'!$F$5:$F$1004,'Lançamentos'!$C$5:$C$1004,A28,'Lançamentos'!$B$5:$B$1004,"Saída",'Lançamentos'!$G$5:$G$1004,"Realizado",'Lançamentos'!$H$5:$H$1004,Ano)))</f>
        <v>0</v>
      </c>
      <c r="D28">
        <f>IF(C28&gt;0,C28+ROW()/1000000000,"")</f>
        <v>0</v>
      </c>
    </row>
    <row r="29" spans="1:4">
      <c r="A29">
        <f>IF(Config!B39="","",Config!B39)</f>
        <v>0</v>
      </c>
      <c r="B29">
        <f>IF(Config!C39="","",Config!C39)</f>
        <v>0</v>
      </c>
      <c r="C29">
        <f>IF(A29="",0,IF(B29&lt;&gt;"Saída",0,SUMIFS('Lançamentos'!$F$5:$F$1004,'Lançamentos'!$C$5:$C$1004,A29,'Lançamentos'!$B$5:$B$1004,"Saída",'Lançamentos'!$G$5:$G$1004,"Realizado",'Lançamentos'!$H$5:$H$1004,Ano)))</f>
        <v>0</v>
      </c>
      <c r="D29">
        <f>IF(C29&gt;0,C29+ROW()/1000000000,"")</f>
        <v>0</v>
      </c>
    </row>
    <row r="30" spans="1:4">
      <c r="A30">
        <f>IF(Config!B40="","",Config!B40)</f>
        <v>0</v>
      </c>
      <c r="B30">
        <f>IF(Config!C40="","",Config!C40)</f>
        <v>0</v>
      </c>
      <c r="C30">
        <f>IF(A30="",0,IF(B30&lt;&gt;"Saída",0,SUMIFS('Lançamentos'!$F$5:$F$1004,'Lançamentos'!$C$5:$C$1004,A30,'Lançamentos'!$B$5:$B$1004,"Saída",'Lançamentos'!$G$5:$G$1004,"Realizado",'Lançamentos'!$H$5:$H$1004,Ano)))</f>
        <v>0</v>
      </c>
      <c r="D30">
        <f>IF(C30&gt;0,C30+ROW()/1000000000,"")</f>
        <v>0</v>
      </c>
    </row>
    <row r="31" spans="1:4">
      <c r="A31">
        <f>IF(Config!B41="","",Config!B41)</f>
        <v>0</v>
      </c>
      <c r="B31">
        <f>IF(Config!C41="","",Config!C41)</f>
        <v>0</v>
      </c>
      <c r="C31">
        <f>IF(A31="",0,IF(B31&lt;&gt;"Saída",0,SUMIFS('Lançamentos'!$F$5:$F$1004,'Lançamentos'!$C$5:$C$1004,A31,'Lançamentos'!$B$5:$B$1004,"Saída",'Lançamentos'!$G$5:$G$1004,"Realizado",'Lançamentos'!$H$5:$H$1004,Ano)))</f>
        <v>0</v>
      </c>
      <c r="D31">
        <f>IF(C31&gt;0,C31+ROW()/1000000000,"")</f>
        <v>0</v>
      </c>
    </row>
    <row r="32" spans="1:4">
      <c r="A32">
        <f>IF(Config!B42="","",Config!B42)</f>
        <v>0</v>
      </c>
      <c r="B32">
        <f>IF(Config!C42="","",Config!C42)</f>
        <v>0</v>
      </c>
      <c r="C32">
        <f>IF(A32="",0,IF(B32&lt;&gt;"Saída",0,SUMIFS('Lançamentos'!$F$5:$F$1004,'Lançamentos'!$C$5:$C$1004,A32,'Lançamentos'!$B$5:$B$1004,"Saída",'Lançamentos'!$G$5:$G$1004,"Realizado",'Lançamentos'!$H$5:$H$1004,Ano)))</f>
        <v>0</v>
      </c>
      <c r="D32">
        <f>IF(C32&gt;0,C32+ROW()/1000000000,"")</f>
        <v>0</v>
      </c>
    </row>
    <row r="33" spans="1:4">
      <c r="A33">
        <f>IF(Config!B43="","",Config!B43)</f>
        <v>0</v>
      </c>
      <c r="B33">
        <f>IF(Config!C43="","",Config!C43)</f>
        <v>0</v>
      </c>
      <c r="C33">
        <f>IF(A33="",0,IF(B33&lt;&gt;"Saída",0,SUMIFS('Lançamentos'!$F$5:$F$1004,'Lançamentos'!$C$5:$C$1004,A33,'Lançamentos'!$B$5:$B$1004,"Saída",'Lançamentos'!$G$5:$G$1004,"Realizado",'Lançamentos'!$H$5:$H$1004,Ano)))</f>
        <v>0</v>
      </c>
      <c r="D33">
        <f>IF(C33&gt;0,C33+ROW()/1000000000,"")</f>
        <v>0</v>
      </c>
    </row>
    <row r="34" spans="1:4">
      <c r="A34">
        <f>IF(Config!B44="","",Config!B44)</f>
        <v>0</v>
      </c>
      <c r="B34">
        <f>IF(Config!C44="","",Config!C44)</f>
        <v>0</v>
      </c>
      <c r="C34">
        <f>IF(A34="",0,IF(B34&lt;&gt;"Saída",0,SUMIFS('Lançamentos'!$F$5:$F$1004,'Lançamentos'!$C$5:$C$1004,A34,'Lançamentos'!$B$5:$B$1004,"Saída",'Lançamentos'!$G$5:$G$1004,"Realizado",'Lançamentos'!$H$5:$H$1004,Ano)))</f>
        <v>0</v>
      </c>
      <c r="D34">
        <f>IF(C34&gt;0,C34+ROW()/1000000000,"")</f>
        <v>0</v>
      </c>
    </row>
    <row r="35" spans="1:4">
      <c r="A35">
        <f>IF(Config!B45="","",Config!B45)</f>
        <v>0</v>
      </c>
      <c r="B35">
        <f>IF(Config!C45="","",Config!C45)</f>
        <v>0</v>
      </c>
      <c r="C35">
        <f>IF(A35="",0,IF(B35&lt;&gt;"Saída",0,SUMIFS('Lançamentos'!$F$5:$F$1004,'Lançamentos'!$C$5:$C$1004,A35,'Lançamentos'!$B$5:$B$1004,"Saída",'Lançamentos'!$G$5:$G$1004,"Realizado",'Lançamentos'!$H$5:$H$1004,Ano)))</f>
        <v>0</v>
      </c>
      <c r="D35">
        <f>IF(C35&gt;0,C35+ROW()/1000000000,"")</f>
        <v>0</v>
      </c>
    </row>
    <row r="36" spans="1:4">
      <c r="A36">
        <f>IF(Config!B46="","",Config!B46)</f>
        <v>0</v>
      </c>
      <c r="B36">
        <f>IF(Config!C46="","",Config!C46)</f>
        <v>0</v>
      </c>
      <c r="C36">
        <f>IF(A36="",0,IF(B36&lt;&gt;"Saída",0,SUMIFS('Lançamentos'!$F$5:$F$1004,'Lançamentos'!$C$5:$C$1004,A36,'Lançamentos'!$B$5:$B$1004,"Saída",'Lançamentos'!$G$5:$G$1004,"Realizado",'Lançamentos'!$H$5:$H$1004,Ano)))</f>
        <v>0</v>
      </c>
      <c r="D36">
        <f>IF(C36&gt;0,C36+ROW()/1000000000,"")</f>
        <v>0</v>
      </c>
    </row>
    <row r="37" spans="1:4">
      <c r="A37">
        <f>IF(Config!B47="","",Config!B47)</f>
        <v>0</v>
      </c>
      <c r="B37">
        <f>IF(Config!C47="","",Config!C47)</f>
        <v>0</v>
      </c>
      <c r="C37">
        <f>IF(A37="",0,IF(B37&lt;&gt;"Saída",0,SUMIFS('Lançamentos'!$F$5:$F$1004,'Lançamentos'!$C$5:$C$1004,A37,'Lançamentos'!$B$5:$B$1004,"Saída",'Lançamentos'!$G$5:$G$1004,"Realizado",'Lançamentos'!$H$5:$H$1004,Ano)))</f>
        <v>0</v>
      </c>
      <c r="D37">
        <f>IF(C37&gt;0,C37+ROW()/1000000000,"")</f>
        <v>0</v>
      </c>
    </row>
    <row r="38" spans="1:4">
      <c r="A38">
        <f>IF(Config!B48="","",Config!B48)</f>
        <v>0</v>
      </c>
      <c r="B38">
        <f>IF(Config!C48="","",Config!C48)</f>
        <v>0</v>
      </c>
      <c r="C38">
        <f>IF(A38="",0,IF(B38&lt;&gt;"Saída",0,SUMIFS('Lançamentos'!$F$5:$F$1004,'Lançamentos'!$C$5:$C$1004,A38,'Lançamentos'!$B$5:$B$1004,"Saída",'Lançamentos'!$G$5:$G$1004,"Realizado",'Lançamentos'!$H$5:$H$1004,Ano)))</f>
        <v>0</v>
      </c>
      <c r="D38">
        <f>IF(C38&gt;0,C38+ROW()/1000000000,"")</f>
        <v>0</v>
      </c>
    </row>
    <row r="39" spans="1:4">
      <c r="A39">
        <f>IF(Config!B49="","",Config!B49)</f>
        <v>0</v>
      </c>
      <c r="B39">
        <f>IF(Config!C49="","",Config!C49)</f>
        <v>0</v>
      </c>
      <c r="C39">
        <f>IF(A39="",0,IF(B39&lt;&gt;"Saída",0,SUMIFS('Lançamentos'!$F$5:$F$1004,'Lançamentos'!$C$5:$C$1004,A39,'Lançamentos'!$B$5:$B$1004,"Saída",'Lançamentos'!$G$5:$G$1004,"Realizado",'Lançamentos'!$H$5:$H$1004,Ano)))</f>
        <v>0</v>
      </c>
      <c r="D39">
        <f>IF(C39&gt;0,C39+ROW()/1000000000,"")</f>
        <v>0</v>
      </c>
    </row>
    <row r="40" spans="1:4">
      <c r="A40">
        <f>IF(Config!B50="","",Config!B50)</f>
        <v>0</v>
      </c>
      <c r="B40">
        <f>IF(Config!C50="","",Config!C50)</f>
        <v>0</v>
      </c>
      <c r="C40">
        <f>IF(A40="",0,IF(B40&lt;&gt;"Saída",0,SUMIFS('Lançamentos'!$F$5:$F$1004,'Lançamentos'!$C$5:$C$1004,A40,'Lançamentos'!$B$5:$B$1004,"Saída",'Lançamentos'!$G$5:$G$1004,"Realizado",'Lançamentos'!$H$5:$H$1004,Ano)))</f>
        <v>0</v>
      </c>
      <c r="D40">
        <f>IF(C40&gt;0,C40+ROW()/1000000000,"")</f>
        <v>0</v>
      </c>
    </row>
    <row r="41" spans="1:4">
      <c r="A41">
        <f>IF(Config!B51="","",Config!B51)</f>
        <v>0</v>
      </c>
      <c r="B41">
        <f>IF(Config!C51="","",Config!C51)</f>
        <v>0</v>
      </c>
      <c r="C41">
        <f>IF(A41="",0,IF(B41&lt;&gt;"Saída",0,SUMIFS('Lançamentos'!$F$5:$F$1004,'Lançamentos'!$C$5:$C$1004,A41,'Lançamentos'!$B$5:$B$1004,"Saída",'Lançamentos'!$G$5:$G$1004,"Realizado",'Lançamentos'!$H$5:$H$1004,Ano)))</f>
        <v>0</v>
      </c>
      <c r="D41">
        <f>IF(C41&gt;0,C41+ROW()/1000000000,"")</f>
        <v>0</v>
      </c>
    </row>
  </sheetData>
  <pageMargins left="0.7" right="0.7" top="0.75" bottom="0.75" header="0.3" footer="0.3"/>
  <pageSetup paperSize="9" fitToHeight="0" orientation="landscape"/>
  <headerFooter>
    <oddFooter>&amp;L&amp;8Carvex XLS - Fluxo de Caixa Inteligente&amp;R&amp;8Página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L19"/>
  <sheetViews>
    <sheetView showGridLines="0" workbookViewId="0"/>
  </sheetViews>
  <sheetFormatPr defaultRowHeight="15"/>
  <cols>
    <col min="1" max="5" width="12.7109375" customWidth="1"/>
    <col min="6" max="6" width="0" hidden="1" customWidth="1"/>
    <col min="7" max="12" width="12.7109375" customWidth="1"/>
  </cols>
  <sheetData>
    <row r="1" spans="1:12" ht="36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13" t="s">
        <v>39</v>
      </c>
    </row>
    <row r="4" spans="1:12" ht="24" customHeight="1">
      <c r="A4" s="28" t="s">
        <v>134</v>
      </c>
      <c r="B4" s="28"/>
      <c r="C4" s="28"/>
      <c r="D4" s="28" t="s">
        <v>135</v>
      </c>
      <c r="E4" s="28"/>
      <c r="F4" s="28"/>
      <c r="G4" s="28" t="s">
        <v>136</v>
      </c>
      <c r="H4" s="28"/>
      <c r="I4" s="28"/>
      <c r="J4" s="28" t="s">
        <v>137</v>
      </c>
      <c r="K4" s="28"/>
      <c r="L4" s="28"/>
    </row>
    <row r="5" spans="1:12" ht="32" customHeight="1">
      <c r="A5" s="29">
        <f>SaldoIni+SUMIFS('Lançamentos'!$J$5:$J$1004,'Lançamentos'!$G$5:$G$1004,"Realizado",'Lançamentos'!$H$5:$H$1004,Ano)</f>
        <v>71382.01</v>
      </c>
      <c r="B5" s="29"/>
      <c r="C5" s="29"/>
      <c r="D5" s="29">
        <f>Mensal!B17</f>
        <v>527071.29</v>
      </c>
      <c r="E5" s="29"/>
      <c r="F5" s="29"/>
      <c r="G5" s="29">
        <f>Mensal!C17</f>
        <v>473689.28</v>
      </c>
      <c r="H5" s="29"/>
      <c r="I5" s="29"/>
      <c r="J5" s="29">
        <f>Mensal!D17</f>
        <v>53382.01</v>
      </c>
      <c r="K5" s="29"/>
      <c r="L5" s="29"/>
    </row>
    <row r="7" spans="1:12" ht="24" customHeight="1">
      <c r="A7" s="28" t="s">
        <v>138</v>
      </c>
      <c r="B7" s="28"/>
      <c r="C7" s="28"/>
      <c r="D7" s="28" t="s">
        <v>139</v>
      </c>
      <c r="E7" s="28"/>
      <c r="F7" s="28"/>
      <c r="G7" s="28" t="s">
        <v>140</v>
      </c>
      <c r="H7" s="28"/>
      <c r="I7" s="28"/>
      <c r="J7" s="28" t="s">
        <v>141</v>
      </c>
      <c r="K7" s="28"/>
      <c r="L7" s="28"/>
    </row>
    <row r="8" spans="1:12" ht="32" customHeight="1">
      <c r="A8" s="30">
        <f>IF(Mensal!B17=0,0,Mensal!D17/Mensal!B17)</f>
        <v>0.101280435897011</v>
      </c>
      <c r="B8" s="30"/>
      <c r="C8" s="30"/>
      <c r="D8" s="29">
        <f>Mensal!I16</f>
        <v>125173.64</v>
      </c>
      <c r="E8" s="29"/>
      <c r="F8" s="29"/>
      <c r="G8" s="31">
        <f>IFERROR(A5/(Mensal!C17/MAX(1,COUNTIF(Mensal!C5:C16,"&gt;0"))),0)</f>
        <v>1.50693741686533</v>
      </c>
      <c r="H8" s="31"/>
      <c r="I8" s="31"/>
      <c r="J8" s="32" t="str">
        <f>IF(G8&gt;=MetaReserva,"Reserva saudável",IF(G8&gt;=1,"Abaixo da meta","CRÍTICO: &lt;1 mês"))</f>
        <v>Abaixo da meta</v>
      </c>
      <c r="K8" s="32"/>
      <c r="L8" s="32"/>
    </row>
    <row r="10" spans="1:12">
      <c r="A10" s="4" t="s">
        <v>142</v>
      </c>
      <c r="B10" s="4"/>
      <c r="C10" s="4"/>
      <c r="D10" s="4"/>
      <c r="E10" s="4"/>
      <c r="F10" s="4"/>
    </row>
    <row r="11" spans="1:12" ht="22" customHeight="1">
      <c r="A11" s="11" t="s">
        <v>143</v>
      </c>
      <c r="B11" s="11" t="s">
        <v>48</v>
      </c>
      <c r="C11" s="11"/>
      <c r="D11" s="11" t="s">
        <v>144</v>
      </c>
      <c r="E11" s="11" t="s">
        <v>145</v>
      </c>
      <c r="F11" s="12" t="s">
        <v>146</v>
      </c>
    </row>
    <row r="12" spans="1:12">
      <c r="A12" s="33">
        <v>1</v>
      </c>
      <c r="B12" s="34" t="str">
        <f>IF(F12="","",INDEX(Calc!$A$2:$A$41,MATCH(F12,Calc!$D$2:$D$41,0)))</f>
        <v>Fornecedores / mercadorias</v>
      </c>
      <c r="C12" s="34"/>
      <c r="D12" s="21">
        <f>IF(F12="","",ROUND(F12,2))</f>
        <v>144480.97</v>
      </c>
      <c r="E12" s="23">
        <f>IF(OR(F12="",Mensal!$C$17=0),"",D12/Mensal!$C$17)</f>
        <v>0.305012116803657</v>
      </c>
      <c r="F12" s="35">
        <f>IFERROR(LARGE(Calc!$D$2:$D$41,1),"")</f>
        <v>144480.970000007</v>
      </c>
    </row>
    <row r="13" spans="1:12">
      <c r="A13" s="33">
        <v>2</v>
      </c>
      <c r="B13" s="34" t="str">
        <f>IF(F13="","",INDEX(Calc!$A$2:$A$41,MATCH(F13,Calc!$D$2:$D$41,0)))</f>
        <v>Folha de pagamento</v>
      </c>
      <c r="C13" s="34"/>
      <c r="D13" s="21">
        <f>IF(F13="","",ROUND(F13,2))</f>
        <v>118000</v>
      </c>
      <c r="E13" s="23">
        <f>IF(OR(F13="",Mensal!$C$17=0),"",D13/Mensal!$C$17)</f>
        <v>0.249108445097174</v>
      </c>
      <c r="F13" s="35">
        <f>IFERROR(LARGE(Calc!$D$2:$D$41,2),"")</f>
        <v>118000.000000012</v>
      </c>
    </row>
    <row r="14" spans="1:12">
      <c r="A14" s="33">
        <v>3</v>
      </c>
      <c r="B14" s="34" t="str">
        <f>IF(F14="","",INDEX(Calc!$A$2:$A$41,MATCH(F14,Calc!$D$2:$D$41,0)))</f>
        <v>Pró-labore / retiradas</v>
      </c>
      <c r="C14" s="34"/>
      <c r="D14" s="21">
        <f>IF(F14="","",ROUND(F14,2))</f>
        <v>60000</v>
      </c>
      <c r="E14" s="23">
        <f>IF(OR(F14="",Mensal!$C$17=0),"",D14/Mensal!$C$17)</f>
        <v>0.12666531106636</v>
      </c>
      <c r="F14" s="35">
        <f>IFERROR(LARGE(Calc!$D$2:$D$41,3),"")</f>
        <v>60000.000000017</v>
      </c>
    </row>
    <row r="15" spans="1:12">
      <c r="A15" s="33">
        <v>4</v>
      </c>
      <c r="B15" s="34" t="str">
        <f>IF(F15="","",INDEX(Calc!$A$2:$A$41,MATCH(F15,Calc!$D$2:$D$41,0)))</f>
        <v>Aluguel</v>
      </c>
      <c r="C15" s="34"/>
      <c r="D15" s="21">
        <f>IF(F15="","",ROUND(F15,2))</f>
        <v>37800</v>
      </c>
      <c r="E15" s="23">
        <f>IF(OR(F15="",Mensal!$C$17=0),"",D15/Mensal!$C$17)</f>
        <v>0.0797991459718067</v>
      </c>
      <c r="F15" s="35">
        <f>IFERROR(LARGE(Calc!$D$2:$D$41,4),"")</f>
        <v>37800.000000013</v>
      </c>
    </row>
    <row r="16" spans="1:12">
      <c r="A16" s="33">
        <v>5</v>
      </c>
      <c r="B16" s="34" t="str">
        <f>IF(F16="","",INDEX(Calc!$A$2:$A$41,MATCH(F16,Calc!$D$2:$D$41,0)))</f>
        <v>Impostos</v>
      </c>
      <c r="C16" s="34"/>
      <c r="D16" s="21">
        <f>IF(F16="","",ROUND(F16,2))</f>
        <v>23927.92</v>
      </c>
      <c r="E16" s="23">
        <f>IF(OR(F16="",Mensal!$C$17=0),"",D16/Mensal!$C$17)</f>
        <v>0.0505139571661829</v>
      </c>
      <c r="F16" s="35">
        <f>IFERROR(LARGE(Calc!$D$2:$D$41,5),"")</f>
        <v>23927.920000008</v>
      </c>
    </row>
    <row r="17" spans="1:6">
      <c r="A17" s="33">
        <v>6</v>
      </c>
      <c r="B17" s="34" t="str">
        <f>IF(F17="","",INDEX(Calc!$A$2:$A$41,MATCH(F17,Calc!$D$2:$D$41,0)))</f>
        <v>Empréstimos / financiamentos</v>
      </c>
      <c r="C17" s="34"/>
      <c r="D17" s="21">
        <f>IF(F17="","",ROUND(F17,2))</f>
        <v>18900</v>
      </c>
      <c r="E17" s="23">
        <f>IF(OR(F17="",Mensal!$C$17=0),"",D17/Mensal!$C$17)</f>
        <v>0.0398995729859033</v>
      </c>
      <c r="F17" s="35">
        <f>IFERROR(LARGE(Calc!$D$2:$D$41,6),"")</f>
        <v>18900.000000018</v>
      </c>
    </row>
    <row r="18" spans="1:6">
      <c r="A18" s="33">
        <v>7</v>
      </c>
      <c r="B18" s="34" t="str">
        <f>IF(F18="","",INDEX(Calc!$A$2:$A$41,MATCH(F18,Calc!$D$2:$D$41,0)))</f>
        <v>Marketing</v>
      </c>
      <c r="C18" s="34"/>
      <c r="D18" s="21">
        <f>IF(F18="","",ROUND(F18,2))</f>
        <v>16008.25</v>
      </c>
      <c r="E18" s="23">
        <f>IF(OR(F18="",Mensal!$C$17=0),"",D18/Mensal!$C$17)</f>
        <v>0.0337948327646342</v>
      </c>
      <c r="F18" s="35">
        <f>IFERROR(LARGE(Calc!$D$2:$D$41,7),"")</f>
        <v>16008.250000015</v>
      </c>
    </row>
    <row r="19" spans="1:6">
      <c r="A19" s="33">
        <v>8</v>
      </c>
      <c r="B19" s="34" t="str">
        <f>IF(F19="","",INDEX(Calc!$A$2:$A$41,MATCH(F19,Calc!$D$2:$D$41,0)))</f>
        <v>Contador e sistemas</v>
      </c>
      <c r="C19" s="34"/>
      <c r="D19" s="21">
        <f>IF(F19="","",ROUND(F19,2))</f>
        <v>12150</v>
      </c>
      <c r="E19" s="23">
        <f>IF(OR(F19="",Mensal!$C$17=0),"",D19/Mensal!$C$17)</f>
        <v>0.0256497254909379</v>
      </c>
      <c r="F19" s="35">
        <f>IFERROR(LARGE(Calc!$D$2:$D$41,8),"")</f>
        <v>12150.000000016</v>
      </c>
    </row>
  </sheetData>
  <sheetProtection sheet="1" objects="1" scenarios="1"/>
  <mergeCells count="28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0:F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orientation="landscape"/>
  <headerFooter>
    <oddFooter>&amp;L&amp;8Carvex XLS - Fluxo de Caixa Inteligente&amp;R&amp;8Página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Início</vt:lpstr>
      <vt:lpstr>Config</vt:lpstr>
      <vt:lpstr>Lançamentos</vt:lpstr>
      <vt:lpstr>Mensal</vt:lpstr>
      <vt:lpstr>Calc</vt:lpstr>
      <vt:lpstr>Dashboard</vt:lpstr>
      <vt:lpstr>Ano</vt:lpstr>
      <vt:lpstr>CatNome</vt:lpstr>
      <vt:lpstr>CatTipo</vt:lpstr>
      <vt:lpstr>Contas</vt:lpstr>
      <vt:lpstr>Hoje</vt:lpstr>
      <vt:lpstr>MetaReserva</vt:lpstr>
      <vt:lpstr>SaldoIni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Fluxo de Caixa Inteligente</dc:title>
  <dc:creator>Carvex XLS</dc:creator>
  <dc:description>Planilha empresarial Carvex XLS (EXEMPLO com dados fictícios)</dc:description>
  <cp:lastModifiedBy>Carvex XLS</cp:lastModifiedBy>
  <dcterms:created xsi:type="dcterms:W3CDTF">2026-10-08T12:30:13Z</dcterms:created>
  <dcterms:modified xsi:type="dcterms:W3CDTF">2026-10-08T12:30:13Z</dcterms:modified>
</cp:coreProperties>
</file>