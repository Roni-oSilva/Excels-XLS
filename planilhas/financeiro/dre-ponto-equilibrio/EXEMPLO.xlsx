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Lançamentos" sheetId="3" r:id="rId3"/>
    <sheet name="DRE" sheetId="4" r:id="rId4"/>
    <sheet name="Ponto de Equilíbrio" sheetId="5" r:id="rId5"/>
  </sheets>
  <definedNames>
    <definedName name="_xlnm._FilterDatabase" localSheetId="2" hidden="1">Lançamentos!$A$4:$G$1504</definedName>
    <definedName name="Ano">Config!$C$5</definedName>
    <definedName name="ContaComp">Config!$C$10:$C$19</definedName>
    <definedName name="ContaNome">Config!$B$10:$B$19</definedName>
    <definedName name="MetaLucro">Config!$C$6</definedName>
  </definedNames>
  <calcPr calcId="124519" fullCalcOnLoad="1"/>
</workbook>
</file>

<file path=xl/sharedStrings.xml><?xml version="1.0" encoding="utf-8"?>
<sst xmlns="http://schemas.openxmlformats.org/spreadsheetml/2006/main" count="411" uniqueCount="135">
  <si>
    <t>DRE e Ponto de Equilíbrio</t>
  </si>
  <si>
    <t>Carvex XLS · Descubra o lucro real e quanto precisa vender para pagar as contas</t>
  </si>
  <si>
    <t>ESTE É O ARQUIVO DE EXEMPLO: todos os dados são fictícios. Use-o para entender como a planilha funciona e comece a sua pela PLANILHA-LIMPA.xlsx.</t>
  </si>
  <si>
    <t>O que esta planilha faz</t>
  </si>
  <si>
    <t>Lance receitas, custos e despesas escolhendo a conta do DRE. A planilha monta a Demonstração do Resultado mês a mês, calcula a margem de contribuição, o ponto de equilíbrio, a margem de segurança e o faturamento necessário para atingir o lucro que você deseja.</t>
  </si>
  <si>
    <t>Como começar (5 minutos)</t>
  </si>
  <si>
    <t>1. Config</t>
  </si>
  <si>
    <t>Informe empresa, ano e o lucro líquido mensal que você deseja. Leia a lista de contas para saber o que lançar em cada uma.</t>
  </si>
  <si>
    <t>2. Lance tudo em Lançamentos</t>
  </si>
  <si>
    <t>Data, conta do DRE, descrição e valor (sempre positivo). Use a data de competência (quando a venda ou o custo ocorreu).</t>
  </si>
  <si>
    <t>3. Abra a aba DRE</t>
  </si>
  <si>
    <t>Veja mês a mês a receita, a margem de contribuição, o resultado operacional e o lucro líquido.</t>
  </si>
  <si>
    <t>4. Abra a aba Ponto de Equilíbrio</t>
  </si>
  <si>
    <t>Veja quanto você precisa faturar por mês para não ter prejuízo e quanto precisa para atingir sua meta de lucro.</t>
  </si>
  <si>
    <t>5. Revise mensalmente</t>
  </si>
  <si>
    <t>Feche o mês até o dia 10, comparando o lucro com a meta.</t>
  </si>
  <si>
    <t>Mapa das abas (clique para ir)</t>
  </si>
  <si>
    <t>Config</t>
  </si>
  <si>
    <t>Parâmetros e lista de contas.</t>
  </si>
  <si>
    <t>Lançamentos</t>
  </si>
  <si>
    <t>Todos os lançamentos (até 1.500 linhas).</t>
  </si>
  <si>
    <t>DRE</t>
  </si>
  <si>
    <t>Demonstração do Resultado mês a mês, com % da receita bruta.</t>
  </si>
  <si>
    <t>Ponto de Equilíbrio</t>
  </si>
  <si>
    <t>Indicadores, ponto de equilíbrio por mês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</si>
  <si>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</si>
  <si>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</si>
  <si>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</si>
  <si>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</si>
  <si>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</si>
  <si>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</si>
  <si>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</si>
  <si>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</si>
  <si>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DRE usa regime de competência (quando vendeu/gastou), diferente do Fluxo de Caixa (quando recebeu/pagou).</t>
  </si>
  <si>
    <t>• Não renomeie as contas da Config: elas são a estrutura do DRE. Detalhe pela coluna Descrição.</t>
  </si>
  <si>
    <t>• Esta planilha é uma ferramenta gerencial. Não substitui a contabilidade oficial.</t>
  </si>
  <si>
    <t>Carvex XLS · DRE e Ponto de Equilíbrio · versão 1.0 · Dúvidas: consulte o TUTORIAL.md e o MANUAL.md que acompanham o produto.</t>
  </si>
  <si>
    <t>Configurações</t>
  </si>
  <si>
    <t>Preencha as células amarelas.</t>
  </si>
  <si>
    <t>EXEMPLO - dados fictícios</t>
  </si>
  <si>
    <t>Empresa</t>
  </si>
  <si>
    <t>Empresa Exemplo</t>
  </si>
  <si>
    <t>Ano do DRE</t>
  </si>
  <si>
    <t>Lucro líquido desejado por mês (R$)</t>
  </si>
  <si>
    <t>Conta do DRE</t>
  </si>
  <si>
    <t>Comportamento</t>
  </si>
  <si>
    <t>O que lançar aqui</t>
  </si>
  <si>
    <t>Receita bruta</t>
  </si>
  <si>
    <t>Receita</t>
  </si>
  <si>
    <t>Vendas e serviços faturados no mês (competência).</t>
  </si>
  <si>
    <t>Deduções e impostos sobre vendas</t>
  </si>
  <si>
    <t>Variável</t>
  </si>
  <si>
    <t>Simples/ICMS/ISS/PIS/COFINS sobre vendas, devoluções e descontos.</t>
  </si>
  <si>
    <t>Custos variáveis (CMV / insumos)</t>
  </si>
  <si>
    <t>Mercadorias, matéria-prima, embalagens e serviços de terceiros ligados à venda.</t>
  </si>
  <si>
    <t>Comissões e taxas de venda</t>
  </si>
  <si>
    <t>Comissão de vendedores, taxas de cartão e de marketplace.</t>
  </si>
  <si>
    <t>Despesas com pessoal</t>
  </si>
  <si>
    <t>Fixo</t>
  </si>
  <si>
    <t>Salários, encargos, benefícios e pró-labore.</t>
  </si>
  <si>
    <t>Despesas administrativas</t>
  </si>
  <si>
    <t>Aluguel, energia, internet, contador, sistemas, manutenção.</t>
  </si>
  <si>
    <t>Despesas comerciais e marketing</t>
  </si>
  <si>
    <t>Anúncios, brindes, eventos, material de divulgação.</t>
  </si>
  <si>
    <t>Receitas financeiras</t>
  </si>
  <si>
    <t>Receita financeira</t>
  </si>
  <si>
    <t>Rendimentos de aplicações e juros recebidos.</t>
  </si>
  <si>
    <t>Despesas financeiras</t>
  </si>
  <si>
    <t>Juros, tarifas bancárias, IOF e parcelas de juros de empréstimos.</t>
  </si>
  <si>
    <t>IRPJ / CSLL</t>
  </si>
  <si>
    <t>Imposto sobre lucro</t>
  </si>
  <si>
    <t>Imposto sobre o lucro (apenas Lucro Presumido/Real; no Simples costuma estar nas deduções).</t>
  </si>
  <si>
    <t>Fixo = não muda com o volume de vendas. Variável = cresce junto com as vendas.</t>
  </si>
  <si>
    <t>Valores sempre positivos. A conta define se soma ou subtrai no DRE.</t>
  </si>
  <si>
    <t>Data (competência)</t>
  </si>
  <si>
    <t>Descrição</t>
  </si>
  <si>
    <t>Valor (R$)</t>
  </si>
  <si>
    <t>Ano</t>
  </si>
  <si>
    <t>Mês</t>
  </si>
  <si>
    <t>Faturamento semana 1</t>
  </si>
  <si>
    <t>Faturamento semana 2</t>
  </si>
  <si>
    <t>Faturamento semana 3</t>
  </si>
  <si>
    <t>Faturamento semana 4</t>
  </si>
  <si>
    <t>Simples Nacional</t>
  </si>
  <si>
    <t>Compra de mercadorias/insumos</t>
  </si>
  <si>
    <t>Compra de mercadorias/insumos (2ª)</t>
  </si>
  <si>
    <t>Taxas de cartão e comissões</t>
  </si>
  <si>
    <t>Folha de pagamento e encargos</t>
  </si>
  <si>
    <t>Pró-labore</t>
  </si>
  <si>
    <t>Aluguel</t>
  </si>
  <si>
    <t>Energia, internet e sistemas</t>
  </si>
  <si>
    <t>Contabilidade</t>
  </si>
  <si>
    <t>Anúncios online</t>
  </si>
  <si>
    <t>Juros e tarifas bancárias</t>
  </si>
  <si>
    <t>Rendimento da reserva</t>
  </si>
  <si>
    <t>DRE: Demonstração do Resultado do Exercício</t>
  </si>
  <si>
    <t>Calculada automaticamente a partir dos lançamentos. % = sobre a receita bruta.</t>
  </si>
  <si>
    <t>Linha</t>
  </si>
  <si>
    <t>Total do ano</t>
  </si>
  <si>
    <t>% da receita bruta</t>
  </si>
  <si>
    <t>(-) Deduções e impostos sobre vendas</t>
  </si>
  <si>
    <t>= RECEITA LÍQUIDA</t>
  </si>
  <si>
    <t>(-) Custos variáveis (CMV / insumos)</t>
  </si>
  <si>
    <t>(-) Comissões e taxas de venda</t>
  </si>
  <si>
    <t>= MARGEM DE CONTRIBUIÇÃO</t>
  </si>
  <si>
    <t>Margem de contribuição (%)</t>
  </si>
  <si>
    <t>(-) Despesas com pessoal</t>
  </si>
  <si>
    <t>(-) Despesas administrativas</t>
  </si>
  <si>
    <t>(-) Despesas comerciais e marketing</t>
  </si>
  <si>
    <t>= RESULTADO OPERACIONAL</t>
  </si>
  <si>
    <t>(+) Receitas financeiras</t>
  </si>
  <si>
    <t>(-) Despesas financeiras</t>
  </si>
  <si>
    <t>= RESULTADO ANTES DO IR</t>
  </si>
  <si>
    <t>(-) IRPJ / CSLL</t>
  </si>
  <si>
    <t>= LUCRO LÍQUIDO</t>
  </si>
  <si>
    <t>Margem líquida (%)</t>
  </si>
  <si>
    <t>Quanto precisa faturar para não ter prejuízo e para atingir a meta de lucro.</t>
  </si>
  <si>
    <t>RECEITA BRUTA NO ANO</t>
  </si>
  <si>
    <t>LUCRO LÍQUIDO NO ANO</t>
  </si>
  <si>
    <t>MARGEM LÍQUIDA</t>
  </si>
  <si>
    <t>MARGEM DE CONTRIBUIÇÃO</t>
  </si>
  <si>
    <t>PONTO DE EQUILÍBRIO / MÊS</t>
  </si>
  <si>
    <t>MARGEM DE SEGURANÇA</t>
  </si>
  <si>
    <t>CUSTOS FIXOS MÉDIOS / MÊS</t>
  </si>
  <si>
    <t>FATURAMENTO P/ META DE LUCRO</t>
  </si>
  <si>
    <t>MESES ACIMA DO PE</t>
  </si>
  <si>
    <t>MESES ABAIXO DO PE</t>
  </si>
  <si>
    <t>Margem de contribuição</t>
  </si>
  <si>
    <t>MC %</t>
  </si>
  <si>
    <t>Custos fixos</t>
  </si>
  <si>
    <t>Ponto de equilíbrio (R$)</t>
  </si>
  <si>
    <t>Receita - PE</t>
  </si>
  <si>
    <t>Margem de segurança</t>
  </si>
  <si>
    <t>Situação</t>
  </si>
  <si>
    <t>Lucro líquido</t>
  </si>
</sst>
</file>

<file path=xl/styles.xml><?xml version="1.0" encoding="utf-8"?>
<styleSheet xmlns="http://schemas.openxmlformats.org/spreadsheetml/2006/main">
  <numFmts count="5">
    <numFmt numFmtId="164" formatCode="&quot;R$&quot; #,##0.00;[Red]-&quot;R$&quot; #,##0.00"/>
    <numFmt numFmtId="165" formatCode="dd/mm/yyyy"/>
    <numFmt numFmtId="166" formatCode="mmm/yy"/>
    <numFmt numFmtId="167" formatCode="0.0%"/>
    <numFmt numFmtId="168" formatCode="#,##0"/>
  </numFmts>
  <fonts count="2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14231A"/>
      <name val="Calibri"/>
      <family val="2"/>
      <scheme val="minor"/>
    </font>
    <font>
      <sz val="10"/>
      <color rgb="FF2F4A3A"/>
      <name val="Calibri"/>
      <family val="2"/>
      <scheme val="minor"/>
    </font>
    <font>
      <i/>
      <sz val="10"/>
      <color rgb="FF14231A"/>
      <name val="Calibri"/>
      <family val="2"/>
      <scheme val="minor"/>
    </font>
    <font>
      <i/>
      <sz val="10"/>
      <color rgb="FF2F4A3A"/>
      <name val="Calibri"/>
      <family val="2"/>
      <scheme val="minor"/>
    </font>
    <font>
      <b/>
      <sz val="11"/>
      <color rgb="FF0B3B24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1D4ED8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vertical="center"/>
      <protection locked="0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>
      <alignment horizontal="center" vertical="center"/>
    </xf>
    <xf numFmtId="166" fontId="11" fillId="2" borderId="3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164" fontId="15" fillId="5" borderId="1" xfId="0" applyNumberFormat="1" applyFont="1" applyFill="1" applyBorder="1" applyAlignment="1">
      <alignment horizontal="right" vertical="center"/>
    </xf>
    <xf numFmtId="167" fontId="13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horizontal="right" vertical="center"/>
    </xf>
    <xf numFmtId="167" fontId="6" fillId="6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7" fontId="17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164" fontId="18" fillId="6" borderId="1" xfId="0" applyNumberFormat="1" applyFont="1" applyFill="1" applyBorder="1" applyAlignment="1">
      <alignment vertical="center"/>
    </xf>
    <xf numFmtId="0" fontId="19" fillId="7" borderId="4" xfId="0" applyFont="1" applyFill="1" applyBorder="1" applyAlignment="1">
      <alignment horizontal="center" vertical="center" wrapText="1"/>
    </xf>
    <xf numFmtId="164" fontId="20" fillId="7" borderId="5" xfId="0" applyNumberFormat="1" applyFont="1" applyFill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4" fontId="21" fillId="7" borderId="5" xfId="0" applyNumberFormat="1" applyFont="1" applyFill="1" applyBorder="1" applyAlignment="1">
      <alignment horizontal="center" vertical="center"/>
    </xf>
    <xf numFmtId="168" fontId="20" fillId="7" borderId="5" xfId="0" applyNumberFormat="1" applyFont="1" applyFill="1" applyBorder="1" applyAlignment="1">
      <alignment horizontal="center" vertical="center"/>
    </xf>
    <xf numFmtId="168" fontId="22" fillId="7" borderId="5" xfId="0" applyNumberFormat="1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font>
        <b/>
        <color rgb="FFDC2626"/>
      </font>
    </dxf>
    <dxf>
      <font>
        <b/>
        <color rgb="FFFFFFFF"/>
      </font>
      <fill>
        <patternFill>
          <bgColor rgb="FFDC2626"/>
        </patternFill>
      </fill>
    </dxf>
    <dxf>
      <font>
        <b/>
        <color rgb="FF15803D"/>
      </font>
      <fill>
        <patternFill>
          <bgColor rgb="FFDCFC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Lucro líquido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Lucro líquido</c:v>
          </c:tx>
          <c:spPr>
            <a:solidFill>
              <a:srgbClr val="16A34A"/>
            </a:solidFill>
          </c:spPr>
          <c:invertIfNegative val="1"/>
          <c:cat>
            <c:numRef>
              <c:f>DRE!$B$4:$M$4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DRE!$B$20:$M$20</c:f>
              <c:numCache>
                <c:formatCode>General</c:formatCode>
                <c:ptCount val="12"/>
                <c:pt idx="0">
                  <c:v>-6663.57999999999</c:v>
                </c:pt>
                <c:pt idx="1">
                  <c:v>-11840.9</c:v>
                </c:pt>
                <c:pt idx="2">
                  <c:v>3234.15999999998</c:v>
                </c:pt>
                <c:pt idx="3">
                  <c:v>4434.74</c:v>
                </c:pt>
                <c:pt idx="4">
                  <c:v>7465.19</c:v>
                </c:pt>
                <c:pt idx="5">
                  <c:v>12746.6</c:v>
                </c:pt>
                <c:pt idx="6">
                  <c:v>12567.31</c:v>
                </c:pt>
                <c:pt idx="7">
                  <c:v>17052.15</c:v>
                </c:pt>
                <c:pt idx="8">
                  <c:v>16523.61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DC2626"/>
                  </a:solidFill>
                </c14:spPr>
              </c14:invertSolidFillFmt>
            </c:ext>
          </c:extLst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Receita x Ponto de equilíbrio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Receita bruta</c:v>
          </c:tx>
          <c:spPr>
            <a:solidFill>
              <a:srgbClr val="16A34A"/>
            </a:solidFill>
          </c:spPr>
          <c:cat>
            <c:numRef>
              <c:f>'Ponto de Equilíbrio'!$A$12:$A$23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'Ponto de Equilíbrio'!$B$12:$B$23</c:f>
              <c:numCache>
                <c:formatCode>General</c:formatCode>
                <c:ptCount val="12"/>
                <c:pt idx="0">
                  <c:v>75044.1</c:v>
                </c:pt>
                <c:pt idx="1">
                  <c:v>65899.68</c:v>
                </c:pt>
                <c:pt idx="2">
                  <c:v>93386.43</c:v>
                </c:pt>
                <c:pt idx="3">
                  <c:v>96441.92</c:v>
                </c:pt>
                <c:pt idx="4">
                  <c:v>104557</c:v>
                </c:pt>
                <c:pt idx="5">
                  <c:v>113584.48</c:v>
                </c:pt>
                <c:pt idx="6">
                  <c:v>111117.92</c:v>
                </c:pt>
                <c:pt idx="7">
                  <c:v>121072.33</c:v>
                </c:pt>
                <c:pt idx="8">
                  <c:v>124107.65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20001"/>
        <c:axId val="50020002"/>
      </c:barChart>
      <c:lineChart>
        <c:grouping val="standard"/>
        <c:ser>
          <c:idx val="1"/>
          <c:order val="1"/>
          <c:tx>
            <c:v>Ponto de equilíbrio</c:v>
          </c:tx>
          <c:spPr>
            <a:ln w="31750">
              <a:solidFill>
                <a:srgbClr val="EF4444"/>
              </a:solidFill>
              <a:prstDash val="dash"/>
            </a:ln>
          </c:spPr>
          <c:marker>
            <c:symbol val="diamond"/>
            <c:size val="6"/>
          </c:marker>
          <c:cat>
            <c:numRef>
              <c:f>'Ponto de Equilíbrio'!$A$12:$A$23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'Ponto de Equilíbrio'!$F$12:$F$23</c:f>
              <c:numCache>
                <c:formatCode>General</c:formatCode>
                <c:ptCount val="12"/>
                <c:pt idx="0">
                  <c:v>87469.0129154031</c:v>
                </c:pt>
                <c:pt idx="1">
                  <c:v>88111.4070640049</c:v>
                </c:pt>
                <c:pt idx="2">
                  <c:v>88202.9076489142</c:v>
                </c:pt>
                <c:pt idx="3">
                  <c:v>88099.1861309437</c:v>
                </c:pt>
                <c:pt idx="4">
                  <c:v>90190.708240753</c:v>
                </c:pt>
                <c:pt idx="5">
                  <c:v>89835.6608799407</c:v>
                </c:pt>
                <c:pt idx="6">
                  <c:v>87281.068392641</c:v>
                </c:pt>
                <c:pt idx="7">
                  <c:v>88792.2247731489</c:v>
                </c:pt>
                <c:pt idx="8">
                  <c:v>92247.852458604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m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809625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781050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2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2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2" spans="2:3">
      <c r="B22" s="4" t="s">
        <v>25</v>
      </c>
      <c r="C22" s="4"/>
    </row>
    <row r="23" spans="2:3">
      <c r="B23" s="9" t="s">
        <v>26</v>
      </c>
      <c r="C23" s="7" t="s">
        <v>27</v>
      </c>
    </row>
    <row r="24" spans="2:3">
      <c r="B24" s="10" t="s">
        <v>28</v>
      </c>
      <c r="C24" s="7" t="s">
        <v>29</v>
      </c>
    </row>
    <row r="25" spans="2:3">
      <c r="B25" s="11" t="s">
        <v>30</v>
      </c>
      <c r="C25" s="7" t="s">
        <v>31</v>
      </c>
    </row>
    <row r="27" spans="2:3">
      <c r="B27" s="4" t="s">
        <v>32</v>
      </c>
      <c r="C27" s="4"/>
    </row>
    <row r="28" spans="2:3" ht="30" customHeight="1">
      <c r="B28" s="7" t="s">
        <v>33</v>
      </c>
      <c r="C28" s="7"/>
    </row>
    <row r="29" spans="2:3" ht="18" customHeight="1">
      <c r="B29" s="7" t="s">
        <v>34</v>
      </c>
      <c r="C29" s="7"/>
    </row>
    <row r="30" spans="2:3" ht="18" customHeight="1">
      <c r="B30" s="7" t="s">
        <v>35</v>
      </c>
      <c r="C30" s="7"/>
    </row>
    <row r="32" spans="2:3">
      <c r="B32" s="12" t="s">
        <v>36</v>
      </c>
      <c r="C32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2:C22"/>
    <mergeCell ref="B27:C27"/>
    <mergeCell ref="B28:C28"/>
    <mergeCell ref="B29:C29"/>
    <mergeCell ref="B30:C30"/>
    <mergeCell ref="B32:C32"/>
  </mergeCells>
  <hyperlinks>
    <hyperlink ref="B17" location="'Config'!A1" display="Config"/>
    <hyperlink ref="B18" location="'Lançamentos'!A1" display="Lançamentos"/>
    <hyperlink ref="B19" location="'DRE'!A1" display="DRE"/>
    <hyperlink ref="B20" location="'Ponto de Equilíbrio'!A1" display="Ponto de Equilíbrio"/>
  </hyperlinks>
  <pageMargins left="0.7" right="0.7" top="0.75" bottom="0.75" header="0.3" footer="0.3"/>
  <pageSetup paperSize="9" fitToHeight="0" orientation="landscape"/>
  <headerFooter>
    <oddFooter>&amp;L&amp;8Carvex XLS - DRE e Ponto de Equilíbrio&amp;R&amp;8Página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E21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22.7109375" customWidth="1"/>
    <col min="4" max="4" width="86.7109375" customWidth="1"/>
  </cols>
  <sheetData>
    <row r="1" spans="1:5" ht="36" customHeight="1">
      <c r="A1" s="1" t="s">
        <v>37</v>
      </c>
      <c r="B1" s="1"/>
      <c r="C1" s="1"/>
      <c r="D1" s="1"/>
      <c r="E1" s="1"/>
    </row>
    <row r="2" spans="1:5" ht="20" customHeight="1">
      <c r="A2" s="2" t="s">
        <v>38</v>
      </c>
      <c r="B2" s="2"/>
      <c r="C2" s="2"/>
      <c r="D2" s="2"/>
      <c r="E2" s="13" t="s">
        <v>39</v>
      </c>
    </row>
    <row r="4" spans="1:5">
      <c r="B4" s="14" t="s">
        <v>40</v>
      </c>
      <c r="C4" s="15" t="s">
        <v>41</v>
      </c>
    </row>
    <row r="5" spans="1:5">
      <c r="B5" s="14" t="s">
        <v>42</v>
      </c>
      <c r="C5" s="16">
        <v>2026</v>
      </c>
    </row>
    <row r="6" spans="1:5">
      <c r="B6" s="14" t="s">
        <v>43</v>
      </c>
      <c r="C6" s="17">
        <v>8000</v>
      </c>
    </row>
    <row r="9" spans="1:5" ht="24" customHeight="1">
      <c r="B9" s="11" t="s">
        <v>44</v>
      </c>
      <c r="C9" s="11" t="s">
        <v>45</v>
      </c>
      <c r="D9" s="11" t="s">
        <v>46</v>
      </c>
    </row>
    <row r="10" spans="1:5">
      <c r="B10" s="18" t="s">
        <v>47</v>
      </c>
      <c r="C10" s="19" t="s">
        <v>48</v>
      </c>
      <c r="D10" s="20" t="s">
        <v>49</v>
      </c>
    </row>
    <row r="11" spans="1:5">
      <c r="B11" s="18" t="s">
        <v>50</v>
      </c>
      <c r="C11" s="19" t="s">
        <v>51</v>
      </c>
      <c r="D11" s="20" t="s">
        <v>52</v>
      </c>
    </row>
    <row r="12" spans="1:5">
      <c r="B12" s="18" t="s">
        <v>53</v>
      </c>
      <c r="C12" s="19" t="s">
        <v>51</v>
      </c>
      <c r="D12" s="20" t="s">
        <v>54</v>
      </c>
    </row>
    <row r="13" spans="1:5">
      <c r="B13" s="18" t="s">
        <v>55</v>
      </c>
      <c r="C13" s="19" t="s">
        <v>51</v>
      </c>
      <c r="D13" s="20" t="s">
        <v>56</v>
      </c>
    </row>
    <row r="14" spans="1:5">
      <c r="B14" s="18" t="s">
        <v>57</v>
      </c>
      <c r="C14" s="19" t="s">
        <v>58</v>
      </c>
      <c r="D14" s="20" t="s">
        <v>59</v>
      </c>
    </row>
    <row r="15" spans="1:5">
      <c r="B15" s="18" t="s">
        <v>60</v>
      </c>
      <c r="C15" s="19" t="s">
        <v>58</v>
      </c>
      <c r="D15" s="20" t="s">
        <v>61</v>
      </c>
    </row>
    <row r="16" spans="1:5">
      <c r="B16" s="18" t="s">
        <v>62</v>
      </c>
      <c r="C16" s="19" t="s">
        <v>58</v>
      </c>
      <c r="D16" s="20" t="s">
        <v>63</v>
      </c>
    </row>
    <row r="17" spans="2:4">
      <c r="B17" s="18" t="s">
        <v>64</v>
      </c>
      <c r="C17" s="19" t="s">
        <v>65</v>
      </c>
      <c r="D17" s="20" t="s">
        <v>66</v>
      </c>
    </row>
    <row r="18" spans="2:4">
      <c r="B18" s="18" t="s">
        <v>67</v>
      </c>
      <c r="C18" s="19" t="s">
        <v>58</v>
      </c>
      <c r="D18" s="20" t="s">
        <v>68</v>
      </c>
    </row>
    <row r="19" spans="2:4">
      <c r="B19" s="18" t="s">
        <v>69</v>
      </c>
      <c r="C19" s="19" t="s">
        <v>70</v>
      </c>
      <c r="D19" s="20" t="s">
        <v>71</v>
      </c>
    </row>
    <row r="21" spans="2:4">
      <c r="B21" s="12" t="s">
        <v>72</v>
      </c>
    </row>
  </sheetData>
  <mergeCells count="2">
    <mergeCell ref="A1:E1"/>
    <mergeCell ref="A2:E2"/>
  </mergeCells>
  <dataValidations count="2">
    <dataValidation type="whole" allowBlank="1" showInputMessage="1" showErrorMessage="1" errorTitle="Valor inválido" error="Digite um número entre 2000 e 2100." sqref="C5">
      <formula1>2000</formula1>
      <formula2>2100</formula2>
    </dataValidation>
    <dataValidation type="decimal" operator="greaterThanOrEqual" allowBlank="1" showInputMessage="1" showErrorMessage="1" errorTitle="Valor inválido" error="Digite um número maior ou igual a 0." sqref="C6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DRE e Ponto de Equilíbrio&amp;R&amp;8Página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G1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36.7109375" customWidth="1"/>
    <col min="3" max="3" width="40.7109375" customWidth="1"/>
    <col min="4" max="4" width="15.7109375" customWidth="1"/>
    <col min="5" max="5" width="7.7109375" customWidth="1"/>
    <col min="6" max="6" width="6.7109375" customWidth="1"/>
    <col min="7" max="7" width="20.7109375" customWidth="1"/>
  </cols>
  <sheetData>
    <row r="1" spans="1:7" ht="36" customHeight="1">
      <c r="A1" s="1" t="s">
        <v>19</v>
      </c>
      <c r="B1" s="1"/>
      <c r="C1" s="1"/>
      <c r="D1" s="1"/>
      <c r="E1" s="1"/>
      <c r="F1" s="1"/>
      <c r="G1" s="1"/>
    </row>
    <row r="2" spans="1:7" ht="20" customHeight="1">
      <c r="A2" s="2" t="s">
        <v>73</v>
      </c>
      <c r="B2" s="2"/>
      <c r="C2" s="2"/>
      <c r="D2" s="2"/>
      <c r="E2" s="2"/>
      <c r="F2" s="2"/>
      <c r="G2" s="13" t="s">
        <v>39</v>
      </c>
    </row>
    <row r="4" spans="1:7" ht="32" customHeight="1">
      <c r="A4" s="11" t="s">
        <v>74</v>
      </c>
      <c r="B4" s="11" t="s">
        <v>44</v>
      </c>
      <c r="C4" s="11" t="s">
        <v>75</v>
      </c>
      <c r="D4" s="11" t="s">
        <v>76</v>
      </c>
      <c r="E4" s="11" t="s">
        <v>77</v>
      </c>
      <c r="F4" s="11" t="s">
        <v>78</v>
      </c>
      <c r="G4" s="11" t="s">
        <v>45</v>
      </c>
    </row>
    <row r="5" spans="1:7">
      <c r="A5" s="21">
        <v>46029</v>
      </c>
      <c r="B5" s="15" t="s">
        <v>47</v>
      </c>
      <c r="C5" s="15" t="s">
        <v>79</v>
      </c>
      <c r="D5" s="17">
        <v>28516.76</v>
      </c>
      <c r="E5" s="22">
        <f>IF($A5="","",YEAR($A5))</f>
        <v>2026</v>
      </c>
      <c r="F5" s="22">
        <f>IF($A5="","",MONTH($A5))</f>
        <v>1</v>
      </c>
      <c r="G5" s="22" t="str">
        <f>IF($B5="","",IFERROR(INDEX(ContaComp,MATCH($B5,ContaNome,0)),"Conta inválida"))</f>
        <v>Receita</v>
      </c>
    </row>
    <row r="6" spans="1:7">
      <c r="A6" s="21">
        <v>46036</v>
      </c>
      <c r="B6" s="15" t="s">
        <v>47</v>
      </c>
      <c r="C6" s="15" t="s">
        <v>80</v>
      </c>
      <c r="D6" s="17">
        <v>20261.91</v>
      </c>
      <c r="E6" s="22">
        <f>IF($A6="","",YEAR($A6))</f>
        <v>2026</v>
      </c>
      <c r="F6" s="22">
        <f>IF($A6="","",MONTH($A6))</f>
        <v>1</v>
      </c>
      <c r="G6" s="22" t="str">
        <f>IF($B6="","",IFERROR(INDEX(ContaComp,MATCH($B6,ContaNome,0)),"Conta inválida"))</f>
        <v>Receita</v>
      </c>
    </row>
    <row r="7" spans="1:7">
      <c r="A7" s="21">
        <v>46043</v>
      </c>
      <c r="B7" s="15" t="s">
        <v>47</v>
      </c>
      <c r="C7" s="15" t="s">
        <v>81</v>
      </c>
      <c r="D7" s="17">
        <v>16509.7</v>
      </c>
      <c r="E7" s="22">
        <f>IF($A7="","",YEAR($A7))</f>
        <v>2026</v>
      </c>
      <c r="F7" s="22">
        <f>IF($A7="","",MONTH($A7))</f>
        <v>1</v>
      </c>
      <c r="G7" s="22" t="str">
        <f>IF($B7="","",IFERROR(INDEX(ContaComp,MATCH($B7,ContaNome,0)),"Conta inválida"))</f>
        <v>Receita</v>
      </c>
    </row>
    <row r="8" spans="1:7">
      <c r="A8" s="21">
        <v>46050</v>
      </c>
      <c r="B8" s="15" t="s">
        <v>47</v>
      </c>
      <c r="C8" s="15" t="s">
        <v>82</v>
      </c>
      <c r="D8" s="17">
        <v>9755.73</v>
      </c>
      <c r="E8" s="22">
        <f>IF($A8="","",YEAR($A8))</f>
        <v>2026</v>
      </c>
      <c r="F8" s="22">
        <f>IF($A8="","",MONTH($A8))</f>
        <v>1</v>
      </c>
      <c r="G8" s="22" t="str">
        <f>IF($B8="","",IFERROR(INDEX(ContaComp,MATCH($B8,ContaNome,0)),"Conta inválida"))</f>
        <v>Receita</v>
      </c>
    </row>
    <row r="9" spans="1:7">
      <c r="A9" s="21">
        <v>46050</v>
      </c>
      <c r="B9" s="15" t="s">
        <v>50</v>
      </c>
      <c r="C9" s="15" t="s">
        <v>83</v>
      </c>
      <c r="D9" s="17">
        <v>5553.26</v>
      </c>
      <c r="E9" s="22">
        <f>IF($A9="","",YEAR($A9))</f>
        <v>2026</v>
      </c>
      <c r="F9" s="22">
        <f>IF($A9="","",MONTH($A9))</f>
        <v>1</v>
      </c>
      <c r="G9" s="22" t="str">
        <f>IF($B9="","",IFERROR(INDEX(ContaComp,MATCH($B9,ContaNome,0)),"Conta inválida"))</f>
        <v>Variável</v>
      </c>
    </row>
    <row r="10" spans="1:7">
      <c r="A10" s="21">
        <v>46034</v>
      </c>
      <c r="B10" s="15" t="s">
        <v>53</v>
      </c>
      <c r="C10" s="15" t="s">
        <v>84</v>
      </c>
      <c r="D10" s="17">
        <v>18737.34</v>
      </c>
      <c r="E10" s="22">
        <f>IF($A10="","",YEAR($A10))</f>
        <v>2026</v>
      </c>
      <c r="F10" s="22">
        <f>IF($A10="","",MONTH($A10))</f>
        <v>1</v>
      </c>
      <c r="G10" s="22" t="str">
        <f>IF($B10="","",IFERROR(INDEX(ContaComp,MATCH($B10,ContaNome,0)),"Conta inválida"))</f>
        <v>Variável</v>
      </c>
    </row>
    <row r="11" spans="1:7">
      <c r="A11" s="21">
        <v>46046</v>
      </c>
      <c r="B11" s="15" t="s">
        <v>53</v>
      </c>
      <c r="C11" s="15" t="s">
        <v>85</v>
      </c>
      <c r="D11" s="17">
        <v>8030.29</v>
      </c>
      <c r="E11" s="22">
        <f>IF($A11="","",YEAR($A11))</f>
        <v>2026</v>
      </c>
      <c r="F11" s="22">
        <f>IF($A11="","",MONTH($A11))</f>
        <v>1</v>
      </c>
      <c r="G11" s="22" t="str">
        <f>IF($B11="","",IFERROR(INDEX(ContaComp,MATCH($B11,ContaNome,0)),"Conta inválida"))</f>
        <v>Variável</v>
      </c>
    </row>
    <row r="12" spans="1:7">
      <c r="A12" s="21">
        <v>46050</v>
      </c>
      <c r="B12" s="15" t="s">
        <v>55</v>
      </c>
      <c r="C12" s="15" t="s">
        <v>86</v>
      </c>
      <c r="D12" s="17">
        <v>2476.46</v>
      </c>
      <c r="E12" s="22">
        <f>IF($A12="","",YEAR($A12))</f>
        <v>2026</v>
      </c>
      <c r="F12" s="22">
        <f>IF($A12="","",MONTH($A12))</f>
        <v>1</v>
      </c>
      <c r="G12" s="22" t="str">
        <f>IF($B12="","",IFERROR(INDEX(ContaComp,MATCH($B12,ContaNome,0)),"Conta inválida"))</f>
        <v>Variável</v>
      </c>
    </row>
    <row r="13" spans="1:7">
      <c r="A13" s="21">
        <v>46027</v>
      </c>
      <c r="B13" s="15" t="s">
        <v>57</v>
      </c>
      <c r="C13" s="15" t="s">
        <v>87</v>
      </c>
      <c r="D13" s="17">
        <v>24800</v>
      </c>
      <c r="E13" s="22">
        <f>IF($A13="","",YEAR($A13))</f>
        <v>2026</v>
      </c>
      <c r="F13" s="22">
        <f>IF($A13="","",MONTH($A13))</f>
        <v>1</v>
      </c>
      <c r="G13" s="22" t="str">
        <f>IF($B13="","",IFERROR(INDEX(ContaComp,MATCH($B13,ContaNome,0)),"Conta inválida"))</f>
        <v>Fixo</v>
      </c>
    </row>
    <row r="14" spans="1:7">
      <c r="A14" s="21">
        <v>46028</v>
      </c>
      <c r="B14" s="15" t="s">
        <v>57</v>
      </c>
      <c r="C14" s="15" t="s">
        <v>88</v>
      </c>
      <c r="D14" s="17">
        <v>7000</v>
      </c>
      <c r="E14" s="22">
        <f>IF($A14="","",YEAR($A14))</f>
        <v>2026</v>
      </c>
      <c r="F14" s="22">
        <f>IF($A14="","",MONTH($A14))</f>
        <v>1</v>
      </c>
      <c r="G14" s="22" t="str">
        <f>IF($B14="","",IFERROR(INDEX(ContaComp,MATCH($B14,ContaNome,0)),"Conta inválida"))</f>
        <v>Fixo</v>
      </c>
    </row>
    <row r="15" spans="1:7">
      <c r="A15" s="21">
        <v>46032</v>
      </c>
      <c r="B15" s="15" t="s">
        <v>60</v>
      </c>
      <c r="C15" s="15" t="s">
        <v>89</v>
      </c>
      <c r="D15" s="17">
        <v>5200</v>
      </c>
      <c r="E15" s="22">
        <f>IF($A15="","",YEAR($A15))</f>
        <v>2026</v>
      </c>
      <c r="F15" s="22">
        <f>IF($A15="","",MONTH($A15))</f>
        <v>1</v>
      </c>
      <c r="G15" s="22" t="str">
        <f>IF($B15="","",IFERROR(INDEX(ContaComp,MATCH($B15,ContaNome,0)),"Conta inválida"))</f>
        <v>Fixo</v>
      </c>
    </row>
    <row r="16" spans="1:7">
      <c r="A16" s="21">
        <v>46037</v>
      </c>
      <c r="B16" s="15" t="s">
        <v>60</v>
      </c>
      <c r="C16" s="15" t="s">
        <v>90</v>
      </c>
      <c r="D16" s="17">
        <v>2633.13</v>
      </c>
      <c r="E16" s="22">
        <f>IF($A16="","",YEAR($A16))</f>
        <v>2026</v>
      </c>
      <c r="F16" s="22">
        <f>IF($A16="","",MONTH($A16))</f>
        <v>1</v>
      </c>
      <c r="G16" s="22" t="str">
        <f>IF($B16="","",IFERROR(INDEX(ContaComp,MATCH($B16,ContaNome,0)),"Conta inválida"))</f>
        <v>Fixo</v>
      </c>
    </row>
    <row r="17" spans="1:7">
      <c r="A17" s="21">
        <v>46042</v>
      </c>
      <c r="B17" s="15" t="s">
        <v>60</v>
      </c>
      <c r="C17" s="15" t="s">
        <v>91</v>
      </c>
      <c r="D17" s="17">
        <v>1400</v>
      </c>
      <c r="E17" s="22">
        <f>IF($A17="","",YEAR($A17))</f>
        <v>2026</v>
      </c>
      <c r="F17" s="22">
        <f>IF($A17="","",MONTH($A17))</f>
        <v>1</v>
      </c>
      <c r="G17" s="22" t="str">
        <f>IF($B17="","",IFERROR(INDEX(ContaComp,MATCH($B17,ContaNome,0)),"Conta inválida"))</f>
        <v>Fixo</v>
      </c>
    </row>
    <row r="18" spans="1:7">
      <c r="A18" s="21">
        <v>46030</v>
      </c>
      <c r="B18" s="15" t="s">
        <v>62</v>
      </c>
      <c r="C18" s="15" t="s">
        <v>92</v>
      </c>
      <c r="D18" s="17">
        <v>4723.85</v>
      </c>
      <c r="E18" s="22">
        <f>IF($A18="","",YEAR($A18))</f>
        <v>2026</v>
      </c>
      <c r="F18" s="22">
        <f>IF($A18="","",MONTH($A18))</f>
        <v>1</v>
      </c>
      <c r="G18" s="22" t="str">
        <f>IF($B18="","",IFERROR(INDEX(ContaComp,MATCH($B18,ContaNome,0)),"Conta inválida"))</f>
        <v>Fixo</v>
      </c>
    </row>
    <row r="19" spans="1:7">
      <c r="A19" s="21">
        <v>46050</v>
      </c>
      <c r="B19" s="15" t="s">
        <v>67</v>
      </c>
      <c r="C19" s="15" t="s">
        <v>93</v>
      </c>
      <c r="D19" s="17">
        <v>1153.35</v>
      </c>
      <c r="E19" s="22">
        <f>IF($A19="","",YEAR($A19))</f>
        <v>2026</v>
      </c>
      <c r="F19" s="22">
        <f>IF($A19="","",MONTH($A19))</f>
        <v>1</v>
      </c>
      <c r="G19" s="22" t="str">
        <f>IF($B19="","",IFERROR(INDEX(ContaComp,MATCH($B19,ContaNome,0)),"Conta inválida"))</f>
        <v>Fixo</v>
      </c>
    </row>
    <row r="20" spans="1:7">
      <c r="A20" s="21">
        <v>46060</v>
      </c>
      <c r="B20" s="15" t="s">
        <v>47</v>
      </c>
      <c r="C20" s="15" t="s">
        <v>79</v>
      </c>
      <c r="D20" s="17">
        <v>25041.88</v>
      </c>
      <c r="E20" s="22">
        <f>IF($A20="","",YEAR($A20))</f>
        <v>2026</v>
      </c>
      <c r="F20" s="22">
        <f>IF($A20="","",MONTH($A20))</f>
        <v>2</v>
      </c>
      <c r="G20" s="22" t="str">
        <f>IF($B20="","",IFERROR(INDEX(ContaComp,MATCH($B20,ContaNome,0)),"Conta inválida"))</f>
        <v>Receita</v>
      </c>
    </row>
    <row r="21" spans="1:7">
      <c r="A21" s="21">
        <v>46067</v>
      </c>
      <c r="B21" s="15" t="s">
        <v>47</v>
      </c>
      <c r="C21" s="15" t="s">
        <v>80</v>
      </c>
      <c r="D21" s="17">
        <v>17792.91</v>
      </c>
      <c r="E21" s="22">
        <f>IF($A21="","",YEAR($A21))</f>
        <v>2026</v>
      </c>
      <c r="F21" s="22">
        <f>IF($A21="","",MONTH($A21))</f>
        <v>2</v>
      </c>
      <c r="G21" s="22" t="str">
        <f>IF($B21="","",IFERROR(INDEX(ContaComp,MATCH($B21,ContaNome,0)),"Conta inválida"))</f>
        <v>Receita</v>
      </c>
    </row>
    <row r="22" spans="1:7">
      <c r="A22" s="21">
        <v>46074</v>
      </c>
      <c r="B22" s="15" t="s">
        <v>47</v>
      </c>
      <c r="C22" s="15" t="s">
        <v>81</v>
      </c>
      <c r="D22" s="17">
        <v>14497.93</v>
      </c>
      <c r="E22" s="22">
        <f>IF($A22="","",YEAR($A22))</f>
        <v>2026</v>
      </c>
      <c r="F22" s="22">
        <f>IF($A22="","",MONTH($A22))</f>
        <v>2</v>
      </c>
      <c r="G22" s="22" t="str">
        <f>IF($B22="","",IFERROR(INDEX(ContaComp,MATCH($B22,ContaNome,0)),"Conta inválida"))</f>
        <v>Receita</v>
      </c>
    </row>
    <row r="23" spans="1:7">
      <c r="A23" s="21">
        <v>46081</v>
      </c>
      <c r="B23" s="15" t="s">
        <v>47</v>
      </c>
      <c r="C23" s="15" t="s">
        <v>82</v>
      </c>
      <c r="D23" s="17">
        <v>8566.959999999999</v>
      </c>
      <c r="E23" s="22">
        <f>IF($A23="","",YEAR($A23))</f>
        <v>2026</v>
      </c>
      <c r="F23" s="22">
        <f>IF($A23="","",MONTH($A23))</f>
        <v>2</v>
      </c>
      <c r="G23" s="22" t="str">
        <f>IF($B23="","",IFERROR(INDEX(ContaComp,MATCH($B23,ContaNome,0)),"Conta inválida"))</f>
        <v>Receita</v>
      </c>
    </row>
    <row r="24" spans="1:7">
      <c r="A24" s="21">
        <v>46081</v>
      </c>
      <c r="B24" s="15" t="s">
        <v>50</v>
      </c>
      <c r="C24" s="15" t="s">
        <v>83</v>
      </c>
      <c r="D24" s="17">
        <v>4876.58</v>
      </c>
      <c r="E24" s="22">
        <f>IF($A24="","",YEAR($A24))</f>
        <v>2026</v>
      </c>
      <c r="F24" s="22">
        <f>IF($A24="","",MONTH($A24))</f>
        <v>2</v>
      </c>
      <c r="G24" s="22" t="str">
        <f>IF($B24="","",IFERROR(INDEX(ContaComp,MATCH($B24,ContaNome,0)),"Conta inválida"))</f>
        <v>Variável</v>
      </c>
    </row>
    <row r="25" spans="1:7">
      <c r="A25" s="21">
        <v>46065</v>
      </c>
      <c r="B25" s="15" t="s">
        <v>53</v>
      </c>
      <c r="C25" s="15" t="s">
        <v>84</v>
      </c>
      <c r="D25" s="17">
        <v>16602.46</v>
      </c>
      <c r="E25" s="22">
        <f>IF($A25="","",YEAR($A25))</f>
        <v>2026</v>
      </c>
      <c r="F25" s="22">
        <f>IF($A25="","",MONTH($A25))</f>
        <v>2</v>
      </c>
      <c r="G25" s="22" t="str">
        <f>IF($B25="","",IFERROR(INDEX(ContaComp,MATCH($B25,ContaNome,0)),"Conta inválida"))</f>
        <v>Variável</v>
      </c>
    </row>
    <row r="26" spans="1:7">
      <c r="A26" s="21">
        <v>46077</v>
      </c>
      <c r="B26" s="15" t="s">
        <v>53</v>
      </c>
      <c r="C26" s="15" t="s">
        <v>85</v>
      </c>
      <c r="D26" s="17">
        <v>7115.34</v>
      </c>
      <c r="E26" s="22">
        <f>IF($A26="","",YEAR($A26))</f>
        <v>2026</v>
      </c>
      <c r="F26" s="22">
        <f>IF($A26="","",MONTH($A26))</f>
        <v>2</v>
      </c>
      <c r="G26" s="22" t="str">
        <f>IF($B26="","",IFERROR(INDEX(ContaComp,MATCH($B26,ContaNome,0)),"Conta inválida"))</f>
        <v>Variável</v>
      </c>
    </row>
    <row r="27" spans="1:7">
      <c r="A27" s="21">
        <v>46081</v>
      </c>
      <c r="B27" s="15" t="s">
        <v>55</v>
      </c>
      <c r="C27" s="15" t="s">
        <v>86</v>
      </c>
      <c r="D27" s="17">
        <v>2174.69</v>
      </c>
      <c r="E27" s="22">
        <f>IF($A27="","",YEAR($A27))</f>
        <v>2026</v>
      </c>
      <c r="F27" s="22">
        <f>IF($A27="","",MONTH($A27))</f>
        <v>2</v>
      </c>
      <c r="G27" s="22" t="str">
        <f>IF($B27="","",IFERROR(INDEX(ContaComp,MATCH($B27,ContaNome,0)),"Conta inválida"))</f>
        <v>Variável</v>
      </c>
    </row>
    <row r="28" spans="1:7">
      <c r="A28" s="21">
        <v>46058</v>
      </c>
      <c r="B28" s="15" t="s">
        <v>57</v>
      </c>
      <c r="C28" s="15" t="s">
        <v>87</v>
      </c>
      <c r="D28" s="17">
        <v>24800</v>
      </c>
      <c r="E28" s="22">
        <f>IF($A28="","",YEAR($A28))</f>
        <v>2026</v>
      </c>
      <c r="F28" s="22">
        <f>IF($A28="","",MONTH($A28))</f>
        <v>2</v>
      </c>
      <c r="G28" s="22" t="str">
        <f>IF($B28="","",IFERROR(INDEX(ContaComp,MATCH($B28,ContaNome,0)),"Conta inválida"))</f>
        <v>Fixo</v>
      </c>
    </row>
    <row r="29" spans="1:7">
      <c r="A29" s="21">
        <v>46059</v>
      </c>
      <c r="B29" s="15" t="s">
        <v>57</v>
      </c>
      <c r="C29" s="15" t="s">
        <v>88</v>
      </c>
      <c r="D29" s="17">
        <v>7000</v>
      </c>
      <c r="E29" s="22">
        <f>IF($A29="","",YEAR($A29))</f>
        <v>2026</v>
      </c>
      <c r="F29" s="22">
        <f>IF($A29="","",MONTH($A29))</f>
        <v>2</v>
      </c>
      <c r="G29" s="22" t="str">
        <f>IF($B29="","",IFERROR(INDEX(ContaComp,MATCH($B29,ContaNome,0)),"Conta inválida"))</f>
        <v>Fixo</v>
      </c>
    </row>
    <row r="30" spans="1:7">
      <c r="A30" s="21">
        <v>46063</v>
      </c>
      <c r="B30" s="15" t="s">
        <v>60</v>
      </c>
      <c r="C30" s="15" t="s">
        <v>89</v>
      </c>
      <c r="D30" s="17">
        <v>5200</v>
      </c>
      <c r="E30" s="22">
        <f>IF($A30="","",YEAR($A30))</f>
        <v>2026</v>
      </c>
      <c r="F30" s="22">
        <f>IF($A30="","",MONTH($A30))</f>
        <v>2</v>
      </c>
      <c r="G30" s="22" t="str">
        <f>IF($B30="","",IFERROR(INDEX(ContaComp,MATCH($B30,ContaNome,0)),"Conta inválida"))</f>
        <v>Fixo</v>
      </c>
    </row>
    <row r="31" spans="1:7">
      <c r="A31" s="21">
        <v>46068</v>
      </c>
      <c r="B31" s="15" t="s">
        <v>60</v>
      </c>
      <c r="C31" s="15" t="s">
        <v>90</v>
      </c>
      <c r="D31" s="17">
        <v>2747.46</v>
      </c>
      <c r="E31" s="22">
        <f>IF($A31="","",YEAR($A31))</f>
        <v>2026</v>
      </c>
      <c r="F31" s="22">
        <f>IF($A31="","",MONTH($A31))</f>
        <v>2</v>
      </c>
      <c r="G31" s="22" t="str">
        <f>IF($B31="","",IFERROR(INDEX(ContaComp,MATCH($B31,ContaNome,0)),"Conta inválida"))</f>
        <v>Fixo</v>
      </c>
    </row>
    <row r="32" spans="1:7">
      <c r="A32" s="21">
        <v>46073</v>
      </c>
      <c r="B32" s="15" t="s">
        <v>60</v>
      </c>
      <c r="C32" s="15" t="s">
        <v>91</v>
      </c>
      <c r="D32" s="17">
        <v>1400</v>
      </c>
      <c r="E32" s="22">
        <f>IF($A32="","",YEAR($A32))</f>
        <v>2026</v>
      </c>
      <c r="F32" s="22">
        <f>IF($A32="","",MONTH($A32))</f>
        <v>2</v>
      </c>
      <c r="G32" s="22" t="str">
        <f>IF($B32="","",IFERROR(INDEX(ContaComp,MATCH($B32,ContaNome,0)),"Conta inválida"))</f>
        <v>Fixo</v>
      </c>
    </row>
    <row r="33" spans="1:7">
      <c r="A33" s="21">
        <v>46061</v>
      </c>
      <c r="B33" s="15" t="s">
        <v>62</v>
      </c>
      <c r="C33" s="15" t="s">
        <v>92</v>
      </c>
      <c r="D33" s="17">
        <v>4716.5</v>
      </c>
      <c r="E33" s="22">
        <f>IF($A33="","",YEAR($A33))</f>
        <v>2026</v>
      </c>
      <c r="F33" s="22">
        <f>IF($A33="","",MONTH($A33))</f>
        <v>2</v>
      </c>
      <c r="G33" s="22" t="str">
        <f>IF($B33="","",IFERROR(INDEX(ContaComp,MATCH($B33,ContaNome,0)),"Conta inválida"))</f>
        <v>Fixo</v>
      </c>
    </row>
    <row r="34" spans="1:7">
      <c r="A34" s="21">
        <v>46081</v>
      </c>
      <c r="B34" s="15" t="s">
        <v>67</v>
      </c>
      <c r="C34" s="15" t="s">
        <v>93</v>
      </c>
      <c r="D34" s="17">
        <v>1107.55</v>
      </c>
      <c r="E34" s="22">
        <f>IF($A34="","",YEAR($A34))</f>
        <v>2026</v>
      </c>
      <c r="F34" s="22">
        <f>IF($A34="","",MONTH($A34))</f>
        <v>2</v>
      </c>
      <c r="G34" s="22" t="str">
        <f>IF($B34="","",IFERROR(INDEX(ContaComp,MATCH($B34,ContaNome,0)),"Conta inválida"))</f>
        <v>Fixo</v>
      </c>
    </row>
    <row r="35" spans="1:7">
      <c r="A35" s="21">
        <v>46088</v>
      </c>
      <c r="B35" s="15" t="s">
        <v>47</v>
      </c>
      <c r="C35" s="15" t="s">
        <v>79</v>
      </c>
      <c r="D35" s="17">
        <v>35486.84</v>
      </c>
      <c r="E35" s="22">
        <f>IF($A35="","",YEAR($A35))</f>
        <v>2026</v>
      </c>
      <c r="F35" s="22">
        <f>IF($A35="","",MONTH($A35))</f>
        <v>3</v>
      </c>
      <c r="G35" s="22" t="str">
        <f>IF($B35="","",IFERROR(INDEX(ContaComp,MATCH($B35,ContaNome,0)),"Conta inválida"))</f>
        <v>Receita</v>
      </c>
    </row>
    <row r="36" spans="1:7">
      <c r="A36" s="21">
        <v>46095</v>
      </c>
      <c r="B36" s="15" t="s">
        <v>47</v>
      </c>
      <c r="C36" s="15" t="s">
        <v>80</v>
      </c>
      <c r="D36" s="17">
        <v>25214.34</v>
      </c>
      <c r="E36" s="22">
        <f>IF($A36="","",YEAR($A36))</f>
        <v>2026</v>
      </c>
      <c r="F36" s="22">
        <f>IF($A36="","",MONTH($A36))</f>
        <v>3</v>
      </c>
      <c r="G36" s="22" t="str">
        <f>IF($B36="","",IFERROR(INDEX(ContaComp,MATCH($B36,ContaNome,0)),"Conta inválida"))</f>
        <v>Receita</v>
      </c>
    </row>
    <row r="37" spans="1:7">
      <c r="A37" s="21">
        <v>46102</v>
      </c>
      <c r="B37" s="15" t="s">
        <v>47</v>
      </c>
      <c r="C37" s="15" t="s">
        <v>81</v>
      </c>
      <c r="D37" s="17">
        <v>20545.01</v>
      </c>
      <c r="E37" s="22">
        <f>IF($A37="","",YEAR($A37))</f>
        <v>2026</v>
      </c>
      <c r="F37" s="22">
        <f>IF($A37="","",MONTH($A37))</f>
        <v>3</v>
      </c>
      <c r="G37" s="22" t="str">
        <f>IF($B37="","",IFERROR(INDEX(ContaComp,MATCH($B37,ContaNome,0)),"Conta inválida"))</f>
        <v>Receita</v>
      </c>
    </row>
    <row r="38" spans="1:7">
      <c r="A38" s="21">
        <v>46109</v>
      </c>
      <c r="B38" s="15" t="s">
        <v>47</v>
      </c>
      <c r="C38" s="15" t="s">
        <v>82</v>
      </c>
      <c r="D38" s="17">
        <v>12140.24</v>
      </c>
      <c r="E38" s="22">
        <f>IF($A38="","",YEAR($A38))</f>
        <v>2026</v>
      </c>
      <c r="F38" s="22">
        <f>IF($A38="","",MONTH($A38))</f>
        <v>3</v>
      </c>
      <c r="G38" s="22" t="str">
        <f>IF($B38="","",IFERROR(INDEX(ContaComp,MATCH($B38,ContaNome,0)),"Conta inválida"))</f>
        <v>Receita</v>
      </c>
    </row>
    <row r="39" spans="1:7">
      <c r="A39" s="21">
        <v>46109</v>
      </c>
      <c r="B39" s="15" t="s">
        <v>50</v>
      </c>
      <c r="C39" s="15" t="s">
        <v>83</v>
      </c>
      <c r="D39" s="17">
        <v>6910.6</v>
      </c>
      <c r="E39" s="22">
        <f>IF($A39="","",YEAR($A39))</f>
        <v>2026</v>
      </c>
      <c r="F39" s="22">
        <f>IF($A39="","",MONTH($A39))</f>
        <v>3</v>
      </c>
      <c r="G39" s="22" t="str">
        <f>IF($B39="","",IFERROR(INDEX(ContaComp,MATCH($B39,ContaNome,0)),"Conta inválida"))</f>
        <v>Variável</v>
      </c>
    </row>
    <row r="40" spans="1:7">
      <c r="A40" s="21">
        <v>46093</v>
      </c>
      <c r="B40" s="15" t="s">
        <v>53</v>
      </c>
      <c r="C40" s="15" t="s">
        <v>84</v>
      </c>
      <c r="D40" s="17">
        <v>24016.61</v>
      </c>
      <c r="E40" s="22">
        <f>IF($A40="","",YEAR($A40))</f>
        <v>2026</v>
      </c>
      <c r="F40" s="22">
        <f>IF($A40="","",MONTH($A40))</f>
        <v>3</v>
      </c>
      <c r="G40" s="22" t="str">
        <f>IF($B40="","",IFERROR(INDEX(ContaComp,MATCH($B40,ContaNome,0)),"Conta inválida"))</f>
        <v>Variável</v>
      </c>
    </row>
    <row r="41" spans="1:7">
      <c r="A41" s="21">
        <v>46105</v>
      </c>
      <c r="B41" s="15" t="s">
        <v>53</v>
      </c>
      <c r="C41" s="15" t="s">
        <v>85</v>
      </c>
      <c r="D41" s="17">
        <v>10292.83</v>
      </c>
      <c r="E41" s="22">
        <f>IF($A41="","",YEAR($A41))</f>
        <v>2026</v>
      </c>
      <c r="F41" s="22">
        <f>IF($A41="","",MONTH($A41))</f>
        <v>3</v>
      </c>
      <c r="G41" s="22" t="str">
        <f>IF($B41="","",IFERROR(INDEX(ContaComp,MATCH($B41,ContaNome,0)),"Conta inválida"))</f>
        <v>Variável</v>
      </c>
    </row>
    <row r="42" spans="1:7">
      <c r="A42" s="21">
        <v>46109</v>
      </c>
      <c r="B42" s="15" t="s">
        <v>55</v>
      </c>
      <c r="C42" s="15" t="s">
        <v>86</v>
      </c>
      <c r="D42" s="17">
        <v>3081.75</v>
      </c>
      <c r="E42" s="22">
        <f>IF($A42="","",YEAR($A42))</f>
        <v>2026</v>
      </c>
      <c r="F42" s="22">
        <f>IF($A42="","",MONTH($A42))</f>
        <v>3</v>
      </c>
      <c r="G42" s="22" t="str">
        <f>IF($B42="","",IFERROR(INDEX(ContaComp,MATCH($B42,ContaNome,0)),"Conta inválida"))</f>
        <v>Variável</v>
      </c>
    </row>
    <row r="43" spans="1:7">
      <c r="A43" s="21">
        <v>46086</v>
      </c>
      <c r="B43" s="15" t="s">
        <v>57</v>
      </c>
      <c r="C43" s="15" t="s">
        <v>87</v>
      </c>
      <c r="D43" s="17">
        <v>24800</v>
      </c>
      <c r="E43" s="22">
        <f>IF($A43="","",YEAR($A43))</f>
        <v>2026</v>
      </c>
      <c r="F43" s="22">
        <f>IF($A43="","",MONTH($A43))</f>
        <v>3</v>
      </c>
      <c r="G43" s="22" t="str">
        <f>IF($B43="","",IFERROR(INDEX(ContaComp,MATCH($B43,ContaNome,0)),"Conta inválida"))</f>
        <v>Fixo</v>
      </c>
    </row>
    <row r="44" spans="1:7">
      <c r="A44" s="21">
        <v>46087</v>
      </c>
      <c r="B44" s="15" t="s">
        <v>57</v>
      </c>
      <c r="C44" s="15" t="s">
        <v>88</v>
      </c>
      <c r="D44" s="17">
        <v>7000</v>
      </c>
      <c r="E44" s="22">
        <f>IF($A44="","",YEAR($A44))</f>
        <v>2026</v>
      </c>
      <c r="F44" s="22">
        <f>IF($A44="","",MONTH($A44))</f>
        <v>3</v>
      </c>
      <c r="G44" s="22" t="str">
        <f>IF($B44="","",IFERROR(INDEX(ContaComp,MATCH($B44,ContaNome,0)),"Conta inválida"))</f>
        <v>Fixo</v>
      </c>
    </row>
    <row r="45" spans="1:7">
      <c r="A45" s="21">
        <v>46091</v>
      </c>
      <c r="B45" s="15" t="s">
        <v>60</v>
      </c>
      <c r="C45" s="15" t="s">
        <v>89</v>
      </c>
      <c r="D45" s="17">
        <v>5200</v>
      </c>
      <c r="E45" s="22">
        <f>IF($A45="","",YEAR($A45))</f>
        <v>2026</v>
      </c>
      <c r="F45" s="22">
        <f>IF($A45="","",MONTH($A45))</f>
        <v>3</v>
      </c>
      <c r="G45" s="22" t="str">
        <f>IF($B45="","",IFERROR(INDEX(ContaComp,MATCH($B45,ContaNome,0)),"Conta inválida"))</f>
        <v>Fixo</v>
      </c>
    </row>
    <row r="46" spans="1:7">
      <c r="A46" s="21">
        <v>46096</v>
      </c>
      <c r="B46" s="15" t="s">
        <v>60</v>
      </c>
      <c r="C46" s="15" t="s">
        <v>90</v>
      </c>
      <c r="D46" s="17">
        <v>2348.59</v>
      </c>
      <c r="E46" s="22">
        <f>IF($A46="","",YEAR($A46))</f>
        <v>2026</v>
      </c>
      <c r="F46" s="22">
        <f>IF($A46="","",MONTH($A46))</f>
        <v>3</v>
      </c>
      <c r="G46" s="22" t="str">
        <f>IF($B46="","",IFERROR(INDEX(ContaComp,MATCH($B46,ContaNome,0)),"Conta inválida"))</f>
        <v>Fixo</v>
      </c>
    </row>
    <row r="47" spans="1:7">
      <c r="A47" s="21">
        <v>46101</v>
      </c>
      <c r="B47" s="15" t="s">
        <v>60</v>
      </c>
      <c r="C47" s="15" t="s">
        <v>91</v>
      </c>
      <c r="D47" s="17">
        <v>1400</v>
      </c>
      <c r="E47" s="22">
        <f>IF($A47="","",YEAR($A47))</f>
        <v>2026</v>
      </c>
      <c r="F47" s="22">
        <f>IF($A47="","",MONTH($A47))</f>
        <v>3</v>
      </c>
      <c r="G47" s="22" t="str">
        <f>IF($B47="","",IFERROR(INDEX(ContaComp,MATCH($B47,ContaNome,0)),"Conta inválida"))</f>
        <v>Fixo</v>
      </c>
    </row>
    <row r="48" spans="1:7">
      <c r="A48" s="21">
        <v>46089</v>
      </c>
      <c r="B48" s="15" t="s">
        <v>62</v>
      </c>
      <c r="C48" s="15" t="s">
        <v>92</v>
      </c>
      <c r="D48" s="17">
        <v>4345.5</v>
      </c>
      <c r="E48" s="22">
        <f>IF($A48="","",YEAR($A48))</f>
        <v>2026</v>
      </c>
      <c r="F48" s="22">
        <f>IF($A48="","",MONTH($A48))</f>
        <v>3</v>
      </c>
      <c r="G48" s="22" t="str">
        <f>IF($B48="","",IFERROR(INDEX(ContaComp,MATCH($B48,ContaNome,0)),"Conta inválida"))</f>
        <v>Fixo</v>
      </c>
    </row>
    <row r="49" spans="1:7">
      <c r="A49" s="21">
        <v>46109</v>
      </c>
      <c r="B49" s="15" t="s">
        <v>67</v>
      </c>
      <c r="C49" s="15" t="s">
        <v>93</v>
      </c>
      <c r="D49" s="17">
        <v>1266.05</v>
      </c>
      <c r="E49" s="22">
        <f>IF($A49="","",YEAR($A49))</f>
        <v>2026</v>
      </c>
      <c r="F49" s="22">
        <f>IF($A49="","",MONTH($A49))</f>
        <v>3</v>
      </c>
      <c r="G49" s="22" t="str">
        <f>IF($B49="","",IFERROR(INDEX(ContaComp,MATCH($B49,ContaNome,0)),"Conta inválida"))</f>
        <v>Fixo</v>
      </c>
    </row>
    <row r="50" spans="1:7">
      <c r="A50" s="21">
        <v>46109</v>
      </c>
      <c r="B50" s="15" t="s">
        <v>64</v>
      </c>
      <c r="C50" s="15" t="s">
        <v>94</v>
      </c>
      <c r="D50" s="17">
        <v>509.66</v>
      </c>
      <c r="E50" s="22">
        <f>IF($A50="","",YEAR($A50))</f>
        <v>2026</v>
      </c>
      <c r="F50" s="22">
        <f>IF($A50="","",MONTH($A50))</f>
        <v>3</v>
      </c>
      <c r="G50" s="22" t="str">
        <f>IF($B50="","",IFERROR(INDEX(ContaComp,MATCH($B50,ContaNome,0)),"Conta inválida"))</f>
        <v>Receita financeira</v>
      </c>
    </row>
    <row r="51" spans="1:7">
      <c r="A51" s="21">
        <v>46119</v>
      </c>
      <c r="B51" s="15" t="s">
        <v>47</v>
      </c>
      <c r="C51" s="15" t="s">
        <v>79</v>
      </c>
      <c r="D51" s="17">
        <v>36647.93</v>
      </c>
      <c r="E51" s="22">
        <f>IF($A51="","",YEAR($A51))</f>
        <v>2026</v>
      </c>
      <c r="F51" s="22">
        <f>IF($A51="","",MONTH($A51))</f>
        <v>4</v>
      </c>
      <c r="G51" s="22" t="str">
        <f>IF($B51="","",IFERROR(INDEX(ContaComp,MATCH($B51,ContaNome,0)),"Conta inválida"))</f>
        <v>Receita</v>
      </c>
    </row>
    <row r="52" spans="1:7">
      <c r="A52" s="21">
        <v>46126</v>
      </c>
      <c r="B52" s="15" t="s">
        <v>47</v>
      </c>
      <c r="C52" s="15" t="s">
        <v>80</v>
      </c>
      <c r="D52" s="17">
        <v>26039.32</v>
      </c>
      <c r="E52" s="22">
        <f>IF($A52="","",YEAR($A52))</f>
        <v>2026</v>
      </c>
      <c r="F52" s="22">
        <f>IF($A52="","",MONTH($A52))</f>
        <v>4</v>
      </c>
      <c r="G52" s="22" t="str">
        <f>IF($B52="","",IFERROR(INDEX(ContaComp,MATCH($B52,ContaNome,0)),"Conta inválida"))</f>
        <v>Receita</v>
      </c>
    </row>
    <row r="53" spans="1:7">
      <c r="A53" s="21">
        <v>46133</v>
      </c>
      <c r="B53" s="15" t="s">
        <v>47</v>
      </c>
      <c r="C53" s="15" t="s">
        <v>81</v>
      </c>
      <c r="D53" s="17">
        <v>21217.22</v>
      </c>
      <c r="E53" s="22">
        <f>IF($A53="","",YEAR($A53))</f>
        <v>2026</v>
      </c>
      <c r="F53" s="22">
        <f>IF($A53="","",MONTH($A53))</f>
        <v>4</v>
      </c>
      <c r="G53" s="22" t="str">
        <f>IF($B53="","",IFERROR(INDEX(ContaComp,MATCH($B53,ContaNome,0)),"Conta inválida"))</f>
        <v>Receita</v>
      </c>
    </row>
    <row r="54" spans="1:7">
      <c r="A54" s="21">
        <v>46140</v>
      </c>
      <c r="B54" s="15" t="s">
        <v>47</v>
      </c>
      <c r="C54" s="15" t="s">
        <v>82</v>
      </c>
      <c r="D54" s="17">
        <v>12537.45</v>
      </c>
      <c r="E54" s="22">
        <f>IF($A54="","",YEAR($A54))</f>
        <v>2026</v>
      </c>
      <c r="F54" s="22">
        <f>IF($A54="","",MONTH($A54))</f>
        <v>4</v>
      </c>
      <c r="G54" s="22" t="str">
        <f>IF($B54="","",IFERROR(INDEX(ContaComp,MATCH($B54,ContaNome,0)),"Conta inválida"))</f>
        <v>Receita</v>
      </c>
    </row>
    <row r="55" spans="1:7">
      <c r="A55" s="21">
        <v>46140</v>
      </c>
      <c r="B55" s="15" t="s">
        <v>50</v>
      </c>
      <c r="C55" s="15" t="s">
        <v>83</v>
      </c>
      <c r="D55" s="17">
        <v>7136.7</v>
      </c>
      <c r="E55" s="22">
        <f>IF($A55="","",YEAR($A55))</f>
        <v>2026</v>
      </c>
      <c r="F55" s="22">
        <f>IF($A55="","",MONTH($A55))</f>
        <v>4</v>
      </c>
      <c r="G55" s="22" t="str">
        <f>IF($B55="","",IFERROR(INDEX(ContaComp,MATCH($B55,ContaNome,0)),"Conta inválida"))</f>
        <v>Variável</v>
      </c>
    </row>
    <row r="56" spans="1:7">
      <c r="A56" s="21">
        <v>46124</v>
      </c>
      <c r="B56" s="15" t="s">
        <v>53</v>
      </c>
      <c r="C56" s="15" t="s">
        <v>84</v>
      </c>
      <c r="D56" s="17">
        <v>24399.96</v>
      </c>
      <c r="E56" s="22">
        <f>IF($A56="","",YEAR($A56))</f>
        <v>2026</v>
      </c>
      <c r="F56" s="22">
        <f>IF($A56="","",MONTH($A56))</f>
        <v>4</v>
      </c>
      <c r="G56" s="22" t="str">
        <f>IF($B56="","",IFERROR(INDEX(ContaComp,MATCH($B56,ContaNome,0)),"Conta inválida"))</f>
        <v>Variável</v>
      </c>
    </row>
    <row r="57" spans="1:7">
      <c r="A57" s="21">
        <v>46136</v>
      </c>
      <c r="B57" s="15" t="s">
        <v>53</v>
      </c>
      <c r="C57" s="15" t="s">
        <v>85</v>
      </c>
      <c r="D57" s="17">
        <v>10457.13</v>
      </c>
      <c r="E57" s="22">
        <f>IF($A57="","",YEAR($A57))</f>
        <v>2026</v>
      </c>
      <c r="F57" s="22">
        <f>IF($A57="","",MONTH($A57))</f>
        <v>4</v>
      </c>
      <c r="G57" s="22" t="str">
        <f>IF($B57="","",IFERROR(INDEX(ContaComp,MATCH($B57,ContaNome,0)),"Conta inválida"))</f>
        <v>Variável</v>
      </c>
    </row>
    <row r="58" spans="1:7">
      <c r="A58" s="21">
        <v>46140</v>
      </c>
      <c r="B58" s="15" t="s">
        <v>55</v>
      </c>
      <c r="C58" s="15" t="s">
        <v>86</v>
      </c>
      <c r="D58" s="17">
        <v>3182.58</v>
      </c>
      <c r="E58" s="22">
        <f>IF($A58="","",YEAR($A58))</f>
        <v>2026</v>
      </c>
      <c r="F58" s="22">
        <f>IF($A58="","",MONTH($A58))</f>
        <v>4</v>
      </c>
      <c r="G58" s="22" t="str">
        <f>IF($B58="","",IFERROR(INDEX(ContaComp,MATCH($B58,ContaNome,0)),"Conta inválida"))</f>
        <v>Variável</v>
      </c>
    </row>
    <row r="59" spans="1:7">
      <c r="A59" s="21">
        <v>46117</v>
      </c>
      <c r="B59" s="15" t="s">
        <v>57</v>
      </c>
      <c r="C59" s="15" t="s">
        <v>87</v>
      </c>
      <c r="D59" s="17">
        <v>24800</v>
      </c>
      <c r="E59" s="22">
        <f>IF($A59="","",YEAR($A59))</f>
        <v>2026</v>
      </c>
      <c r="F59" s="22">
        <f>IF($A59="","",MONTH($A59))</f>
        <v>4</v>
      </c>
      <c r="G59" s="22" t="str">
        <f>IF($B59="","",IFERROR(INDEX(ContaComp,MATCH($B59,ContaNome,0)),"Conta inválida"))</f>
        <v>Fixo</v>
      </c>
    </row>
    <row r="60" spans="1:7">
      <c r="A60" s="21">
        <v>46118</v>
      </c>
      <c r="B60" s="15" t="s">
        <v>57</v>
      </c>
      <c r="C60" s="15" t="s">
        <v>88</v>
      </c>
      <c r="D60" s="17">
        <v>7000</v>
      </c>
      <c r="E60" s="22">
        <f>IF($A60="","",YEAR($A60))</f>
        <v>2026</v>
      </c>
      <c r="F60" s="22">
        <f>IF($A60="","",MONTH($A60))</f>
        <v>4</v>
      </c>
      <c r="G60" s="22" t="str">
        <f>IF($B60="","",IFERROR(INDEX(ContaComp,MATCH($B60,ContaNome,0)),"Conta inválida"))</f>
        <v>Fixo</v>
      </c>
    </row>
    <row r="61" spans="1:7">
      <c r="A61" s="21">
        <v>46122</v>
      </c>
      <c r="B61" s="15" t="s">
        <v>60</v>
      </c>
      <c r="C61" s="15" t="s">
        <v>89</v>
      </c>
      <c r="D61" s="17">
        <v>5200</v>
      </c>
      <c r="E61" s="22">
        <f>IF($A61="","",YEAR($A61))</f>
        <v>2026</v>
      </c>
      <c r="F61" s="22">
        <f>IF($A61="","",MONTH($A61))</f>
        <v>4</v>
      </c>
      <c r="G61" s="22" t="str">
        <f>IF($B61="","",IFERROR(INDEX(ContaComp,MATCH($B61,ContaNome,0)),"Conta inválida"))</f>
        <v>Fixo</v>
      </c>
    </row>
    <row r="62" spans="1:7">
      <c r="A62" s="21">
        <v>46127</v>
      </c>
      <c r="B62" s="15" t="s">
        <v>60</v>
      </c>
      <c r="C62" s="15" t="s">
        <v>90</v>
      </c>
      <c r="D62" s="17">
        <v>2687.19</v>
      </c>
      <c r="E62" s="22">
        <f>IF($A62="","",YEAR($A62))</f>
        <v>2026</v>
      </c>
      <c r="F62" s="22">
        <f>IF($A62="","",MONTH($A62))</f>
        <v>4</v>
      </c>
      <c r="G62" s="22" t="str">
        <f>IF($B62="","",IFERROR(INDEX(ContaComp,MATCH($B62,ContaNome,0)),"Conta inválida"))</f>
        <v>Fixo</v>
      </c>
    </row>
    <row r="63" spans="1:7">
      <c r="A63" s="21">
        <v>46132</v>
      </c>
      <c r="B63" s="15" t="s">
        <v>60</v>
      </c>
      <c r="C63" s="15" t="s">
        <v>91</v>
      </c>
      <c r="D63" s="17">
        <v>1400</v>
      </c>
      <c r="E63" s="22">
        <f>IF($A63="","",YEAR($A63))</f>
        <v>2026</v>
      </c>
      <c r="F63" s="22">
        <f>IF($A63="","",MONTH($A63))</f>
        <v>4</v>
      </c>
      <c r="G63" s="22" t="str">
        <f>IF($B63="","",IFERROR(INDEX(ContaComp,MATCH($B63,ContaNome,0)),"Conta inválida"))</f>
        <v>Fixo</v>
      </c>
    </row>
    <row r="64" spans="1:7">
      <c r="A64" s="21">
        <v>46120</v>
      </c>
      <c r="B64" s="15" t="s">
        <v>62</v>
      </c>
      <c r="C64" s="15" t="s">
        <v>92</v>
      </c>
      <c r="D64" s="17">
        <v>4586.12</v>
      </c>
      <c r="E64" s="22">
        <f>IF($A64="","",YEAR($A64))</f>
        <v>2026</v>
      </c>
      <c r="F64" s="22">
        <f>IF($A64="","",MONTH($A64))</f>
        <v>4</v>
      </c>
      <c r="G64" s="22" t="str">
        <f>IF($B64="","",IFERROR(INDEX(ContaComp,MATCH($B64,ContaNome,0)),"Conta inválida"))</f>
        <v>Fixo</v>
      </c>
    </row>
    <row r="65" spans="1:7">
      <c r="A65" s="21">
        <v>46140</v>
      </c>
      <c r="B65" s="15" t="s">
        <v>67</v>
      </c>
      <c r="C65" s="15" t="s">
        <v>93</v>
      </c>
      <c r="D65" s="17">
        <v>1157.5</v>
      </c>
      <c r="E65" s="22">
        <f>IF($A65="","",YEAR($A65))</f>
        <v>2026</v>
      </c>
      <c r="F65" s="22">
        <f>IF($A65="","",MONTH($A65))</f>
        <v>4</v>
      </c>
      <c r="G65" s="22" t="str">
        <f>IF($B65="","",IFERROR(INDEX(ContaComp,MATCH($B65,ContaNome,0)),"Conta inválida"))</f>
        <v>Fixo</v>
      </c>
    </row>
    <row r="66" spans="1:7">
      <c r="A66" s="21">
        <v>46149</v>
      </c>
      <c r="B66" s="15" t="s">
        <v>47</v>
      </c>
      <c r="C66" s="15" t="s">
        <v>79</v>
      </c>
      <c r="D66" s="17">
        <v>39731.66</v>
      </c>
      <c r="E66" s="22">
        <f>IF($A66="","",YEAR($A66))</f>
        <v>2026</v>
      </c>
      <c r="F66" s="22">
        <f>IF($A66="","",MONTH($A66))</f>
        <v>5</v>
      </c>
      <c r="G66" s="22" t="str">
        <f>IF($B66="","",IFERROR(INDEX(ContaComp,MATCH($B66,ContaNome,0)),"Conta inválida"))</f>
        <v>Receita</v>
      </c>
    </row>
    <row r="67" spans="1:7">
      <c r="A67" s="21">
        <v>46156</v>
      </c>
      <c r="B67" s="15" t="s">
        <v>47</v>
      </c>
      <c r="C67" s="15" t="s">
        <v>80</v>
      </c>
      <c r="D67" s="17">
        <v>28230.39</v>
      </c>
      <c r="E67" s="22">
        <f>IF($A67="","",YEAR($A67))</f>
        <v>2026</v>
      </c>
      <c r="F67" s="22">
        <f>IF($A67="","",MONTH($A67))</f>
        <v>5</v>
      </c>
      <c r="G67" s="22" t="str">
        <f>IF($B67="","",IFERROR(INDEX(ContaComp,MATCH($B67,ContaNome,0)),"Conta inválida"))</f>
        <v>Receita</v>
      </c>
    </row>
    <row r="68" spans="1:7">
      <c r="A68" s="21">
        <v>46163</v>
      </c>
      <c r="B68" s="15" t="s">
        <v>47</v>
      </c>
      <c r="C68" s="15" t="s">
        <v>81</v>
      </c>
      <c r="D68" s="17">
        <v>23002.54</v>
      </c>
      <c r="E68" s="22">
        <f>IF($A68="","",YEAR($A68))</f>
        <v>2026</v>
      </c>
      <c r="F68" s="22">
        <f>IF($A68="","",MONTH($A68))</f>
        <v>5</v>
      </c>
      <c r="G68" s="22" t="str">
        <f>IF($B68="","",IFERROR(INDEX(ContaComp,MATCH($B68,ContaNome,0)),"Conta inválida"))</f>
        <v>Receita</v>
      </c>
    </row>
    <row r="69" spans="1:7">
      <c r="A69" s="21">
        <v>46170</v>
      </c>
      <c r="B69" s="15" t="s">
        <v>47</v>
      </c>
      <c r="C69" s="15" t="s">
        <v>82</v>
      </c>
      <c r="D69" s="17">
        <v>13592.41</v>
      </c>
      <c r="E69" s="22">
        <f>IF($A69="","",YEAR($A69))</f>
        <v>2026</v>
      </c>
      <c r="F69" s="22">
        <f>IF($A69="","",MONTH($A69))</f>
        <v>5</v>
      </c>
      <c r="G69" s="22" t="str">
        <f>IF($B69="","",IFERROR(INDEX(ContaComp,MATCH($B69,ContaNome,0)),"Conta inválida"))</f>
        <v>Receita</v>
      </c>
    </row>
    <row r="70" spans="1:7">
      <c r="A70" s="21">
        <v>46170</v>
      </c>
      <c r="B70" s="15" t="s">
        <v>50</v>
      </c>
      <c r="C70" s="15" t="s">
        <v>83</v>
      </c>
      <c r="D70" s="17">
        <v>7737.22</v>
      </c>
      <c r="E70" s="22">
        <f>IF($A70="","",YEAR($A70))</f>
        <v>2026</v>
      </c>
      <c r="F70" s="22">
        <f>IF($A70="","",MONTH($A70))</f>
        <v>5</v>
      </c>
      <c r="G70" s="22" t="str">
        <f>IF($B70="","",IFERROR(INDEX(ContaComp,MATCH($B70,ContaNome,0)),"Conta inválida"))</f>
        <v>Variável</v>
      </c>
    </row>
    <row r="71" spans="1:7">
      <c r="A71" s="21">
        <v>46154</v>
      </c>
      <c r="B71" s="15" t="s">
        <v>53</v>
      </c>
      <c r="C71" s="15" t="s">
        <v>84</v>
      </c>
      <c r="D71" s="17">
        <v>27326.74</v>
      </c>
      <c r="E71" s="22">
        <f>IF($A71="","",YEAR($A71))</f>
        <v>2026</v>
      </c>
      <c r="F71" s="22">
        <f>IF($A71="","",MONTH($A71))</f>
        <v>5</v>
      </c>
      <c r="G71" s="22" t="str">
        <f>IF($B71="","",IFERROR(INDEX(ContaComp,MATCH($B71,ContaNome,0)),"Conta inválida"))</f>
        <v>Variável</v>
      </c>
    </row>
    <row r="72" spans="1:7">
      <c r="A72" s="21">
        <v>46166</v>
      </c>
      <c r="B72" s="15" t="s">
        <v>53</v>
      </c>
      <c r="C72" s="15" t="s">
        <v>85</v>
      </c>
      <c r="D72" s="17">
        <v>11711.46</v>
      </c>
      <c r="E72" s="22">
        <f>IF($A72="","",YEAR($A72))</f>
        <v>2026</v>
      </c>
      <c r="F72" s="22">
        <f>IF($A72="","",MONTH($A72))</f>
        <v>5</v>
      </c>
      <c r="G72" s="22" t="str">
        <f>IF($B72="","",IFERROR(INDEX(ContaComp,MATCH($B72,ContaNome,0)),"Conta inválida"))</f>
        <v>Variável</v>
      </c>
    </row>
    <row r="73" spans="1:7">
      <c r="A73" s="21">
        <v>46170</v>
      </c>
      <c r="B73" s="15" t="s">
        <v>55</v>
      </c>
      <c r="C73" s="15" t="s">
        <v>86</v>
      </c>
      <c r="D73" s="17">
        <v>3450.38</v>
      </c>
      <c r="E73" s="22">
        <f>IF($A73="","",YEAR($A73))</f>
        <v>2026</v>
      </c>
      <c r="F73" s="22">
        <f>IF($A73="","",MONTH($A73))</f>
        <v>5</v>
      </c>
      <c r="G73" s="22" t="str">
        <f>IF($B73="","",IFERROR(INDEX(ContaComp,MATCH($B73,ContaNome,0)),"Conta inválida"))</f>
        <v>Variável</v>
      </c>
    </row>
    <row r="74" spans="1:7">
      <c r="A74" s="21">
        <v>46147</v>
      </c>
      <c r="B74" s="15" t="s">
        <v>57</v>
      </c>
      <c r="C74" s="15" t="s">
        <v>87</v>
      </c>
      <c r="D74" s="17">
        <v>24800</v>
      </c>
      <c r="E74" s="22">
        <f>IF($A74="","",YEAR($A74))</f>
        <v>2026</v>
      </c>
      <c r="F74" s="22">
        <f>IF($A74="","",MONTH($A74))</f>
        <v>5</v>
      </c>
      <c r="G74" s="22" t="str">
        <f>IF($B74="","",IFERROR(INDEX(ContaComp,MATCH($B74,ContaNome,0)),"Conta inválida"))</f>
        <v>Fixo</v>
      </c>
    </row>
    <row r="75" spans="1:7">
      <c r="A75" s="21">
        <v>46148</v>
      </c>
      <c r="B75" s="15" t="s">
        <v>57</v>
      </c>
      <c r="C75" s="15" t="s">
        <v>88</v>
      </c>
      <c r="D75" s="17">
        <v>7000</v>
      </c>
      <c r="E75" s="22">
        <f>IF($A75="","",YEAR($A75))</f>
        <v>2026</v>
      </c>
      <c r="F75" s="22">
        <f>IF($A75="","",MONTH($A75))</f>
        <v>5</v>
      </c>
      <c r="G75" s="22" t="str">
        <f>IF($B75="","",IFERROR(INDEX(ContaComp,MATCH($B75,ContaNome,0)),"Conta inválida"))</f>
        <v>Fixo</v>
      </c>
    </row>
    <row r="76" spans="1:7">
      <c r="A76" s="21">
        <v>46152</v>
      </c>
      <c r="B76" s="15" t="s">
        <v>60</v>
      </c>
      <c r="C76" s="15" t="s">
        <v>89</v>
      </c>
      <c r="D76" s="17">
        <v>5200</v>
      </c>
      <c r="E76" s="22">
        <f>IF($A76="","",YEAR($A76))</f>
        <v>2026</v>
      </c>
      <c r="F76" s="22">
        <f>IF($A76="","",MONTH($A76))</f>
        <v>5</v>
      </c>
      <c r="G76" s="22" t="str">
        <f>IF($B76="","",IFERROR(INDEX(ContaComp,MATCH($B76,ContaNome,0)),"Conta inválida"))</f>
        <v>Fixo</v>
      </c>
    </row>
    <row r="77" spans="1:7">
      <c r="A77" s="21">
        <v>46157</v>
      </c>
      <c r="B77" s="15" t="s">
        <v>60</v>
      </c>
      <c r="C77" s="15" t="s">
        <v>90</v>
      </c>
      <c r="D77" s="17">
        <v>2461.92</v>
      </c>
      <c r="E77" s="22">
        <f>IF($A77="","",YEAR($A77))</f>
        <v>2026</v>
      </c>
      <c r="F77" s="22">
        <f>IF($A77="","",MONTH($A77))</f>
        <v>5</v>
      </c>
      <c r="G77" s="22" t="str">
        <f>IF($B77="","",IFERROR(INDEX(ContaComp,MATCH($B77,ContaNome,0)),"Conta inválida"))</f>
        <v>Fixo</v>
      </c>
    </row>
    <row r="78" spans="1:7">
      <c r="A78" s="21">
        <v>46162</v>
      </c>
      <c r="B78" s="15" t="s">
        <v>60</v>
      </c>
      <c r="C78" s="15" t="s">
        <v>91</v>
      </c>
      <c r="D78" s="17">
        <v>1400</v>
      </c>
      <c r="E78" s="22">
        <f>IF($A78="","",YEAR($A78))</f>
        <v>2026</v>
      </c>
      <c r="F78" s="22">
        <f>IF($A78="","",MONTH($A78))</f>
        <v>5</v>
      </c>
      <c r="G78" s="22" t="str">
        <f>IF($B78="","",IFERROR(INDEX(ContaComp,MATCH($B78,ContaNome,0)),"Conta inválida"))</f>
        <v>Fixo</v>
      </c>
    </row>
    <row r="79" spans="1:7">
      <c r="A79" s="21">
        <v>46150</v>
      </c>
      <c r="B79" s="15" t="s">
        <v>62</v>
      </c>
      <c r="C79" s="15" t="s">
        <v>92</v>
      </c>
      <c r="D79" s="17">
        <v>4852.44</v>
      </c>
      <c r="E79" s="22">
        <f>IF($A79="","",YEAR($A79))</f>
        <v>2026</v>
      </c>
      <c r="F79" s="22">
        <f>IF($A79="","",MONTH($A79))</f>
        <v>5</v>
      </c>
      <c r="G79" s="22" t="str">
        <f>IF($B79="","",IFERROR(INDEX(ContaComp,MATCH($B79,ContaNome,0)),"Conta inválida"))</f>
        <v>Fixo</v>
      </c>
    </row>
    <row r="80" spans="1:7">
      <c r="A80" s="21">
        <v>46170</v>
      </c>
      <c r="B80" s="15" t="s">
        <v>67</v>
      </c>
      <c r="C80" s="15" t="s">
        <v>93</v>
      </c>
      <c r="D80" s="17">
        <v>1151.65</v>
      </c>
      <c r="E80" s="22">
        <f>IF($A80="","",YEAR($A80))</f>
        <v>2026</v>
      </c>
      <c r="F80" s="22">
        <f>IF($A80="","",MONTH($A80))</f>
        <v>5</v>
      </c>
      <c r="G80" s="22" t="str">
        <f>IF($B80="","",IFERROR(INDEX(ContaComp,MATCH($B80,ContaNome,0)),"Conta inválida"))</f>
        <v>Fixo</v>
      </c>
    </row>
    <row r="81" spans="1:7">
      <c r="A81" s="21">
        <v>46180</v>
      </c>
      <c r="B81" s="15" t="s">
        <v>47</v>
      </c>
      <c r="C81" s="15" t="s">
        <v>79</v>
      </c>
      <c r="D81" s="17">
        <v>43162.1</v>
      </c>
      <c r="E81" s="22">
        <f>IF($A81="","",YEAR($A81))</f>
        <v>2026</v>
      </c>
      <c r="F81" s="22">
        <f>IF($A81="","",MONTH($A81))</f>
        <v>6</v>
      </c>
      <c r="G81" s="22" t="str">
        <f>IF($B81="","",IFERROR(INDEX(ContaComp,MATCH($B81,ContaNome,0)),"Conta inválida"))</f>
        <v>Receita</v>
      </c>
    </row>
    <row r="82" spans="1:7">
      <c r="A82" s="21">
        <v>46187</v>
      </c>
      <c r="B82" s="15" t="s">
        <v>47</v>
      </c>
      <c r="C82" s="15" t="s">
        <v>80</v>
      </c>
      <c r="D82" s="17">
        <v>30667.81</v>
      </c>
      <c r="E82" s="22">
        <f>IF($A82="","",YEAR($A82))</f>
        <v>2026</v>
      </c>
      <c r="F82" s="22">
        <f>IF($A82="","",MONTH($A82))</f>
        <v>6</v>
      </c>
      <c r="G82" s="22" t="str">
        <f>IF($B82="","",IFERROR(INDEX(ContaComp,MATCH($B82,ContaNome,0)),"Conta inválida"))</f>
        <v>Receita</v>
      </c>
    </row>
    <row r="83" spans="1:7">
      <c r="A83" s="21">
        <v>46194</v>
      </c>
      <c r="B83" s="15" t="s">
        <v>47</v>
      </c>
      <c r="C83" s="15" t="s">
        <v>81</v>
      </c>
      <c r="D83" s="17">
        <v>24988.59</v>
      </c>
      <c r="E83" s="22">
        <f>IF($A83="","",YEAR($A83))</f>
        <v>2026</v>
      </c>
      <c r="F83" s="22">
        <f>IF($A83="","",MONTH($A83))</f>
        <v>6</v>
      </c>
      <c r="G83" s="22" t="str">
        <f>IF($B83="","",IFERROR(INDEX(ContaComp,MATCH($B83,ContaNome,0)),"Conta inválida"))</f>
        <v>Receita</v>
      </c>
    </row>
    <row r="84" spans="1:7">
      <c r="A84" s="21">
        <v>46201</v>
      </c>
      <c r="B84" s="15" t="s">
        <v>47</v>
      </c>
      <c r="C84" s="15" t="s">
        <v>82</v>
      </c>
      <c r="D84" s="17">
        <v>14765.98</v>
      </c>
      <c r="E84" s="22">
        <f>IF($A84="","",YEAR($A84))</f>
        <v>2026</v>
      </c>
      <c r="F84" s="22">
        <f>IF($A84="","",MONTH($A84))</f>
        <v>6</v>
      </c>
      <c r="G84" s="22" t="str">
        <f>IF($B84="","",IFERROR(INDEX(ContaComp,MATCH($B84,ContaNome,0)),"Conta inválida"))</f>
        <v>Receita</v>
      </c>
    </row>
    <row r="85" spans="1:7">
      <c r="A85" s="21">
        <v>46201</v>
      </c>
      <c r="B85" s="15" t="s">
        <v>50</v>
      </c>
      <c r="C85" s="15" t="s">
        <v>83</v>
      </c>
      <c r="D85" s="17">
        <v>8405.25</v>
      </c>
      <c r="E85" s="22">
        <f>IF($A85="","",YEAR($A85))</f>
        <v>2026</v>
      </c>
      <c r="F85" s="22">
        <f>IF($A85="","",MONTH($A85))</f>
        <v>6</v>
      </c>
      <c r="G85" s="22" t="str">
        <f>IF($B85="","",IFERROR(INDEX(ContaComp,MATCH($B85,ContaNome,0)),"Conta inválida"))</f>
        <v>Variável</v>
      </c>
    </row>
    <row r="86" spans="1:7">
      <c r="A86" s="21">
        <v>46185</v>
      </c>
      <c r="B86" s="15" t="s">
        <v>53</v>
      </c>
      <c r="C86" s="15" t="s">
        <v>84</v>
      </c>
      <c r="D86" s="17">
        <v>29599.28</v>
      </c>
      <c r="E86" s="22">
        <f>IF($A86="","",YEAR($A86))</f>
        <v>2026</v>
      </c>
      <c r="F86" s="22">
        <f>IF($A86="","",MONTH($A86))</f>
        <v>6</v>
      </c>
      <c r="G86" s="22" t="str">
        <f>IF($B86="","",IFERROR(INDEX(ContaComp,MATCH($B86,ContaNome,0)),"Conta inválida"))</f>
        <v>Variável</v>
      </c>
    </row>
    <row r="87" spans="1:7">
      <c r="A87" s="21">
        <v>46197</v>
      </c>
      <c r="B87" s="15" t="s">
        <v>53</v>
      </c>
      <c r="C87" s="15" t="s">
        <v>85</v>
      </c>
      <c r="D87" s="17">
        <v>12685.4</v>
      </c>
      <c r="E87" s="22">
        <f>IF($A87="","",YEAR($A87))</f>
        <v>2026</v>
      </c>
      <c r="F87" s="22">
        <f>IF($A87="","",MONTH($A87))</f>
        <v>6</v>
      </c>
      <c r="G87" s="22" t="str">
        <f>IF($B87="","",IFERROR(INDEX(ContaComp,MATCH($B87,ContaNome,0)),"Conta inválida"))</f>
        <v>Variável</v>
      </c>
    </row>
    <row r="88" spans="1:7">
      <c r="A88" s="21">
        <v>46201</v>
      </c>
      <c r="B88" s="15" t="s">
        <v>55</v>
      </c>
      <c r="C88" s="15" t="s">
        <v>86</v>
      </c>
      <c r="D88" s="17">
        <v>3748.29</v>
      </c>
      <c r="E88" s="22">
        <f>IF($A88="","",YEAR($A88))</f>
        <v>2026</v>
      </c>
      <c r="F88" s="22">
        <f>IF($A88="","",MONTH($A88))</f>
        <v>6</v>
      </c>
      <c r="G88" s="22" t="str">
        <f>IF($B88="","",IFERROR(INDEX(ContaComp,MATCH($B88,ContaNome,0)),"Conta inválida"))</f>
        <v>Variável</v>
      </c>
    </row>
    <row r="89" spans="1:7">
      <c r="A89" s="21">
        <v>46178</v>
      </c>
      <c r="B89" s="15" t="s">
        <v>57</v>
      </c>
      <c r="C89" s="15" t="s">
        <v>87</v>
      </c>
      <c r="D89" s="17">
        <v>24800</v>
      </c>
      <c r="E89" s="22">
        <f>IF($A89="","",YEAR($A89))</f>
        <v>2026</v>
      </c>
      <c r="F89" s="22">
        <f>IF($A89="","",MONTH($A89))</f>
        <v>6</v>
      </c>
      <c r="G89" s="22" t="str">
        <f>IF($B89="","",IFERROR(INDEX(ContaComp,MATCH($B89,ContaNome,0)),"Conta inválida"))</f>
        <v>Fixo</v>
      </c>
    </row>
    <row r="90" spans="1:7">
      <c r="A90" s="21">
        <v>46179</v>
      </c>
      <c r="B90" s="15" t="s">
        <v>57</v>
      </c>
      <c r="C90" s="15" t="s">
        <v>88</v>
      </c>
      <c r="D90" s="17">
        <v>7000</v>
      </c>
      <c r="E90" s="22">
        <f>IF($A90="","",YEAR($A90))</f>
        <v>2026</v>
      </c>
      <c r="F90" s="22">
        <f>IF($A90="","",MONTH($A90))</f>
        <v>6</v>
      </c>
      <c r="G90" s="22" t="str">
        <f>IF($B90="","",IFERROR(INDEX(ContaComp,MATCH($B90,ContaNome,0)),"Conta inválida"))</f>
        <v>Fixo</v>
      </c>
    </row>
    <row r="91" spans="1:7">
      <c r="A91" s="21">
        <v>46183</v>
      </c>
      <c r="B91" s="15" t="s">
        <v>60</v>
      </c>
      <c r="C91" s="15" t="s">
        <v>89</v>
      </c>
      <c r="D91" s="17">
        <v>5200</v>
      </c>
      <c r="E91" s="22">
        <f>IF($A91="","",YEAR($A91))</f>
        <v>2026</v>
      </c>
      <c r="F91" s="22">
        <f>IF($A91="","",MONTH($A91))</f>
        <v>6</v>
      </c>
      <c r="G91" s="22" t="str">
        <f>IF($B91="","",IFERROR(INDEX(ContaComp,MATCH($B91,ContaNome,0)),"Conta inválida"))</f>
        <v>Fixo</v>
      </c>
    </row>
    <row r="92" spans="1:7">
      <c r="A92" s="21">
        <v>46188</v>
      </c>
      <c r="B92" s="15" t="s">
        <v>60</v>
      </c>
      <c r="C92" s="15" t="s">
        <v>90</v>
      </c>
      <c r="D92" s="17">
        <v>2337.11</v>
      </c>
      <c r="E92" s="22">
        <f>IF($A92="","",YEAR($A92))</f>
        <v>2026</v>
      </c>
      <c r="F92" s="22">
        <f>IF($A92="","",MONTH($A92))</f>
        <v>6</v>
      </c>
      <c r="G92" s="22" t="str">
        <f>IF($B92="","",IFERROR(INDEX(ContaComp,MATCH($B92,ContaNome,0)),"Conta inválida"))</f>
        <v>Fixo</v>
      </c>
    </row>
    <row r="93" spans="1:7">
      <c r="A93" s="21">
        <v>46193</v>
      </c>
      <c r="B93" s="15" t="s">
        <v>60</v>
      </c>
      <c r="C93" s="15" t="s">
        <v>91</v>
      </c>
      <c r="D93" s="17">
        <v>1400</v>
      </c>
      <c r="E93" s="22">
        <f>IF($A93="","",YEAR($A93))</f>
        <v>2026</v>
      </c>
      <c r="F93" s="22">
        <f>IF($A93="","",MONTH($A93))</f>
        <v>6</v>
      </c>
      <c r="G93" s="22" t="str">
        <f>IF($B93="","",IFERROR(INDEX(ContaComp,MATCH($B93,ContaNome,0)),"Conta inválida"))</f>
        <v>Fixo</v>
      </c>
    </row>
    <row r="94" spans="1:7">
      <c r="A94" s="21">
        <v>46181</v>
      </c>
      <c r="B94" s="15" t="s">
        <v>62</v>
      </c>
      <c r="C94" s="15" t="s">
        <v>92</v>
      </c>
      <c r="D94" s="17">
        <v>4547.74</v>
      </c>
      <c r="E94" s="22">
        <f>IF($A94="","",YEAR($A94))</f>
        <v>2026</v>
      </c>
      <c r="F94" s="22">
        <f>IF($A94="","",MONTH($A94))</f>
        <v>6</v>
      </c>
      <c r="G94" s="22" t="str">
        <f>IF($B94="","",IFERROR(INDEX(ContaComp,MATCH($B94,ContaNome,0)),"Conta inválida"))</f>
        <v>Fixo</v>
      </c>
    </row>
    <row r="95" spans="1:7">
      <c r="A95" s="21">
        <v>46201</v>
      </c>
      <c r="B95" s="15" t="s">
        <v>67</v>
      </c>
      <c r="C95" s="15" t="s">
        <v>93</v>
      </c>
      <c r="D95" s="17">
        <v>1494.81</v>
      </c>
      <c r="E95" s="22">
        <f>IF($A95="","",YEAR($A95))</f>
        <v>2026</v>
      </c>
      <c r="F95" s="22">
        <f>IF($A95="","",MONTH($A95))</f>
        <v>6</v>
      </c>
      <c r="G95" s="22" t="str">
        <f>IF($B95="","",IFERROR(INDEX(ContaComp,MATCH($B95,ContaNome,0)),"Conta inválida"))</f>
        <v>Fixo</v>
      </c>
    </row>
    <row r="96" spans="1:7">
      <c r="A96" s="21">
        <v>46201</v>
      </c>
      <c r="B96" s="15" t="s">
        <v>64</v>
      </c>
      <c r="C96" s="15" t="s">
        <v>94</v>
      </c>
      <c r="D96" s="17">
        <v>380</v>
      </c>
      <c r="E96" s="22">
        <f>IF($A96="","",YEAR($A96))</f>
        <v>2026</v>
      </c>
      <c r="F96" s="22">
        <f>IF($A96="","",MONTH($A96))</f>
        <v>6</v>
      </c>
      <c r="G96" s="22" t="str">
        <f>IF($B96="","",IFERROR(INDEX(ContaComp,MATCH($B96,ContaNome,0)),"Conta inválida"))</f>
        <v>Receita financeira</v>
      </c>
    </row>
    <row r="97" spans="1:7">
      <c r="A97" s="21">
        <v>46210</v>
      </c>
      <c r="B97" s="15" t="s">
        <v>47</v>
      </c>
      <c r="C97" s="15" t="s">
        <v>79</v>
      </c>
      <c r="D97" s="17">
        <v>42224.81</v>
      </c>
      <c r="E97" s="22">
        <f>IF($A97="","",YEAR($A97))</f>
        <v>2026</v>
      </c>
      <c r="F97" s="22">
        <f>IF($A97="","",MONTH($A97))</f>
        <v>7</v>
      </c>
      <c r="G97" s="22" t="str">
        <f>IF($B97="","",IFERROR(INDEX(ContaComp,MATCH($B97,ContaNome,0)),"Conta inválida"))</f>
        <v>Receita</v>
      </c>
    </row>
    <row r="98" spans="1:7">
      <c r="A98" s="21">
        <v>46217</v>
      </c>
      <c r="B98" s="15" t="s">
        <v>47</v>
      </c>
      <c r="C98" s="15" t="s">
        <v>80</v>
      </c>
      <c r="D98" s="17">
        <v>30001.84</v>
      </c>
      <c r="E98" s="22">
        <f>IF($A98="","",YEAR($A98))</f>
        <v>2026</v>
      </c>
      <c r="F98" s="22">
        <f>IF($A98="","",MONTH($A98))</f>
        <v>7</v>
      </c>
      <c r="G98" s="22" t="str">
        <f>IF($B98="","",IFERROR(INDEX(ContaComp,MATCH($B98,ContaNome,0)),"Conta inválida"))</f>
        <v>Receita</v>
      </c>
    </row>
    <row r="99" spans="1:7">
      <c r="A99" s="21">
        <v>46224</v>
      </c>
      <c r="B99" s="15" t="s">
        <v>47</v>
      </c>
      <c r="C99" s="15" t="s">
        <v>81</v>
      </c>
      <c r="D99" s="17">
        <v>24445.94</v>
      </c>
      <c r="E99" s="22">
        <f>IF($A99="","",YEAR($A99))</f>
        <v>2026</v>
      </c>
      <c r="F99" s="22">
        <f>IF($A99="","",MONTH($A99))</f>
        <v>7</v>
      </c>
      <c r="G99" s="22" t="str">
        <f>IF($B99="","",IFERROR(INDEX(ContaComp,MATCH($B99,ContaNome,0)),"Conta inválida"))</f>
        <v>Receita</v>
      </c>
    </row>
    <row r="100" spans="1:7">
      <c r="A100" s="21">
        <v>46231</v>
      </c>
      <c r="B100" s="15" t="s">
        <v>47</v>
      </c>
      <c r="C100" s="15" t="s">
        <v>82</v>
      </c>
      <c r="D100" s="17">
        <v>14445.33</v>
      </c>
      <c r="E100" s="22">
        <f>IF($A100="","",YEAR($A100))</f>
        <v>2026</v>
      </c>
      <c r="F100" s="22">
        <f>IF($A100="","",MONTH($A100))</f>
        <v>7</v>
      </c>
      <c r="G100" s="22" t="str">
        <f>IF($B100="","",IFERROR(INDEX(ContaComp,MATCH($B100,ContaNome,0)),"Conta inválida"))</f>
        <v>Receita</v>
      </c>
    </row>
    <row r="101" spans="1:7">
      <c r="A101" s="21">
        <v>46231</v>
      </c>
      <c r="B101" s="15" t="s">
        <v>50</v>
      </c>
      <c r="C101" s="15" t="s">
        <v>83</v>
      </c>
      <c r="D101" s="17">
        <v>8222.73</v>
      </c>
      <c r="E101" s="22">
        <f>IF($A101="","",YEAR($A101))</f>
        <v>2026</v>
      </c>
      <c r="F101" s="22">
        <f>IF($A101="","",MONTH($A101))</f>
        <v>7</v>
      </c>
      <c r="G101" s="22" t="str">
        <f>IF($B101="","",IFERROR(INDEX(ContaComp,MATCH($B101,ContaNome,0)),"Conta inválida"))</f>
        <v>Variável</v>
      </c>
    </row>
    <row r="102" spans="1:7">
      <c r="A102" s="21">
        <v>46215</v>
      </c>
      <c r="B102" s="15" t="s">
        <v>53</v>
      </c>
      <c r="C102" s="15" t="s">
        <v>84</v>
      </c>
      <c r="D102" s="17">
        <v>28451.15</v>
      </c>
      <c r="E102" s="22">
        <f>IF($A102="","",YEAR($A102))</f>
        <v>2026</v>
      </c>
      <c r="F102" s="22">
        <f>IF($A102="","",MONTH($A102))</f>
        <v>7</v>
      </c>
      <c r="G102" s="22" t="str">
        <f>IF($B102="","",IFERROR(INDEX(ContaComp,MATCH($B102,ContaNome,0)),"Conta inválida"))</f>
        <v>Variável</v>
      </c>
    </row>
    <row r="103" spans="1:7">
      <c r="A103" s="21">
        <v>46227</v>
      </c>
      <c r="B103" s="15" t="s">
        <v>53</v>
      </c>
      <c r="C103" s="15" t="s">
        <v>85</v>
      </c>
      <c r="D103" s="17">
        <v>12193.35</v>
      </c>
      <c r="E103" s="22">
        <f>IF($A103="","",YEAR($A103))</f>
        <v>2026</v>
      </c>
      <c r="F103" s="22">
        <f>IF($A103="","",MONTH($A103))</f>
        <v>7</v>
      </c>
      <c r="G103" s="22" t="str">
        <f>IF($B103="","",IFERROR(INDEX(ContaComp,MATCH($B103,ContaNome,0)),"Conta inválida"))</f>
        <v>Variável</v>
      </c>
    </row>
    <row r="104" spans="1:7">
      <c r="A104" s="21">
        <v>46231</v>
      </c>
      <c r="B104" s="15" t="s">
        <v>55</v>
      </c>
      <c r="C104" s="15" t="s">
        <v>86</v>
      </c>
      <c r="D104" s="17">
        <v>3666.89</v>
      </c>
      <c r="E104" s="22">
        <f>IF($A104="","",YEAR($A104))</f>
        <v>2026</v>
      </c>
      <c r="F104" s="22">
        <f>IF($A104="","",MONTH($A104))</f>
        <v>7</v>
      </c>
      <c r="G104" s="22" t="str">
        <f>IF($B104="","",IFERROR(INDEX(ContaComp,MATCH($B104,ContaNome,0)),"Conta inválida"))</f>
        <v>Variável</v>
      </c>
    </row>
    <row r="105" spans="1:7">
      <c r="A105" s="21">
        <v>46208</v>
      </c>
      <c r="B105" s="15" t="s">
        <v>57</v>
      </c>
      <c r="C105" s="15" t="s">
        <v>87</v>
      </c>
      <c r="D105" s="17">
        <v>24800</v>
      </c>
      <c r="E105" s="22">
        <f>IF($A105="","",YEAR($A105))</f>
        <v>2026</v>
      </c>
      <c r="F105" s="22">
        <f>IF($A105="","",MONTH($A105))</f>
        <v>7</v>
      </c>
      <c r="G105" s="22" t="str">
        <f>IF($B105="","",IFERROR(INDEX(ContaComp,MATCH($B105,ContaNome,0)),"Conta inválida"))</f>
        <v>Fixo</v>
      </c>
    </row>
    <row r="106" spans="1:7">
      <c r="A106" s="21">
        <v>46209</v>
      </c>
      <c r="B106" s="15" t="s">
        <v>57</v>
      </c>
      <c r="C106" s="15" t="s">
        <v>88</v>
      </c>
      <c r="D106" s="17">
        <v>7000</v>
      </c>
      <c r="E106" s="22">
        <f>IF($A106="","",YEAR($A106))</f>
        <v>2026</v>
      </c>
      <c r="F106" s="22">
        <f>IF($A106="","",MONTH($A106))</f>
        <v>7</v>
      </c>
      <c r="G106" s="22" t="str">
        <f>IF($B106="","",IFERROR(INDEX(ContaComp,MATCH($B106,ContaNome,0)),"Conta inválida"))</f>
        <v>Fixo</v>
      </c>
    </row>
    <row r="107" spans="1:7">
      <c r="A107" s="21">
        <v>46213</v>
      </c>
      <c r="B107" s="15" t="s">
        <v>60</v>
      </c>
      <c r="C107" s="15" t="s">
        <v>89</v>
      </c>
      <c r="D107" s="17">
        <v>5200</v>
      </c>
      <c r="E107" s="22">
        <f>IF($A107="","",YEAR($A107))</f>
        <v>2026</v>
      </c>
      <c r="F107" s="22">
        <f>IF($A107="","",MONTH($A107))</f>
        <v>7</v>
      </c>
      <c r="G107" s="22" t="str">
        <f>IF($B107="","",IFERROR(INDEX(ContaComp,MATCH($B107,ContaNome,0)),"Conta inválida"))</f>
        <v>Fixo</v>
      </c>
    </row>
    <row r="108" spans="1:7">
      <c r="A108" s="21">
        <v>46218</v>
      </c>
      <c r="B108" s="15" t="s">
        <v>60</v>
      </c>
      <c r="C108" s="15" t="s">
        <v>90</v>
      </c>
      <c r="D108" s="17">
        <v>2336.96</v>
      </c>
      <c r="E108" s="22">
        <f>IF($A108="","",YEAR($A108))</f>
        <v>2026</v>
      </c>
      <c r="F108" s="22">
        <f>IF($A108="","",MONTH($A108))</f>
        <v>7</v>
      </c>
      <c r="G108" s="22" t="str">
        <f>IF($B108="","",IFERROR(INDEX(ContaComp,MATCH($B108,ContaNome,0)),"Conta inválida"))</f>
        <v>Fixo</v>
      </c>
    </row>
    <row r="109" spans="1:7">
      <c r="A109" s="21">
        <v>46223</v>
      </c>
      <c r="B109" s="15" t="s">
        <v>60</v>
      </c>
      <c r="C109" s="15" t="s">
        <v>91</v>
      </c>
      <c r="D109" s="17">
        <v>1400</v>
      </c>
      <c r="E109" s="22">
        <f>IF($A109="","",YEAR($A109))</f>
        <v>2026</v>
      </c>
      <c r="F109" s="22">
        <f>IF($A109="","",MONTH($A109))</f>
        <v>7</v>
      </c>
      <c r="G109" s="22" t="str">
        <f>IF($B109="","",IFERROR(INDEX(ContaComp,MATCH($B109,ContaNome,0)),"Conta inválida"))</f>
        <v>Fixo</v>
      </c>
    </row>
    <row r="110" spans="1:7">
      <c r="A110" s="21">
        <v>46211</v>
      </c>
      <c r="B110" s="15" t="s">
        <v>62</v>
      </c>
      <c r="C110" s="15" t="s">
        <v>92</v>
      </c>
      <c r="D110" s="17">
        <v>3869.17</v>
      </c>
      <c r="E110" s="22">
        <f>IF($A110="","",YEAR($A110))</f>
        <v>2026</v>
      </c>
      <c r="F110" s="22">
        <f>IF($A110="","",MONTH($A110))</f>
        <v>7</v>
      </c>
      <c r="G110" s="22" t="str">
        <f>IF($B110="","",IFERROR(INDEX(ContaComp,MATCH($B110,ContaNome,0)),"Conta inválida"))</f>
        <v>Fixo</v>
      </c>
    </row>
    <row r="111" spans="1:7">
      <c r="A111" s="21">
        <v>46231</v>
      </c>
      <c r="B111" s="15" t="s">
        <v>67</v>
      </c>
      <c r="C111" s="15" t="s">
        <v>93</v>
      </c>
      <c r="D111" s="17">
        <v>1410.36</v>
      </c>
      <c r="E111" s="22">
        <f>IF($A111="","",YEAR($A111))</f>
        <v>2026</v>
      </c>
      <c r="F111" s="22">
        <f>IF($A111="","",MONTH($A111))</f>
        <v>7</v>
      </c>
      <c r="G111" s="22" t="str">
        <f>IF($B111="","",IFERROR(INDEX(ContaComp,MATCH($B111,ContaNome,0)),"Conta inválida"))</f>
        <v>Fixo</v>
      </c>
    </row>
    <row r="112" spans="1:7">
      <c r="A112" s="21">
        <v>46241</v>
      </c>
      <c r="B112" s="15" t="s">
        <v>47</v>
      </c>
      <c r="C112" s="15" t="s">
        <v>79</v>
      </c>
      <c r="D112" s="17">
        <v>46007.49</v>
      </c>
      <c r="E112" s="22">
        <f>IF($A112="","",YEAR($A112))</f>
        <v>2026</v>
      </c>
      <c r="F112" s="22">
        <f>IF($A112="","",MONTH($A112))</f>
        <v>8</v>
      </c>
      <c r="G112" s="22" t="str">
        <f>IF($B112="","",IFERROR(INDEX(ContaComp,MATCH($B112,ContaNome,0)),"Conta inválida"))</f>
        <v>Receita</v>
      </c>
    </row>
    <row r="113" spans="1:7">
      <c r="A113" s="21">
        <v>46248</v>
      </c>
      <c r="B113" s="15" t="s">
        <v>47</v>
      </c>
      <c r="C113" s="15" t="s">
        <v>80</v>
      </c>
      <c r="D113" s="17">
        <v>32689.53</v>
      </c>
      <c r="E113" s="22">
        <f>IF($A113="","",YEAR($A113))</f>
        <v>2026</v>
      </c>
      <c r="F113" s="22">
        <f>IF($A113="","",MONTH($A113))</f>
        <v>8</v>
      </c>
      <c r="G113" s="22" t="str">
        <f>IF($B113="","",IFERROR(INDEX(ContaComp,MATCH($B113,ContaNome,0)),"Conta inválida"))</f>
        <v>Receita</v>
      </c>
    </row>
    <row r="114" spans="1:7">
      <c r="A114" s="21">
        <v>46255</v>
      </c>
      <c r="B114" s="15" t="s">
        <v>47</v>
      </c>
      <c r="C114" s="15" t="s">
        <v>81</v>
      </c>
      <c r="D114" s="17">
        <v>26635.91</v>
      </c>
      <c r="E114" s="22">
        <f>IF($A114="","",YEAR($A114))</f>
        <v>2026</v>
      </c>
      <c r="F114" s="22">
        <f>IF($A114="","",MONTH($A114))</f>
        <v>8</v>
      </c>
      <c r="G114" s="22" t="str">
        <f>IF($B114="","",IFERROR(INDEX(ContaComp,MATCH($B114,ContaNome,0)),"Conta inválida"))</f>
        <v>Receita</v>
      </c>
    </row>
    <row r="115" spans="1:7">
      <c r="A115" s="21">
        <v>46262</v>
      </c>
      <c r="B115" s="15" t="s">
        <v>47</v>
      </c>
      <c r="C115" s="15" t="s">
        <v>82</v>
      </c>
      <c r="D115" s="17">
        <v>15739.4</v>
      </c>
      <c r="E115" s="22">
        <f>IF($A115="","",YEAR($A115))</f>
        <v>2026</v>
      </c>
      <c r="F115" s="22">
        <f>IF($A115="","",MONTH($A115))</f>
        <v>8</v>
      </c>
      <c r="G115" s="22" t="str">
        <f>IF($B115="","",IFERROR(INDEX(ContaComp,MATCH($B115,ContaNome,0)),"Conta inválida"))</f>
        <v>Receita</v>
      </c>
    </row>
    <row r="116" spans="1:7">
      <c r="A116" s="21">
        <v>46262</v>
      </c>
      <c r="B116" s="15" t="s">
        <v>50</v>
      </c>
      <c r="C116" s="15" t="s">
        <v>83</v>
      </c>
      <c r="D116" s="17">
        <v>8959.35</v>
      </c>
      <c r="E116" s="22">
        <f>IF($A116="","",YEAR($A116))</f>
        <v>2026</v>
      </c>
      <c r="F116" s="22">
        <f>IF($A116="","",MONTH($A116))</f>
        <v>8</v>
      </c>
      <c r="G116" s="22" t="str">
        <f>IF($B116="","",IFERROR(INDEX(ContaComp,MATCH($B116,ContaNome,0)),"Conta inválida"))</f>
        <v>Variável</v>
      </c>
    </row>
    <row r="117" spans="1:7">
      <c r="A117" s="21">
        <v>46246</v>
      </c>
      <c r="B117" s="15" t="s">
        <v>53</v>
      </c>
      <c r="C117" s="15" t="s">
        <v>84</v>
      </c>
      <c r="D117" s="17">
        <v>30912.31</v>
      </c>
      <c r="E117" s="22">
        <f>IF($A117="","",YEAR($A117))</f>
        <v>2026</v>
      </c>
      <c r="F117" s="22">
        <f>IF($A117="","",MONTH($A117))</f>
        <v>8</v>
      </c>
      <c r="G117" s="22" t="str">
        <f>IF($B117="","",IFERROR(INDEX(ContaComp,MATCH($B117,ContaNome,0)),"Conta inválida"))</f>
        <v>Variável</v>
      </c>
    </row>
    <row r="118" spans="1:7">
      <c r="A118" s="21">
        <v>46258</v>
      </c>
      <c r="B118" s="15" t="s">
        <v>53</v>
      </c>
      <c r="C118" s="15" t="s">
        <v>85</v>
      </c>
      <c r="D118" s="17">
        <v>13248.13</v>
      </c>
      <c r="E118" s="22">
        <f>IF($A118="","",YEAR($A118))</f>
        <v>2026</v>
      </c>
      <c r="F118" s="22">
        <f>IF($A118="","",MONTH($A118))</f>
        <v>8</v>
      </c>
      <c r="G118" s="22" t="str">
        <f>IF($B118="","",IFERROR(INDEX(ContaComp,MATCH($B118,ContaNome,0)),"Conta inválida"))</f>
        <v>Variável</v>
      </c>
    </row>
    <row r="119" spans="1:7">
      <c r="A119" s="21">
        <v>46262</v>
      </c>
      <c r="B119" s="15" t="s">
        <v>55</v>
      </c>
      <c r="C119" s="15" t="s">
        <v>86</v>
      </c>
      <c r="D119" s="17">
        <v>3995.39</v>
      </c>
      <c r="E119" s="22">
        <f>IF($A119="","",YEAR($A119))</f>
        <v>2026</v>
      </c>
      <c r="F119" s="22">
        <f>IF($A119="","",MONTH($A119))</f>
        <v>8</v>
      </c>
      <c r="G119" s="22" t="str">
        <f>IF($B119="","",IFERROR(INDEX(ContaComp,MATCH($B119,ContaNome,0)),"Conta inválida"))</f>
        <v>Variável</v>
      </c>
    </row>
    <row r="120" spans="1:7">
      <c r="A120" s="21">
        <v>46239</v>
      </c>
      <c r="B120" s="15" t="s">
        <v>57</v>
      </c>
      <c r="C120" s="15" t="s">
        <v>87</v>
      </c>
      <c r="D120" s="17">
        <v>24800</v>
      </c>
      <c r="E120" s="22">
        <f>IF($A120="","",YEAR($A120))</f>
        <v>2026</v>
      </c>
      <c r="F120" s="22">
        <f>IF($A120="","",MONTH($A120))</f>
        <v>8</v>
      </c>
      <c r="G120" s="22" t="str">
        <f>IF($B120="","",IFERROR(INDEX(ContaComp,MATCH($B120,ContaNome,0)),"Conta inválida"))</f>
        <v>Fixo</v>
      </c>
    </row>
    <row r="121" spans="1:7">
      <c r="A121" s="21">
        <v>46240</v>
      </c>
      <c r="B121" s="15" t="s">
        <v>57</v>
      </c>
      <c r="C121" s="15" t="s">
        <v>88</v>
      </c>
      <c r="D121" s="17">
        <v>7000</v>
      </c>
      <c r="E121" s="22">
        <f>IF($A121="","",YEAR($A121))</f>
        <v>2026</v>
      </c>
      <c r="F121" s="22">
        <f>IF($A121="","",MONTH($A121))</f>
        <v>8</v>
      </c>
      <c r="G121" s="22" t="str">
        <f>IF($B121="","",IFERROR(INDEX(ContaComp,MATCH($B121,ContaNome,0)),"Conta inválida"))</f>
        <v>Fixo</v>
      </c>
    </row>
    <row r="122" spans="1:7">
      <c r="A122" s="21">
        <v>46244</v>
      </c>
      <c r="B122" s="15" t="s">
        <v>60</v>
      </c>
      <c r="C122" s="15" t="s">
        <v>89</v>
      </c>
      <c r="D122" s="17">
        <v>5200</v>
      </c>
      <c r="E122" s="22">
        <f>IF($A122="","",YEAR($A122))</f>
        <v>2026</v>
      </c>
      <c r="F122" s="22">
        <f>IF($A122="","",MONTH($A122))</f>
        <v>8</v>
      </c>
      <c r="G122" s="22" t="str">
        <f>IF($B122="","",IFERROR(INDEX(ContaComp,MATCH($B122,ContaNome,0)),"Conta inválida"))</f>
        <v>Fixo</v>
      </c>
    </row>
    <row r="123" spans="1:7">
      <c r="A123" s="21">
        <v>46249</v>
      </c>
      <c r="B123" s="15" t="s">
        <v>60</v>
      </c>
      <c r="C123" s="15" t="s">
        <v>90</v>
      </c>
      <c r="D123" s="17">
        <v>2780.54</v>
      </c>
      <c r="E123" s="22">
        <f>IF($A123="","",YEAR($A123))</f>
        <v>2026</v>
      </c>
      <c r="F123" s="22">
        <f>IF($A123="","",MONTH($A123))</f>
        <v>8</v>
      </c>
      <c r="G123" s="22" t="str">
        <f>IF($B123="","",IFERROR(INDEX(ContaComp,MATCH($B123,ContaNome,0)),"Conta inválida"))</f>
        <v>Fixo</v>
      </c>
    </row>
    <row r="124" spans="1:7">
      <c r="A124" s="21">
        <v>46254</v>
      </c>
      <c r="B124" s="15" t="s">
        <v>60</v>
      </c>
      <c r="C124" s="15" t="s">
        <v>91</v>
      </c>
      <c r="D124" s="17">
        <v>1400</v>
      </c>
      <c r="E124" s="22">
        <f>IF($A124="","",YEAR($A124))</f>
        <v>2026</v>
      </c>
      <c r="F124" s="22">
        <f>IF($A124="","",MONTH($A124))</f>
        <v>8</v>
      </c>
      <c r="G124" s="22" t="str">
        <f>IF($B124="","",IFERROR(INDEX(ContaComp,MATCH($B124,ContaNome,0)),"Conta inválida"))</f>
        <v>Fixo</v>
      </c>
    </row>
    <row r="125" spans="1:7">
      <c r="A125" s="21">
        <v>46242</v>
      </c>
      <c r="B125" s="15" t="s">
        <v>62</v>
      </c>
      <c r="C125" s="15" t="s">
        <v>92</v>
      </c>
      <c r="D125" s="17">
        <v>4497.63</v>
      </c>
      <c r="E125" s="22">
        <f>IF($A125="","",YEAR($A125))</f>
        <v>2026</v>
      </c>
      <c r="F125" s="22">
        <f>IF($A125="","",MONTH($A125))</f>
        <v>8</v>
      </c>
      <c r="G125" s="22" t="str">
        <f>IF($B125="","",IFERROR(INDEX(ContaComp,MATCH($B125,ContaNome,0)),"Conta inválida"))</f>
        <v>Fixo</v>
      </c>
    </row>
    <row r="126" spans="1:7">
      <c r="A126" s="21">
        <v>46262</v>
      </c>
      <c r="B126" s="15" t="s">
        <v>67</v>
      </c>
      <c r="C126" s="15" t="s">
        <v>93</v>
      </c>
      <c r="D126" s="17">
        <v>1226.83</v>
      </c>
      <c r="E126" s="22">
        <f>IF($A126="","",YEAR($A126))</f>
        <v>2026</v>
      </c>
      <c r="F126" s="22">
        <f>IF($A126="","",MONTH($A126))</f>
        <v>8</v>
      </c>
      <c r="G126" s="22" t="str">
        <f>IF($B126="","",IFERROR(INDEX(ContaComp,MATCH($B126,ContaNome,0)),"Conta inválida"))</f>
        <v>Fixo</v>
      </c>
    </row>
    <row r="127" spans="1:7">
      <c r="A127" s="21">
        <v>46272</v>
      </c>
      <c r="B127" s="15" t="s">
        <v>47</v>
      </c>
      <c r="C127" s="15" t="s">
        <v>79</v>
      </c>
      <c r="D127" s="17">
        <v>47160.91</v>
      </c>
      <c r="E127" s="22">
        <f>IF($A127="","",YEAR($A127))</f>
        <v>2026</v>
      </c>
      <c r="F127" s="22">
        <f>IF($A127="","",MONTH($A127))</f>
        <v>9</v>
      </c>
      <c r="G127" s="22" t="str">
        <f>IF($B127="","",IFERROR(INDEX(ContaComp,MATCH($B127,ContaNome,0)),"Conta inválida"))</f>
        <v>Receita</v>
      </c>
    </row>
    <row r="128" spans="1:7">
      <c r="A128" s="21">
        <v>46279</v>
      </c>
      <c r="B128" s="15" t="s">
        <v>47</v>
      </c>
      <c r="C128" s="15" t="s">
        <v>80</v>
      </c>
      <c r="D128" s="17">
        <v>33509.07</v>
      </c>
      <c r="E128" s="22">
        <f>IF($A128="","",YEAR($A128))</f>
        <v>2026</v>
      </c>
      <c r="F128" s="22">
        <f>IF($A128="","",MONTH($A128))</f>
        <v>9</v>
      </c>
      <c r="G128" s="22" t="str">
        <f>IF($B128="","",IFERROR(INDEX(ContaComp,MATCH($B128,ContaNome,0)),"Conta inválida"))</f>
        <v>Receita</v>
      </c>
    </row>
    <row r="129" spans="1:7">
      <c r="A129" s="21">
        <v>46286</v>
      </c>
      <c r="B129" s="15" t="s">
        <v>47</v>
      </c>
      <c r="C129" s="15" t="s">
        <v>81</v>
      </c>
      <c r="D129" s="17">
        <v>27303.68</v>
      </c>
      <c r="E129" s="22">
        <f>IF($A129="","",YEAR($A129))</f>
        <v>2026</v>
      </c>
      <c r="F129" s="22">
        <f>IF($A129="","",MONTH($A129))</f>
        <v>9</v>
      </c>
      <c r="G129" s="22" t="str">
        <f>IF($B129="","",IFERROR(INDEX(ContaComp,MATCH($B129,ContaNome,0)),"Conta inválida"))</f>
        <v>Receita</v>
      </c>
    </row>
    <row r="130" spans="1:7">
      <c r="A130" s="21">
        <v>46293</v>
      </c>
      <c r="B130" s="15" t="s">
        <v>47</v>
      </c>
      <c r="C130" s="15" t="s">
        <v>82</v>
      </c>
      <c r="D130" s="17">
        <v>16133.99</v>
      </c>
      <c r="E130" s="22">
        <f>IF($A130="","",YEAR($A130))</f>
        <v>2026</v>
      </c>
      <c r="F130" s="22">
        <f>IF($A130="","",MONTH($A130))</f>
        <v>9</v>
      </c>
      <c r="G130" s="22" t="str">
        <f>IF($B130="","",IFERROR(INDEX(ContaComp,MATCH($B130,ContaNome,0)),"Conta inválida"))</f>
        <v>Receita</v>
      </c>
    </row>
    <row r="131" spans="1:7">
      <c r="A131" s="21">
        <v>46293</v>
      </c>
      <c r="B131" s="15" t="s">
        <v>50</v>
      </c>
      <c r="C131" s="15" t="s">
        <v>83</v>
      </c>
      <c r="D131" s="17">
        <v>9183.969999999999</v>
      </c>
      <c r="E131" s="22">
        <f>IF($A131="","",YEAR($A131))</f>
        <v>2026</v>
      </c>
      <c r="F131" s="22">
        <f>IF($A131="","",MONTH($A131))</f>
        <v>9</v>
      </c>
      <c r="G131" s="22" t="str">
        <f>IF($B131="","",IFERROR(INDEX(ContaComp,MATCH($B131,ContaNome,0)),"Conta inválida"))</f>
        <v>Variável</v>
      </c>
    </row>
    <row r="132" spans="1:7">
      <c r="A132" s="21">
        <v>46277</v>
      </c>
      <c r="B132" s="15" t="s">
        <v>53</v>
      </c>
      <c r="C132" s="15" t="s">
        <v>84</v>
      </c>
      <c r="D132" s="17">
        <v>33353.72</v>
      </c>
      <c r="E132" s="22">
        <f>IF($A132="","",YEAR($A132))</f>
        <v>2026</v>
      </c>
      <c r="F132" s="22">
        <f>IF($A132="","",MONTH($A132))</f>
        <v>9</v>
      </c>
      <c r="G132" s="22" t="str">
        <f>IF($B132="","",IFERROR(INDEX(ContaComp,MATCH($B132,ContaNome,0)),"Conta inválida"))</f>
        <v>Variável</v>
      </c>
    </row>
    <row r="133" spans="1:7">
      <c r="A133" s="21">
        <v>46289</v>
      </c>
      <c r="B133" s="15" t="s">
        <v>53</v>
      </c>
      <c r="C133" s="15" t="s">
        <v>85</v>
      </c>
      <c r="D133" s="17">
        <v>14294.45</v>
      </c>
      <c r="E133" s="22">
        <f>IF($A133="","",YEAR($A133))</f>
        <v>2026</v>
      </c>
      <c r="F133" s="22">
        <f>IF($A133="","",MONTH($A133))</f>
        <v>9</v>
      </c>
      <c r="G133" s="22" t="str">
        <f>IF($B133="","",IFERROR(INDEX(ContaComp,MATCH($B133,ContaNome,0)),"Conta inválida"))</f>
        <v>Variável</v>
      </c>
    </row>
    <row r="134" spans="1:7">
      <c r="A134" s="21">
        <v>46293</v>
      </c>
      <c r="B134" s="15" t="s">
        <v>55</v>
      </c>
      <c r="C134" s="15" t="s">
        <v>86</v>
      </c>
      <c r="D134" s="17">
        <v>4095.55</v>
      </c>
      <c r="E134" s="22">
        <f>IF($A134="","",YEAR($A134))</f>
        <v>2026</v>
      </c>
      <c r="F134" s="22">
        <f>IF($A134="","",MONTH($A134))</f>
        <v>9</v>
      </c>
      <c r="G134" s="22" t="str">
        <f>IF($B134="","",IFERROR(INDEX(ContaComp,MATCH($B134,ContaNome,0)),"Conta inválida"))</f>
        <v>Variável</v>
      </c>
    </row>
    <row r="135" spans="1:7">
      <c r="A135" s="21">
        <v>46270</v>
      </c>
      <c r="B135" s="15" t="s">
        <v>57</v>
      </c>
      <c r="C135" s="15" t="s">
        <v>87</v>
      </c>
      <c r="D135" s="17">
        <v>24800</v>
      </c>
      <c r="E135" s="22">
        <f>IF($A135="","",YEAR($A135))</f>
        <v>2026</v>
      </c>
      <c r="F135" s="22">
        <f>IF($A135="","",MONTH($A135))</f>
        <v>9</v>
      </c>
      <c r="G135" s="22" t="str">
        <f>IF($B135="","",IFERROR(INDEX(ContaComp,MATCH($B135,ContaNome,0)),"Conta inválida"))</f>
        <v>Fixo</v>
      </c>
    </row>
    <row r="136" spans="1:7">
      <c r="A136" s="21">
        <v>46271</v>
      </c>
      <c r="B136" s="15" t="s">
        <v>57</v>
      </c>
      <c r="C136" s="15" t="s">
        <v>88</v>
      </c>
      <c r="D136" s="17">
        <v>7000</v>
      </c>
      <c r="E136" s="22">
        <f>IF($A136="","",YEAR($A136))</f>
        <v>2026</v>
      </c>
      <c r="F136" s="22">
        <f>IF($A136="","",MONTH($A136))</f>
        <v>9</v>
      </c>
      <c r="G136" s="22" t="str">
        <f>IF($B136="","",IFERROR(INDEX(ContaComp,MATCH($B136,ContaNome,0)),"Conta inválida"))</f>
        <v>Fixo</v>
      </c>
    </row>
    <row r="137" spans="1:7">
      <c r="A137" s="21">
        <v>46275</v>
      </c>
      <c r="B137" s="15" t="s">
        <v>60</v>
      </c>
      <c r="C137" s="15" t="s">
        <v>89</v>
      </c>
      <c r="D137" s="17">
        <v>5200</v>
      </c>
      <c r="E137" s="22">
        <f>IF($A137="","",YEAR($A137))</f>
        <v>2026</v>
      </c>
      <c r="F137" s="22">
        <f>IF($A137="","",MONTH($A137))</f>
        <v>9</v>
      </c>
      <c r="G137" s="22" t="str">
        <f>IF($B137="","",IFERROR(INDEX(ContaComp,MATCH($B137,ContaNome,0)),"Conta inválida"))</f>
        <v>Fixo</v>
      </c>
    </row>
    <row r="138" spans="1:7">
      <c r="A138" s="21">
        <v>46280</v>
      </c>
      <c r="B138" s="15" t="s">
        <v>60</v>
      </c>
      <c r="C138" s="15" t="s">
        <v>90</v>
      </c>
      <c r="D138" s="17">
        <v>2613.33</v>
      </c>
      <c r="E138" s="22">
        <f>IF($A138="","",YEAR($A138))</f>
        <v>2026</v>
      </c>
      <c r="F138" s="22">
        <f>IF($A138="","",MONTH($A138))</f>
        <v>9</v>
      </c>
      <c r="G138" s="22" t="str">
        <f>IF($B138="","",IFERROR(INDEX(ContaComp,MATCH($B138,ContaNome,0)),"Conta inválida"))</f>
        <v>Fixo</v>
      </c>
    </row>
    <row r="139" spans="1:7">
      <c r="A139" s="21">
        <v>46285</v>
      </c>
      <c r="B139" s="15" t="s">
        <v>60</v>
      </c>
      <c r="C139" s="15" t="s">
        <v>91</v>
      </c>
      <c r="D139" s="17">
        <v>1400</v>
      </c>
      <c r="E139" s="22">
        <f>IF($A139="","",YEAR($A139))</f>
        <v>2026</v>
      </c>
      <c r="F139" s="22">
        <f>IF($A139="","",MONTH($A139))</f>
        <v>9</v>
      </c>
      <c r="G139" s="22" t="str">
        <f>IF($B139="","",IFERROR(INDEX(ContaComp,MATCH($B139,ContaNome,0)),"Conta inválida"))</f>
        <v>Fixo</v>
      </c>
    </row>
    <row r="140" spans="1:7">
      <c r="A140" s="21">
        <v>46273</v>
      </c>
      <c r="B140" s="15" t="s">
        <v>62</v>
      </c>
      <c r="C140" s="15" t="s">
        <v>92</v>
      </c>
      <c r="D140" s="17">
        <v>4646.83</v>
      </c>
      <c r="E140" s="22">
        <f>IF($A140="","",YEAR($A140))</f>
        <v>2026</v>
      </c>
      <c r="F140" s="22">
        <f>IF($A140="","",MONTH($A140))</f>
        <v>9</v>
      </c>
      <c r="G140" s="22" t="str">
        <f>IF($B140="","",IFERROR(INDEX(ContaComp,MATCH($B140,ContaNome,0)),"Conta inválida"))</f>
        <v>Fixo</v>
      </c>
    </row>
    <row r="141" spans="1:7">
      <c r="A141" s="21">
        <v>46293</v>
      </c>
      <c r="B141" s="15" t="s">
        <v>67</v>
      </c>
      <c r="C141" s="15" t="s">
        <v>93</v>
      </c>
      <c r="D141" s="17">
        <v>1300.81</v>
      </c>
      <c r="E141" s="22">
        <f>IF($A141="","",YEAR($A141))</f>
        <v>2026</v>
      </c>
      <c r="F141" s="22">
        <f>IF($A141="","",MONTH($A141))</f>
        <v>9</v>
      </c>
      <c r="G141" s="22" t="str">
        <f>IF($B141="","",IFERROR(INDEX(ContaComp,MATCH($B141,ContaNome,0)),"Conta inválida"))</f>
        <v>Fixo</v>
      </c>
    </row>
    <row r="142" spans="1:7">
      <c r="A142" s="21">
        <v>46293</v>
      </c>
      <c r="B142" s="15" t="s">
        <v>64</v>
      </c>
      <c r="C142" s="15" t="s">
        <v>94</v>
      </c>
      <c r="D142" s="17">
        <v>304.62</v>
      </c>
      <c r="E142" s="22">
        <f>IF($A142="","",YEAR($A142))</f>
        <v>2026</v>
      </c>
      <c r="F142" s="22">
        <f>IF($A142="","",MONTH($A142))</f>
        <v>9</v>
      </c>
      <c r="G142" s="22" t="str">
        <f>IF($B142="","",IFERROR(INDEX(ContaComp,MATCH($B142,ContaNome,0)),"Conta inválida"))</f>
        <v>Receita financeira</v>
      </c>
    </row>
    <row r="143" spans="1:7">
      <c r="A143" s="21"/>
      <c r="B143" s="15"/>
      <c r="C143" s="15"/>
      <c r="D143" s="17"/>
      <c r="E143" s="22">
        <f>IF($A143="","",YEAR($A143))</f>
        <v/>
      </c>
      <c r="F143" s="22">
        <f>IF($A143="","",MONTH($A143))</f>
        <v/>
      </c>
      <c r="G143" s="22">
        <f>IF($B143="","",IFERROR(INDEX(ContaComp,MATCH($B143,ContaNome,0)),"Conta inválida"))</f>
        <v/>
      </c>
    </row>
    <row r="144" spans="1:7">
      <c r="A144" s="21"/>
      <c r="B144" s="15"/>
      <c r="C144" s="15"/>
      <c r="D144" s="17"/>
      <c r="E144" s="22">
        <f>IF($A144="","",YEAR($A144))</f>
        <v/>
      </c>
      <c r="F144" s="22">
        <f>IF($A144="","",MONTH($A144))</f>
        <v/>
      </c>
      <c r="G144" s="22">
        <f>IF($B144="","",IFERROR(INDEX(ContaComp,MATCH($B144,ContaNome,0)),"Conta inválida"))</f>
        <v/>
      </c>
    </row>
    <row r="145" spans="1:7">
      <c r="A145" s="21"/>
      <c r="B145" s="15"/>
      <c r="C145" s="15"/>
      <c r="D145" s="17"/>
      <c r="E145" s="22">
        <f>IF($A145="","",YEAR($A145))</f>
        <v/>
      </c>
      <c r="F145" s="22">
        <f>IF($A145="","",MONTH($A145))</f>
        <v/>
      </c>
      <c r="G145" s="22">
        <f>IF($B145="","",IFERROR(INDEX(ContaComp,MATCH($B145,ContaNome,0)),"Conta inválida"))</f>
        <v/>
      </c>
    </row>
    <row r="146" spans="1:7">
      <c r="A146" s="21"/>
      <c r="B146" s="15"/>
      <c r="C146" s="15"/>
      <c r="D146" s="17"/>
      <c r="E146" s="22">
        <f>IF($A146="","",YEAR($A146))</f>
        <v/>
      </c>
      <c r="F146" s="22">
        <f>IF($A146="","",MONTH($A146))</f>
        <v/>
      </c>
      <c r="G146" s="22">
        <f>IF($B146="","",IFERROR(INDEX(ContaComp,MATCH($B146,ContaNome,0)),"Conta inválida"))</f>
        <v/>
      </c>
    </row>
    <row r="147" spans="1:7">
      <c r="A147" s="21"/>
      <c r="B147" s="15"/>
      <c r="C147" s="15"/>
      <c r="D147" s="17"/>
      <c r="E147" s="22">
        <f>IF($A147="","",YEAR($A147))</f>
        <v/>
      </c>
      <c r="F147" s="22">
        <f>IF($A147="","",MONTH($A147))</f>
        <v/>
      </c>
      <c r="G147" s="22">
        <f>IF($B147="","",IFERROR(INDEX(ContaComp,MATCH($B147,ContaNome,0)),"Conta inválida"))</f>
        <v/>
      </c>
    </row>
    <row r="148" spans="1:7">
      <c r="A148" s="21"/>
      <c r="B148" s="15"/>
      <c r="C148" s="15"/>
      <c r="D148" s="17"/>
      <c r="E148" s="22">
        <f>IF($A148="","",YEAR($A148))</f>
        <v/>
      </c>
      <c r="F148" s="22">
        <f>IF($A148="","",MONTH($A148))</f>
        <v/>
      </c>
      <c r="G148" s="22">
        <f>IF($B148="","",IFERROR(INDEX(ContaComp,MATCH($B148,ContaNome,0)),"Conta inválida"))</f>
        <v/>
      </c>
    </row>
    <row r="149" spans="1:7">
      <c r="A149" s="21"/>
      <c r="B149" s="15"/>
      <c r="C149" s="15"/>
      <c r="D149" s="17"/>
      <c r="E149" s="22">
        <f>IF($A149="","",YEAR($A149))</f>
        <v/>
      </c>
      <c r="F149" s="22">
        <f>IF($A149="","",MONTH($A149))</f>
        <v/>
      </c>
      <c r="G149" s="22">
        <f>IF($B149="","",IFERROR(INDEX(ContaComp,MATCH($B149,ContaNome,0)),"Conta inválida"))</f>
        <v/>
      </c>
    </row>
    <row r="150" spans="1:7">
      <c r="A150" s="21"/>
      <c r="B150" s="15"/>
      <c r="C150" s="15"/>
      <c r="D150" s="17"/>
      <c r="E150" s="22">
        <f>IF($A150="","",YEAR($A150))</f>
        <v/>
      </c>
      <c r="F150" s="22">
        <f>IF($A150="","",MONTH($A150))</f>
        <v/>
      </c>
      <c r="G150" s="22">
        <f>IF($B150="","",IFERROR(INDEX(ContaComp,MATCH($B150,ContaNome,0)),"Conta inválida"))</f>
        <v/>
      </c>
    </row>
    <row r="151" spans="1:7">
      <c r="A151" s="21"/>
      <c r="B151" s="15"/>
      <c r="C151" s="15"/>
      <c r="D151" s="17"/>
      <c r="E151" s="22">
        <f>IF($A151="","",YEAR($A151))</f>
        <v/>
      </c>
      <c r="F151" s="22">
        <f>IF($A151="","",MONTH($A151))</f>
        <v/>
      </c>
      <c r="G151" s="22">
        <f>IF($B151="","",IFERROR(INDEX(ContaComp,MATCH($B151,ContaNome,0)),"Conta inválida"))</f>
        <v/>
      </c>
    </row>
    <row r="152" spans="1:7">
      <c r="A152" s="21"/>
      <c r="B152" s="15"/>
      <c r="C152" s="15"/>
      <c r="D152" s="17"/>
      <c r="E152" s="22">
        <f>IF($A152="","",YEAR($A152))</f>
        <v/>
      </c>
      <c r="F152" s="22">
        <f>IF($A152="","",MONTH($A152))</f>
        <v/>
      </c>
      <c r="G152" s="22">
        <f>IF($B152="","",IFERROR(INDEX(ContaComp,MATCH($B152,ContaNome,0)),"Conta inválida"))</f>
        <v/>
      </c>
    </row>
    <row r="153" spans="1:7">
      <c r="A153" s="21"/>
      <c r="B153" s="15"/>
      <c r="C153" s="15"/>
      <c r="D153" s="17"/>
      <c r="E153" s="22">
        <f>IF($A153="","",YEAR($A153))</f>
        <v/>
      </c>
      <c r="F153" s="22">
        <f>IF($A153="","",MONTH($A153))</f>
        <v/>
      </c>
      <c r="G153" s="22">
        <f>IF($B153="","",IFERROR(INDEX(ContaComp,MATCH($B153,ContaNome,0)),"Conta inválida"))</f>
        <v/>
      </c>
    </row>
    <row r="154" spans="1:7">
      <c r="A154" s="21"/>
      <c r="B154" s="15"/>
      <c r="C154" s="15"/>
      <c r="D154" s="17"/>
      <c r="E154" s="22">
        <f>IF($A154="","",YEAR($A154))</f>
        <v/>
      </c>
      <c r="F154" s="22">
        <f>IF($A154="","",MONTH($A154))</f>
        <v/>
      </c>
      <c r="G154" s="22">
        <f>IF($B154="","",IFERROR(INDEX(ContaComp,MATCH($B154,ContaNome,0)),"Conta inválida"))</f>
        <v/>
      </c>
    </row>
    <row r="155" spans="1:7">
      <c r="A155" s="21"/>
      <c r="B155" s="15"/>
      <c r="C155" s="15"/>
      <c r="D155" s="17"/>
      <c r="E155" s="22">
        <f>IF($A155="","",YEAR($A155))</f>
        <v/>
      </c>
      <c r="F155" s="22">
        <f>IF($A155="","",MONTH($A155))</f>
        <v/>
      </c>
      <c r="G155" s="22">
        <f>IF($B155="","",IFERROR(INDEX(ContaComp,MATCH($B155,ContaNome,0)),"Conta inválida"))</f>
        <v/>
      </c>
    </row>
    <row r="156" spans="1:7">
      <c r="A156" s="21"/>
      <c r="B156" s="15"/>
      <c r="C156" s="15"/>
      <c r="D156" s="17"/>
      <c r="E156" s="22">
        <f>IF($A156="","",YEAR($A156))</f>
        <v/>
      </c>
      <c r="F156" s="22">
        <f>IF($A156="","",MONTH($A156))</f>
        <v/>
      </c>
      <c r="G156" s="22">
        <f>IF($B156="","",IFERROR(INDEX(ContaComp,MATCH($B156,ContaNome,0)),"Conta inválida"))</f>
        <v/>
      </c>
    </row>
    <row r="157" spans="1:7">
      <c r="A157" s="21"/>
      <c r="B157" s="15"/>
      <c r="C157" s="15"/>
      <c r="D157" s="17"/>
      <c r="E157" s="22">
        <f>IF($A157="","",YEAR($A157))</f>
        <v/>
      </c>
      <c r="F157" s="22">
        <f>IF($A157="","",MONTH($A157))</f>
        <v/>
      </c>
      <c r="G157" s="22">
        <f>IF($B157="","",IFERROR(INDEX(ContaComp,MATCH($B157,ContaNome,0)),"Conta inválida"))</f>
        <v/>
      </c>
    </row>
    <row r="158" spans="1:7">
      <c r="A158" s="21"/>
      <c r="B158" s="15"/>
      <c r="C158" s="15"/>
      <c r="D158" s="17"/>
      <c r="E158" s="22">
        <f>IF($A158="","",YEAR($A158))</f>
        <v/>
      </c>
      <c r="F158" s="22">
        <f>IF($A158="","",MONTH($A158))</f>
        <v/>
      </c>
      <c r="G158" s="22">
        <f>IF($B158="","",IFERROR(INDEX(ContaComp,MATCH($B158,ContaNome,0)),"Conta inválida"))</f>
        <v/>
      </c>
    </row>
    <row r="159" spans="1:7">
      <c r="A159" s="21"/>
      <c r="B159" s="15"/>
      <c r="C159" s="15"/>
      <c r="D159" s="17"/>
      <c r="E159" s="22">
        <f>IF($A159="","",YEAR($A159))</f>
        <v/>
      </c>
      <c r="F159" s="22">
        <f>IF($A159="","",MONTH($A159))</f>
        <v/>
      </c>
      <c r="G159" s="22">
        <f>IF($B159="","",IFERROR(INDEX(ContaComp,MATCH($B159,ContaNome,0)),"Conta inválida"))</f>
        <v/>
      </c>
    </row>
    <row r="160" spans="1:7">
      <c r="A160" s="21"/>
      <c r="B160" s="15"/>
      <c r="C160" s="15"/>
      <c r="D160" s="17"/>
      <c r="E160" s="22">
        <f>IF($A160="","",YEAR($A160))</f>
        <v/>
      </c>
      <c r="F160" s="22">
        <f>IF($A160="","",MONTH($A160))</f>
        <v/>
      </c>
      <c r="G160" s="22">
        <f>IF($B160="","",IFERROR(INDEX(ContaComp,MATCH($B160,ContaNome,0)),"Conta inválida"))</f>
        <v/>
      </c>
    </row>
    <row r="161" spans="1:7">
      <c r="A161" s="21"/>
      <c r="B161" s="15"/>
      <c r="C161" s="15"/>
      <c r="D161" s="17"/>
      <c r="E161" s="22">
        <f>IF($A161="","",YEAR($A161))</f>
        <v/>
      </c>
      <c r="F161" s="22">
        <f>IF($A161="","",MONTH($A161))</f>
        <v/>
      </c>
      <c r="G161" s="22">
        <f>IF($B161="","",IFERROR(INDEX(ContaComp,MATCH($B161,ContaNome,0)),"Conta inválida"))</f>
        <v/>
      </c>
    </row>
    <row r="162" spans="1:7">
      <c r="A162" s="21"/>
      <c r="B162" s="15"/>
      <c r="C162" s="15"/>
      <c r="D162" s="17"/>
      <c r="E162" s="22">
        <f>IF($A162="","",YEAR($A162))</f>
        <v/>
      </c>
      <c r="F162" s="22">
        <f>IF($A162="","",MONTH($A162))</f>
        <v/>
      </c>
      <c r="G162" s="22">
        <f>IF($B162="","",IFERROR(INDEX(ContaComp,MATCH($B162,ContaNome,0)),"Conta inválida"))</f>
        <v/>
      </c>
    </row>
    <row r="163" spans="1:7">
      <c r="A163" s="21"/>
      <c r="B163" s="15"/>
      <c r="C163" s="15"/>
      <c r="D163" s="17"/>
      <c r="E163" s="22">
        <f>IF($A163="","",YEAR($A163))</f>
        <v/>
      </c>
      <c r="F163" s="22">
        <f>IF($A163="","",MONTH($A163))</f>
        <v/>
      </c>
      <c r="G163" s="22">
        <f>IF($B163="","",IFERROR(INDEX(ContaComp,MATCH($B163,ContaNome,0)),"Conta inválida"))</f>
        <v/>
      </c>
    </row>
    <row r="164" spans="1:7">
      <c r="A164" s="21"/>
      <c r="B164" s="15"/>
      <c r="C164" s="15"/>
      <c r="D164" s="17"/>
      <c r="E164" s="22">
        <f>IF($A164="","",YEAR($A164))</f>
        <v/>
      </c>
      <c r="F164" s="22">
        <f>IF($A164="","",MONTH($A164))</f>
        <v/>
      </c>
      <c r="G164" s="22">
        <f>IF($B164="","",IFERROR(INDEX(ContaComp,MATCH($B164,ContaNome,0)),"Conta inválida"))</f>
        <v/>
      </c>
    </row>
    <row r="165" spans="1:7">
      <c r="A165" s="21"/>
      <c r="B165" s="15"/>
      <c r="C165" s="15"/>
      <c r="D165" s="17"/>
      <c r="E165" s="22">
        <f>IF($A165="","",YEAR($A165))</f>
        <v/>
      </c>
      <c r="F165" s="22">
        <f>IF($A165="","",MONTH($A165))</f>
        <v/>
      </c>
      <c r="G165" s="22">
        <f>IF($B165="","",IFERROR(INDEX(ContaComp,MATCH($B165,ContaNome,0)),"Conta inválida"))</f>
        <v/>
      </c>
    </row>
    <row r="166" spans="1:7">
      <c r="A166" s="21"/>
      <c r="B166" s="15"/>
      <c r="C166" s="15"/>
      <c r="D166" s="17"/>
      <c r="E166" s="22">
        <f>IF($A166="","",YEAR($A166))</f>
        <v/>
      </c>
      <c r="F166" s="22">
        <f>IF($A166="","",MONTH($A166))</f>
        <v/>
      </c>
      <c r="G166" s="22">
        <f>IF($B166="","",IFERROR(INDEX(ContaComp,MATCH($B166,ContaNome,0)),"Conta inválida"))</f>
        <v/>
      </c>
    </row>
    <row r="167" spans="1:7">
      <c r="A167" s="21"/>
      <c r="B167" s="15"/>
      <c r="C167" s="15"/>
      <c r="D167" s="17"/>
      <c r="E167" s="22">
        <f>IF($A167="","",YEAR($A167))</f>
        <v/>
      </c>
      <c r="F167" s="22">
        <f>IF($A167="","",MONTH($A167))</f>
        <v/>
      </c>
      <c r="G167" s="22">
        <f>IF($B167="","",IFERROR(INDEX(ContaComp,MATCH($B167,ContaNome,0)),"Conta inválida"))</f>
        <v/>
      </c>
    </row>
    <row r="168" spans="1:7">
      <c r="A168" s="21"/>
      <c r="B168" s="15"/>
      <c r="C168" s="15"/>
      <c r="D168" s="17"/>
      <c r="E168" s="22">
        <f>IF($A168="","",YEAR($A168))</f>
        <v/>
      </c>
      <c r="F168" s="22">
        <f>IF($A168="","",MONTH($A168))</f>
        <v/>
      </c>
      <c r="G168" s="22">
        <f>IF($B168="","",IFERROR(INDEX(ContaComp,MATCH($B168,ContaNome,0)),"Conta inválida"))</f>
        <v/>
      </c>
    </row>
    <row r="169" spans="1:7">
      <c r="A169" s="21"/>
      <c r="B169" s="15"/>
      <c r="C169" s="15"/>
      <c r="D169" s="17"/>
      <c r="E169" s="22">
        <f>IF($A169="","",YEAR($A169))</f>
        <v/>
      </c>
      <c r="F169" s="22">
        <f>IF($A169="","",MONTH($A169))</f>
        <v/>
      </c>
      <c r="G169" s="22">
        <f>IF($B169="","",IFERROR(INDEX(ContaComp,MATCH($B169,ContaNome,0)),"Conta inválida"))</f>
        <v/>
      </c>
    </row>
    <row r="170" spans="1:7">
      <c r="A170" s="21"/>
      <c r="B170" s="15"/>
      <c r="C170" s="15"/>
      <c r="D170" s="17"/>
      <c r="E170" s="22">
        <f>IF($A170="","",YEAR($A170))</f>
        <v/>
      </c>
      <c r="F170" s="22">
        <f>IF($A170="","",MONTH($A170))</f>
        <v/>
      </c>
      <c r="G170" s="22">
        <f>IF($B170="","",IFERROR(INDEX(ContaComp,MATCH($B170,ContaNome,0)),"Conta inválida"))</f>
        <v/>
      </c>
    </row>
    <row r="171" spans="1:7">
      <c r="A171" s="21"/>
      <c r="B171" s="15"/>
      <c r="C171" s="15"/>
      <c r="D171" s="17"/>
      <c r="E171" s="22">
        <f>IF($A171="","",YEAR($A171))</f>
        <v/>
      </c>
      <c r="F171" s="22">
        <f>IF($A171="","",MONTH($A171))</f>
        <v/>
      </c>
      <c r="G171" s="22">
        <f>IF($B171="","",IFERROR(INDEX(ContaComp,MATCH($B171,ContaNome,0)),"Conta inválida"))</f>
        <v/>
      </c>
    </row>
    <row r="172" spans="1:7">
      <c r="A172" s="21"/>
      <c r="B172" s="15"/>
      <c r="C172" s="15"/>
      <c r="D172" s="17"/>
      <c r="E172" s="22">
        <f>IF($A172="","",YEAR($A172))</f>
        <v/>
      </c>
      <c r="F172" s="22">
        <f>IF($A172="","",MONTH($A172))</f>
        <v/>
      </c>
      <c r="G172" s="22">
        <f>IF($B172="","",IFERROR(INDEX(ContaComp,MATCH($B172,ContaNome,0)),"Conta inválida"))</f>
        <v/>
      </c>
    </row>
    <row r="173" spans="1:7">
      <c r="A173" s="21"/>
      <c r="B173" s="15"/>
      <c r="C173" s="15"/>
      <c r="D173" s="17"/>
      <c r="E173" s="22">
        <f>IF($A173="","",YEAR($A173))</f>
        <v/>
      </c>
      <c r="F173" s="22">
        <f>IF($A173="","",MONTH($A173))</f>
        <v/>
      </c>
      <c r="G173" s="22">
        <f>IF($B173="","",IFERROR(INDEX(ContaComp,MATCH($B173,ContaNome,0)),"Conta inválida"))</f>
        <v/>
      </c>
    </row>
    <row r="174" spans="1:7">
      <c r="A174" s="21"/>
      <c r="B174" s="15"/>
      <c r="C174" s="15"/>
      <c r="D174" s="17"/>
      <c r="E174" s="22">
        <f>IF($A174="","",YEAR($A174))</f>
        <v/>
      </c>
      <c r="F174" s="22">
        <f>IF($A174="","",MONTH($A174))</f>
        <v/>
      </c>
      <c r="G174" s="22">
        <f>IF($B174="","",IFERROR(INDEX(ContaComp,MATCH($B174,ContaNome,0)),"Conta inválida"))</f>
        <v/>
      </c>
    </row>
    <row r="175" spans="1:7">
      <c r="A175" s="21"/>
      <c r="B175" s="15"/>
      <c r="C175" s="15"/>
      <c r="D175" s="17"/>
      <c r="E175" s="22">
        <f>IF($A175="","",YEAR($A175))</f>
        <v/>
      </c>
      <c r="F175" s="22">
        <f>IF($A175="","",MONTH($A175))</f>
        <v/>
      </c>
      <c r="G175" s="22">
        <f>IF($B175="","",IFERROR(INDEX(ContaComp,MATCH($B175,ContaNome,0)),"Conta inválida"))</f>
        <v/>
      </c>
    </row>
    <row r="176" spans="1:7">
      <c r="A176" s="21"/>
      <c r="B176" s="15"/>
      <c r="C176" s="15"/>
      <c r="D176" s="17"/>
      <c r="E176" s="22">
        <f>IF($A176="","",YEAR($A176))</f>
        <v/>
      </c>
      <c r="F176" s="22">
        <f>IF($A176="","",MONTH($A176))</f>
        <v/>
      </c>
      <c r="G176" s="22">
        <f>IF($B176="","",IFERROR(INDEX(ContaComp,MATCH($B176,ContaNome,0)),"Conta inválida"))</f>
        <v/>
      </c>
    </row>
    <row r="177" spans="1:7">
      <c r="A177" s="21"/>
      <c r="B177" s="15"/>
      <c r="C177" s="15"/>
      <c r="D177" s="17"/>
      <c r="E177" s="22">
        <f>IF($A177="","",YEAR($A177))</f>
        <v/>
      </c>
      <c r="F177" s="22">
        <f>IF($A177="","",MONTH($A177))</f>
        <v/>
      </c>
      <c r="G177" s="22">
        <f>IF($B177="","",IFERROR(INDEX(ContaComp,MATCH($B177,ContaNome,0)),"Conta inválida"))</f>
        <v/>
      </c>
    </row>
    <row r="178" spans="1:7">
      <c r="A178" s="21"/>
      <c r="B178" s="15"/>
      <c r="C178" s="15"/>
      <c r="D178" s="17"/>
      <c r="E178" s="22">
        <f>IF($A178="","",YEAR($A178))</f>
        <v/>
      </c>
      <c r="F178" s="22">
        <f>IF($A178="","",MONTH($A178))</f>
        <v/>
      </c>
      <c r="G178" s="22">
        <f>IF($B178="","",IFERROR(INDEX(ContaComp,MATCH($B178,ContaNome,0)),"Conta inválida"))</f>
        <v/>
      </c>
    </row>
    <row r="179" spans="1:7">
      <c r="A179" s="21"/>
      <c r="B179" s="15"/>
      <c r="C179" s="15"/>
      <c r="D179" s="17"/>
      <c r="E179" s="22">
        <f>IF($A179="","",YEAR($A179))</f>
        <v/>
      </c>
      <c r="F179" s="22">
        <f>IF($A179="","",MONTH($A179))</f>
        <v/>
      </c>
      <c r="G179" s="22">
        <f>IF($B179="","",IFERROR(INDEX(ContaComp,MATCH($B179,ContaNome,0)),"Conta inválida"))</f>
        <v/>
      </c>
    </row>
    <row r="180" spans="1:7">
      <c r="A180" s="21"/>
      <c r="B180" s="15"/>
      <c r="C180" s="15"/>
      <c r="D180" s="17"/>
      <c r="E180" s="22">
        <f>IF($A180="","",YEAR($A180))</f>
        <v/>
      </c>
      <c r="F180" s="22">
        <f>IF($A180="","",MONTH($A180))</f>
        <v/>
      </c>
      <c r="G180" s="22">
        <f>IF($B180="","",IFERROR(INDEX(ContaComp,MATCH($B180,ContaNome,0)),"Conta inválida"))</f>
        <v/>
      </c>
    </row>
    <row r="181" spans="1:7">
      <c r="A181" s="21"/>
      <c r="B181" s="15"/>
      <c r="C181" s="15"/>
      <c r="D181" s="17"/>
      <c r="E181" s="22">
        <f>IF($A181="","",YEAR($A181))</f>
        <v/>
      </c>
      <c r="F181" s="22">
        <f>IF($A181="","",MONTH($A181))</f>
        <v/>
      </c>
      <c r="G181" s="22">
        <f>IF($B181="","",IFERROR(INDEX(ContaComp,MATCH($B181,ContaNome,0)),"Conta inválida"))</f>
        <v/>
      </c>
    </row>
    <row r="182" spans="1:7">
      <c r="A182" s="21"/>
      <c r="B182" s="15"/>
      <c r="C182" s="15"/>
      <c r="D182" s="17"/>
      <c r="E182" s="22">
        <f>IF($A182="","",YEAR($A182))</f>
        <v/>
      </c>
      <c r="F182" s="22">
        <f>IF($A182="","",MONTH($A182))</f>
        <v/>
      </c>
      <c r="G182" s="22">
        <f>IF($B182="","",IFERROR(INDEX(ContaComp,MATCH($B182,ContaNome,0)),"Conta inválida"))</f>
        <v/>
      </c>
    </row>
    <row r="183" spans="1:7">
      <c r="A183" s="21"/>
      <c r="B183" s="15"/>
      <c r="C183" s="15"/>
      <c r="D183" s="17"/>
      <c r="E183" s="22">
        <f>IF($A183="","",YEAR($A183))</f>
        <v/>
      </c>
      <c r="F183" s="22">
        <f>IF($A183="","",MONTH($A183))</f>
        <v/>
      </c>
      <c r="G183" s="22">
        <f>IF($B183="","",IFERROR(INDEX(ContaComp,MATCH($B183,ContaNome,0)),"Conta inválida"))</f>
        <v/>
      </c>
    </row>
    <row r="184" spans="1:7">
      <c r="A184" s="21"/>
      <c r="B184" s="15"/>
      <c r="C184" s="15"/>
      <c r="D184" s="17"/>
      <c r="E184" s="22">
        <f>IF($A184="","",YEAR($A184))</f>
        <v/>
      </c>
      <c r="F184" s="22">
        <f>IF($A184="","",MONTH($A184))</f>
        <v/>
      </c>
      <c r="G184" s="22">
        <f>IF($B184="","",IFERROR(INDEX(ContaComp,MATCH($B184,ContaNome,0)),"Conta inválida"))</f>
        <v/>
      </c>
    </row>
    <row r="185" spans="1:7">
      <c r="A185" s="21"/>
      <c r="B185" s="15"/>
      <c r="C185" s="15"/>
      <c r="D185" s="17"/>
      <c r="E185" s="22">
        <f>IF($A185="","",YEAR($A185))</f>
        <v/>
      </c>
      <c r="F185" s="22">
        <f>IF($A185="","",MONTH($A185))</f>
        <v/>
      </c>
      <c r="G185" s="22">
        <f>IF($B185="","",IFERROR(INDEX(ContaComp,MATCH($B185,ContaNome,0)),"Conta inválida"))</f>
        <v/>
      </c>
    </row>
    <row r="186" spans="1:7">
      <c r="A186" s="21"/>
      <c r="B186" s="15"/>
      <c r="C186" s="15"/>
      <c r="D186" s="17"/>
      <c r="E186" s="22">
        <f>IF($A186="","",YEAR($A186))</f>
        <v/>
      </c>
      <c r="F186" s="22">
        <f>IF($A186="","",MONTH($A186))</f>
        <v/>
      </c>
      <c r="G186" s="22">
        <f>IF($B186="","",IFERROR(INDEX(ContaComp,MATCH($B186,ContaNome,0)),"Conta inválida"))</f>
        <v/>
      </c>
    </row>
    <row r="187" spans="1:7">
      <c r="A187" s="21"/>
      <c r="B187" s="15"/>
      <c r="C187" s="15"/>
      <c r="D187" s="17"/>
      <c r="E187" s="22">
        <f>IF($A187="","",YEAR($A187))</f>
        <v/>
      </c>
      <c r="F187" s="22">
        <f>IF($A187="","",MONTH($A187))</f>
        <v/>
      </c>
      <c r="G187" s="22">
        <f>IF($B187="","",IFERROR(INDEX(ContaComp,MATCH($B187,ContaNome,0)),"Conta inválida"))</f>
        <v/>
      </c>
    </row>
    <row r="188" spans="1:7">
      <c r="A188" s="21"/>
      <c r="B188" s="15"/>
      <c r="C188" s="15"/>
      <c r="D188" s="17"/>
      <c r="E188" s="22">
        <f>IF($A188="","",YEAR($A188))</f>
        <v/>
      </c>
      <c r="F188" s="22">
        <f>IF($A188="","",MONTH($A188))</f>
        <v/>
      </c>
      <c r="G188" s="22">
        <f>IF($B188="","",IFERROR(INDEX(ContaComp,MATCH($B188,ContaNome,0)),"Conta inválida"))</f>
        <v/>
      </c>
    </row>
    <row r="189" spans="1:7">
      <c r="A189" s="21"/>
      <c r="B189" s="15"/>
      <c r="C189" s="15"/>
      <c r="D189" s="17"/>
      <c r="E189" s="22">
        <f>IF($A189="","",YEAR($A189))</f>
        <v/>
      </c>
      <c r="F189" s="22">
        <f>IF($A189="","",MONTH($A189))</f>
        <v/>
      </c>
      <c r="G189" s="22">
        <f>IF($B189="","",IFERROR(INDEX(ContaComp,MATCH($B189,ContaNome,0)),"Conta inválida"))</f>
        <v/>
      </c>
    </row>
    <row r="190" spans="1:7">
      <c r="A190" s="21"/>
      <c r="B190" s="15"/>
      <c r="C190" s="15"/>
      <c r="D190" s="17"/>
      <c r="E190" s="22">
        <f>IF($A190="","",YEAR($A190))</f>
        <v/>
      </c>
      <c r="F190" s="22">
        <f>IF($A190="","",MONTH($A190))</f>
        <v/>
      </c>
      <c r="G190" s="22">
        <f>IF($B190="","",IFERROR(INDEX(ContaComp,MATCH($B190,ContaNome,0)),"Conta inválida"))</f>
        <v/>
      </c>
    </row>
    <row r="191" spans="1:7">
      <c r="A191" s="21"/>
      <c r="B191" s="15"/>
      <c r="C191" s="15"/>
      <c r="D191" s="17"/>
      <c r="E191" s="22">
        <f>IF($A191="","",YEAR($A191))</f>
        <v/>
      </c>
      <c r="F191" s="22">
        <f>IF($A191="","",MONTH($A191))</f>
        <v/>
      </c>
      <c r="G191" s="22">
        <f>IF($B191="","",IFERROR(INDEX(ContaComp,MATCH($B191,ContaNome,0)),"Conta inválida"))</f>
        <v/>
      </c>
    </row>
    <row r="192" spans="1:7">
      <c r="A192" s="21"/>
      <c r="B192" s="15"/>
      <c r="C192" s="15"/>
      <c r="D192" s="17"/>
      <c r="E192" s="22">
        <f>IF($A192="","",YEAR($A192))</f>
        <v/>
      </c>
      <c r="F192" s="22">
        <f>IF($A192="","",MONTH($A192))</f>
        <v/>
      </c>
      <c r="G192" s="22">
        <f>IF($B192="","",IFERROR(INDEX(ContaComp,MATCH($B192,ContaNome,0)),"Conta inválida"))</f>
        <v/>
      </c>
    </row>
    <row r="193" spans="1:7">
      <c r="A193" s="21"/>
      <c r="B193" s="15"/>
      <c r="C193" s="15"/>
      <c r="D193" s="17"/>
      <c r="E193" s="22">
        <f>IF($A193="","",YEAR($A193))</f>
        <v/>
      </c>
      <c r="F193" s="22">
        <f>IF($A193="","",MONTH($A193))</f>
        <v/>
      </c>
      <c r="G193" s="22">
        <f>IF($B193="","",IFERROR(INDEX(ContaComp,MATCH($B193,ContaNome,0)),"Conta inválida"))</f>
        <v/>
      </c>
    </row>
    <row r="194" spans="1:7">
      <c r="A194" s="21"/>
      <c r="B194" s="15"/>
      <c r="C194" s="15"/>
      <c r="D194" s="17"/>
      <c r="E194" s="22">
        <f>IF($A194="","",YEAR($A194))</f>
        <v/>
      </c>
      <c r="F194" s="22">
        <f>IF($A194="","",MONTH($A194))</f>
        <v/>
      </c>
      <c r="G194" s="22">
        <f>IF($B194="","",IFERROR(INDEX(ContaComp,MATCH($B194,ContaNome,0)),"Conta inválida"))</f>
        <v/>
      </c>
    </row>
    <row r="195" spans="1:7">
      <c r="A195" s="21"/>
      <c r="B195" s="15"/>
      <c r="C195" s="15"/>
      <c r="D195" s="17"/>
      <c r="E195" s="22">
        <f>IF($A195="","",YEAR($A195))</f>
        <v/>
      </c>
      <c r="F195" s="22">
        <f>IF($A195="","",MONTH($A195))</f>
        <v/>
      </c>
      <c r="G195" s="22">
        <f>IF($B195="","",IFERROR(INDEX(ContaComp,MATCH($B195,ContaNome,0)),"Conta inválida"))</f>
        <v/>
      </c>
    </row>
    <row r="196" spans="1:7">
      <c r="A196" s="21"/>
      <c r="B196" s="15"/>
      <c r="C196" s="15"/>
      <c r="D196" s="17"/>
      <c r="E196" s="22">
        <f>IF($A196="","",YEAR($A196))</f>
        <v/>
      </c>
      <c r="F196" s="22">
        <f>IF($A196="","",MONTH($A196))</f>
        <v/>
      </c>
      <c r="G196" s="22">
        <f>IF($B196="","",IFERROR(INDEX(ContaComp,MATCH($B196,ContaNome,0)),"Conta inválida"))</f>
        <v/>
      </c>
    </row>
    <row r="197" spans="1:7">
      <c r="A197" s="21"/>
      <c r="B197" s="15"/>
      <c r="C197" s="15"/>
      <c r="D197" s="17"/>
      <c r="E197" s="22">
        <f>IF($A197="","",YEAR($A197))</f>
        <v/>
      </c>
      <c r="F197" s="22">
        <f>IF($A197="","",MONTH($A197))</f>
        <v/>
      </c>
      <c r="G197" s="22">
        <f>IF($B197="","",IFERROR(INDEX(ContaComp,MATCH($B197,ContaNome,0)),"Conta inválida"))</f>
        <v/>
      </c>
    </row>
    <row r="198" spans="1:7">
      <c r="A198" s="21"/>
      <c r="B198" s="15"/>
      <c r="C198" s="15"/>
      <c r="D198" s="17"/>
      <c r="E198" s="22">
        <f>IF($A198="","",YEAR($A198))</f>
        <v/>
      </c>
      <c r="F198" s="22">
        <f>IF($A198="","",MONTH($A198))</f>
        <v/>
      </c>
      <c r="G198" s="22">
        <f>IF($B198="","",IFERROR(INDEX(ContaComp,MATCH($B198,ContaNome,0)),"Conta inválida"))</f>
        <v/>
      </c>
    </row>
    <row r="199" spans="1:7">
      <c r="A199" s="21"/>
      <c r="B199" s="15"/>
      <c r="C199" s="15"/>
      <c r="D199" s="17"/>
      <c r="E199" s="22">
        <f>IF($A199="","",YEAR($A199))</f>
        <v/>
      </c>
      <c r="F199" s="22">
        <f>IF($A199="","",MONTH($A199))</f>
        <v/>
      </c>
      <c r="G199" s="22">
        <f>IF($B199="","",IFERROR(INDEX(ContaComp,MATCH($B199,ContaNome,0)),"Conta inválida"))</f>
        <v/>
      </c>
    </row>
    <row r="200" spans="1:7">
      <c r="A200" s="21"/>
      <c r="B200" s="15"/>
      <c r="C200" s="15"/>
      <c r="D200" s="17"/>
      <c r="E200" s="22">
        <f>IF($A200="","",YEAR($A200))</f>
        <v/>
      </c>
      <c r="F200" s="22">
        <f>IF($A200="","",MONTH($A200))</f>
        <v/>
      </c>
      <c r="G200" s="22">
        <f>IF($B200="","",IFERROR(INDEX(ContaComp,MATCH($B200,ContaNome,0)),"Conta inválida"))</f>
        <v/>
      </c>
    </row>
    <row r="201" spans="1:7">
      <c r="A201" s="21"/>
      <c r="B201" s="15"/>
      <c r="C201" s="15"/>
      <c r="D201" s="17"/>
      <c r="E201" s="22">
        <f>IF($A201="","",YEAR($A201))</f>
        <v/>
      </c>
      <c r="F201" s="22">
        <f>IF($A201="","",MONTH($A201))</f>
        <v/>
      </c>
      <c r="G201" s="22">
        <f>IF($B201="","",IFERROR(INDEX(ContaComp,MATCH($B201,ContaNome,0)),"Conta inválida"))</f>
        <v/>
      </c>
    </row>
    <row r="202" spans="1:7">
      <c r="A202" s="21"/>
      <c r="B202" s="15"/>
      <c r="C202" s="15"/>
      <c r="D202" s="17"/>
      <c r="E202" s="22">
        <f>IF($A202="","",YEAR($A202))</f>
        <v/>
      </c>
      <c r="F202" s="22">
        <f>IF($A202="","",MONTH($A202))</f>
        <v/>
      </c>
      <c r="G202" s="22">
        <f>IF($B202="","",IFERROR(INDEX(ContaComp,MATCH($B202,ContaNome,0)),"Conta inválida"))</f>
        <v/>
      </c>
    </row>
    <row r="203" spans="1:7">
      <c r="A203" s="21"/>
      <c r="B203" s="15"/>
      <c r="C203" s="15"/>
      <c r="D203" s="17"/>
      <c r="E203" s="22">
        <f>IF($A203="","",YEAR($A203))</f>
        <v/>
      </c>
      <c r="F203" s="22">
        <f>IF($A203="","",MONTH($A203))</f>
        <v/>
      </c>
      <c r="G203" s="22">
        <f>IF($B203="","",IFERROR(INDEX(ContaComp,MATCH($B203,ContaNome,0)),"Conta inválida"))</f>
        <v/>
      </c>
    </row>
    <row r="204" spans="1:7">
      <c r="A204" s="21"/>
      <c r="B204" s="15"/>
      <c r="C204" s="15"/>
      <c r="D204" s="17"/>
      <c r="E204" s="22">
        <f>IF($A204="","",YEAR($A204))</f>
        <v/>
      </c>
      <c r="F204" s="22">
        <f>IF($A204="","",MONTH($A204))</f>
        <v/>
      </c>
      <c r="G204" s="22">
        <f>IF($B204="","",IFERROR(INDEX(ContaComp,MATCH($B204,ContaNome,0)),"Conta inválida"))</f>
        <v/>
      </c>
    </row>
    <row r="205" spans="1:7">
      <c r="A205" s="21"/>
      <c r="B205" s="15"/>
      <c r="C205" s="15"/>
      <c r="D205" s="17"/>
      <c r="E205" s="22">
        <f>IF($A205="","",YEAR($A205))</f>
        <v/>
      </c>
      <c r="F205" s="22">
        <f>IF($A205="","",MONTH($A205))</f>
        <v/>
      </c>
      <c r="G205" s="22">
        <f>IF($B205="","",IFERROR(INDEX(ContaComp,MATCH($B205,ContaNome,0)),"Conta inválida"))</f>
        <v/>
      </c>
    </row>
    <row r="206" spans="1:7">
      <c r="A206" s="21"/>
      <c r="B206" s="15"/>
      <c r="C206" s="15"/>
      <c r="D206" s="17"/>
      <c r="E206" s="22">
        <f>IF($A206="","",YEAR($A206))</f>
        <v/>
      </c>
      <c r="F206" s="22">
        <f>IF($A206="","",MONTH($A206))</f>
        <v/>
      </c>
      <c r="G206" s="22">
        <f>IF($B206="","",IFERROR(INDEX(ContaComp,MATCH($B206,ContaNome,0)),"Conta inválida"))</f>
        <v/>
      </c>
    </row>
    <row r="207" spans="1:7">
      <c r="A207" s="21"/>
      <c r="B207" s="15"/>
      <c r="C207" s="15"/>
      <c r="D207" s="17"/>
      <c r="E207" s="22">
        <f>IF($A207="","",YEAR($A207))</f>
        <v/>
      </c>
      <c r="F207" s="22">
        <f>IF($A207="","",MONTH($A207))</f>
        <v/>
      </c>
      <c r="G207" s="22">
        <f>IF($B207="","",IFERROR(INDEX(ContaComp,MATCH($B207,ContaNome,0)),"Conta inválida"))</f>
        <v/>
      </c>
    </row>
    <row r="208" spans="1:7">
      <c r="A208" s="21"/>
      <c r="B208" s="15"/>
      <c r="C208" s="15"/>
      <c r="D208" s="17"/>
      <c r="E208" s="22">
        <f>IF($A208="","",YEAR($A208))</f>
        <v/>
      </c>
      <c r="F208" s="22">
        <f>IF($A208="","",MONTH($A208))</f>
        <v/>
      </c>
      <c r="G208" s="22">
        <f>IF($B208="","",IFERROR(INDEX(ContaComp,MATCH($B208,ContaNome,0)),"Conta inválida"))</f>
        <v/>
      </c>
    </row>
    <row r="209" spans="1:7">
      <c r="A209" s="21"/>
      <c r="B209" s="15"/>
      <c r="C209" s="15"/>
      <c r="D209" s="17"/>
      <c r="E209" s="22">
        <f>IF($A209="","",YEAR($A209))</f>
        <v/>
      </c>
      <c r="F209" s="22">
        <f>IF($A209="","",MONTH($A209))</f>
        <v/>
      </c>
      <c r="G209" s="22">
        <f>IF($B209="","",IFERROR(INDEX(ContaComp,MATCH($B209,ContaNome,0)),"Conta inválida"))</f>
        <v/>
      </c>
    </row>
    <row r="210" spans="1:7">
      <c r="A210" s="21"/>
      <c r="B210" s="15"/>
      <c r="C210" s="15"/>
      <c r="D210" s="17"/>
      <c r="E210" s="22">
        <f>IF($A210="","",YEAR($A210))</f>
        <v/>
      </c>
      <c r="F210" s="22">
        <f>IF($A210="","",MONTH($A210))</f>
        <v/>
      </c>
      <c r="G210" s="22">
        <f>IF($B210="","",IFERROR(INDEX(ContaComp,MATCH($B210,ContaNome,0)),"Conta inválida"))</f>
        <v/>
      </c>
    </row>
    <row r="211" spans="1:7">
      <c r="A211" s="21"/>
      <c r="B211" s="15"/>
      <c r="C211" s="15"/>
      <c r="D211" s="17"/>
      <c r="E211" s="22">
        <f>IF($A211="","",YEAR($A211))</f>
        <v/>
      </c>
      <c r="F211" s="22">
        <f>IF($A211="","",MONTH($A211))</f>
        <v/>
      </c>
      <c r="G211" s="22">
        <f>IF($B211="","",IFERROR(INDEX(ContaComp,MATCH($B211,ContaNome,0)),"Conta inválida"))</f>
        <v/>
      </c>
    </row>
    <row r="212" spans="1:7">
      <c r="A212" s="21"/>
      <c r="B212" s="15"/>
      <c r="C212" s="15"/>
      <c r="D212" s="17"/>
      <c r="E212" s="22">
        <f>IF($A212="","",YEAR($A212))</f>
        <v/>
      </c>
      <c r="F212" s="22">
        <f>IF($A212="","",MONTH($A212))</f>
        <v/>
      </c>
      <c r="G212" s="22">
        <f>IF($B212="","",IFERROR(INDEX(ContaComp,MATCH($B212,ContaNome,0)),"Conta inválida"))</f>
        <v/>
      </c>
    </row>
    <row r="213" spans="1:7">
      <c r="A213" s="21"/>
      <c r="B213" s="15"/>
      <c r="C213" s="15"/>
      <c r="D213" s="17"/>
      <c r="E213" s="22">
        <f>IF($A213="","",YEAR($A213))</f>
        <v/>
      </c>
      <c r="F213" s="22">
        <f>IF($A213="","",MONTH($A213))</f>
        <v/>
      </c>
      <c r="G213" s="22">
        <f>IF($B213="","",IFERROR(INDEX(ContaComp,MATCH($B213,ContaNome,0)),"Conta inválida"))</f>
        <v/>
      </c>
    </row>
    <row r="214" spans="1:7">
      <c r="A214" s="21"/>
      <c r="B214" s="15"/>
      <c r="C214" s="15"/>
      <c r="D214" s="17"/>
      <c r="E214" s="22">
        <f>IF($A214="","",YEAR($A214))</f>
        <v/>
      </c>
      <c r="F214" s="22">
        <f>IF($A214="","",MONTH($A214))</f>
        <v/>
      </c>
      <c r="G214" s="22">
        <f>IF($B214="","",IFERROR(INDEX(ContaComp,MATCH($B214,ContaNome,0)),"Conta inválida"))</f>
        <v/>
      </c>
    </row>
    <row r="215" spans="1:7">
      <c r="A215" s="21"/>
      <c r="B215" s="15"/>
      <c r="C215" s="15"/>
      <c r="D215" s="17"/>
      <c r="E215" s="22">
        <f>IF($A215="","",YEAR($A215))</f>
        <v/>
      </c>
      <c r="F215" s="22">
        <f>IF($A215="","",MONTH($A215))</f>
        <v/>
      </c>
      <c r="G215" s="22">
        <f>IF($B215="","",IFERROR(INDEX(ContaComp,MATCH($B215,ContaNome,0)),"Conta inválida"))</f>
        <v/>
      </c>
    </row>
    <row r="216" spans="1:7">
      <c r="A216" s="21"/>
      <c r="B216" s="15"/>
      <c r="C216" s="15"/>
      <c r="D216" s="17"/>
      <c r="E216" s="22">
        <f>IF($A216="","",YEAR($A216))</f>
        <v/>
      </c>
      <c r="F216" s="22">
        <f>IF($A216="","",MONTH($A216))</f>
        <v/>
      </c>
      <c r="G216" s="22">
        <f>IF($B216="","",IFERROR(INDEX(ContaComp,MATCH($B216,ContaNome,0)),"Conta inválida"))</f>
        <v/>
      </c>
    </row>
    <row r="217" spans="1:7">
      <c r="A217" s="21"/>
      <c r="B217" s="15"/>
      <c r="C217" s="15"/>
      <c r="D217" s="17"/>
      <c r="E217" s="22">
        <f>IF($A217="","",YEAR($A217))</f>
        <v/>
      </c>
      <c r="F217" s="22">
        <f>IF($A217="","",MONTH($A217))</f>
        <v/>
      </c>
      <c r="G217" s="22">
        <f>IF($B217="","",IFERROR(INDEX(ContaComp,MATCH($B217,ContaNome,0)),"Conta inválida"))</f>
        <v/>
      </c>
    </row>
    <row r="218" spans="1:7">
      <c r="A218" s="21"/>
      <c r="B218" s="15"/>
      <c r="C218" s="15"/>
      <c r="D218" s="17"/>
      <c r="E218" s="22">
        <f>IF($A218="","",YEAR($A218))</f>
        <v/>
      </c>
      <c r="F218" s="22">
        <f>IF($A218="","",MONTH($A218))</f>
        <v/>
      </c>
      <c r="G218" s="22">
        <f>IF($B218="","",IFERROR(INDEX(ContaComp,MATCH($B218,ContaNome,0)),"Conta inválida"))</f>
        <v/>
      </c>
    </row>
    <row r="219" spans="1:7">
      <c r="A219" s="21"/>
      <c r="B219" s="15"/>
      <c r="C219" s="15"/>
      <c r="D219" s="17"/>
      <c r="E219" s="22">
        <f>IF($A219="","",YEAR($A219))</f>
        <v/>
      </c>
      <c r="F219" s="22">
        <f>IF($A219="","",MONTH($A219))</f>
        <v/>
      </c>
      <c r="G219" s="22">
        <f>IF($B219="","",IFERROR(INDEX(ContaComp,MATCH($B219,ContaNome,0)),"Conta inválida"))</f>
        <v/>
      </c>
    </row>
    <row r="220" spans="1:7">
      <c r="A220" s="21"/>
      <c r="B220" s="15"/>
      <c r="C220" s="15"/>
      <c r="D220" s="17"/>
      <c r="E220" s="22">
        <f>IF($A220="","",YEAR($A220))</f>
        <v/>
      </c>
      <c r="F220" s="22">
        <f>IF($A220="","",MONTH($A220))</f>
        <v/>
      </c>
      <c r="G220" s="22">
        <f>IF($B220="","",IFERROR(INDEX(ContaComp,MATCH($B220,ContaNome,0)),"Conta inválida"))</f>
        <v/>
      </c>
    </row>
    <row r="221" spans="1:7">
      <c r="A221" s="21"/>
      <c r="B221" s="15"/>
      <c r="C221" s="15"/>
      <c r="D221" s="17"/>
      <c r="E221" s="22">
        <f>IF($A221="","",YEAR($A221))</f>
        <v/>
      </c>
      <c r="F221" s="22">
        <f>IF($A221="","",MONTH($A221))</f>
        <v/>
      </c>
      <c r="G221" s="22">
        <f>IF($B221="","",IFERROR(INDEX(ContaComp,MATCH($B221,ContaNome,0)),"Conta inválida"))</f>
        <v/>
      </c>
    </row>
    <row r="222" spans="1:7">
      <c r="A222" s="21"/>
      <c r="B222" s="15"/>
      <c r="C222" s="15"/>
      <c r="D222" s="17"/>
      <c r="E222" s="22">
        <f>IF($A222="","",YEAR($A222))</f>
        <v/>
      </c>
      <c r="F222" s="22">
        <f>IF($A222="","",MONTH($A222))</f>
        <v/>
      </c>
      <c r="G222" s="22">
        <f>IF($B222="","",IFERROR(INDEX(ContaComp,MATCH($B222,ContaNome,0)),"Conta inválida"))</f>
        <v/>
      </c>
    </row>
    <row r="223" spans="1:7">
      <c r="A223" s="21"/>
      <c r="B223" s="15"/>
      <c r="C223" s="15"/>
      <c r="D223" s="17"/>
      <c r="E223" s="22">
        <f>IF($A223="","",YEAR($A223))</f>
        <v/>
      </c>
      <c r="F223" s="22">
        <f>IF($A223="","",MONTH($A223))</f>
        <v/>
      </c>
      <c r="G223" s="22">
        <f>IF($B223="","",IFERROR(INDEX(ContaComp,MATCH($B223,ContaNome,0)),"Conta inválida"))</f>
        <v/>
      </c>
    </row>
    <row r="224" spans="1:7">
      <c r="A224" s="21"/>
      <c r="B224" s="15"/>
      <c r="C224" s="15"/>
      <c r="D224" s="17"/>
      <c r="E224" s="22">
        <f>IF($A224="","",YEAR($A224))</f>
        <v/>
      </c>
      <c r="F224" s="22">
        <f>IF($A224="","",MONTH($A224))</f>
        <v/>
      </c>
      <c r="G224" s="22">
        <f>IF($B224="","",IFERROR(INDEX(ContaComp,MATCH($B224,ContaNome,0)),"Conta inválida"))</f>
        <v/>
      </c>
    </row>
    <row r="225" spans="1:7">
      <c r="A225" s="21"/>
      <c r="B225" s="15"/>
      <c r="C225" s="15"/>
      <c r="D225" s="17"/>
      <c r="E225" s="22">
        <f>IF($A225="","",YEAR($A225))</f>
        <v/>
      </c>
      <c r="F225" s="22">
        <f>IF($A225="","",MONTH($A225))</f>
        <v/>
      </c>
      <c r="G225" s="22">
        <f>IF($B225="","",IFERROR(INDEX(ContaComp,MATCH($B225,ContaNome,0)),"Conta inválida"))</f>
        <v/>
      </c>
    </row>
    <row r="226" spans="1:7">
      <c r="A226" s="21"/>
      <c r="B226" s="15"/>
      <c r="C226" s="15"/>
      <c r="D226" s="17"/>
      <c r="E226" s="22">
        <f>IF($A226="","",YEAR($A226))</f>
        <v/>
      </c>
      <c r="F226" s="22">
        <f>IF($A226="","",MONTH($A226))</f>
        <v/>
      </c>
      <c r="G226" s="22">
        <f>IF($B226="","",IFERROR(INDEX(ContaComp,MATCH($B226,ContaNome,0)),"Conta inválida"))</f>
        <v/>
      </c>
    </row>
    <row r="227" spans="1:7">
      <c r="A227" s="21"/>
      <c r="B227" s="15"/>
      <c r="C227" s="15"/>
      <c r="D227" s="17"/>
      <c r="E227" s="22">
        <f>IF($A227="","",YEAR($A227))</f>
        <v/>
      </c>
      <c r="F227" s="22">
        <f>IF($A227="","",MONTH($A227))</f>
        <v/>
      </c>
      <c r="G227" s="22">
        <f>IF($B227="","",IFERROR(INDEX(ContaComp,MATCH($B227,ContaNome,0)),"Conta inválida"))</f>
        <v/>
      </c>
    </row>
    <row r="228" spans="1:7">
      <c r="A228" s="21"/>
      <c r="B228" s="15"/>
      <c r="C228" s="15"/>
      <c r="D228" s="17"/>
      <c r="E228" s="22">
        <f>IF($A228="","",YEAR($A228))</f>
        <v/>
      </c>
      <c r="F228" s="22">
        <f>IF($A228="","",MONTH($A228))</f>
        <v/>
      </c>
      <c r="G228" s="22">
        <f>IF($B228="","",IFERROR(INDEX(ContaComp,MATCH($B228,ContaNome,0)),"Conta inválida"))</f>
        <v/>
      </c>
    </row>
    <row r="229" spans="1:7">
      <c r="A229" s="21"/>
      <c r="B229" s="15"/>
      <c r="C229" s="15"/>
      <c r="D229" s="17"/>
      <c r="E229" s="22">
        <f>IF($A229="","",YEAR($A229))</f>
        <v/>
      </c>
      <c r="F229" s="22">
        <f>IF($A229="","",MONTH($A229))</f>
        <v/>
      </c>
      <c r="G229" s="22">
        <f>IF($B229="","",IFERROR(INDEX(ContaComp,MATCH($B229,ContaNome,0)),"Conta inválida"))</f>
        <v/>
      </c>
    </row>
    <row r="230" spans="1:7">
      <c r="A230" s="21"/>
      <c r="B230" s="15"/>
      <c r="C230" s="15"/>
      <c r="D230" s="17"/>
      <c r="E230" s="22">
        <f>IF($A230="","",YEAR($A230))</f>
        <v/>
      </c>
      <c r="F230" s="22">
        <f>IF($A230="","",MONTH($A230))</f>
        <v/>
      </c>
      <c r="G230" s="22">
        <f>IF($B230="","",IFERROR(INDEX(ContaComp,MATCH($B230,ContaNome,0)),"Conta inválida"))</f>
        <v/>
      </c>
    </row>
    <row r="231" spans="1:7">
      <c r="A231" s="21"/>
      <c r="B231" s="15"/>
      <c r="C231" s="15"/>
      <c r="D231" s="17"/>
      <c r="E231" s="22">
        <f>IF($A231="","",YEAR($A231))</f>
        <v/>
      </c>
      <c r="F231" s="22">
        <f>IF($A231="","",MONTH($A231))</f>
        <v/>
      </c>
      <c r="G231" s="22">
        <f>IF($B231="","",IFERROR(INDEX(ContaComp,MATCH($B231,ContaNome,0)),"Conta inválida"))</f>
        <v/>
      </c>
    </row>
    <row r="232" spans="1:7">
      <c r="A232" s="21"/>
      <c r="B232" s="15"/>
      <c r="C232" s="15"/>
      <c r="D232" s="17"/>
      <c r="E232" s="22">
        <f>IF($A232="","",YEAR($A232))</f>
        <v/>
      </c>
      <c r="F232" s="22">
        <f>IF($A232="","",MONTH($A232))</f>
        <v/>
      </c>
      <c r="G232" s="22">
        <f>IF($B232="","",IFERROR(INDEX(ContaComp,MATCH($B232,ContaNome,0)),"Conta inválida"))</f>
        <v/>
      </c>
    </row>
    <row r="233" spans="1:7">
      <c r="A233" s="21"/>
      <c r="B233" s="15"/>
      <c r="C233" s="15"/>
      <c r="D233" s="17"/>
      <c r="E233" s="22">
        <f>IF($A233="","",YEAR($A233))</f>
        <v/>
      </c>
      <c r="F233" s="22">
        <f>IF($A233="","",MONTH($A233))</f>
        <v/>
      </c>
      <c r="G233" s="22">
        <f>IF($B233="","",IFERROR(INDEX(ContaComp,MATCH($B233,ContaNome,0)),"Conta inválida"))</f>
        <v/>
      </c>
    </row>
    <row r="234" spans="1:7">
      <c r="A234" s="21"/>
      <c r="B234" s="15"/>
      <c r="C234" s="15"/>
      <c r="D234" s="17"/>
      <c r="E234" s="22">
        <f>IF($A234="","",YEAR($A234))</f>
        <v/>
      </c>
      <c r="F234" s="22">
        <f>IF($A234="","",MONTH($A234))</f>
        <v/>
      </c>
      <c r="G234" s="22">
        <f>IF($B234="","",IFERROR(INDEX(ContaComp,MATCH($B234,ContaNome,0)),"Conta inválida"))</f>
        <v/>
      </c>
    </row>
    <row r="235" spans="1:7">
      <c r="A235" s="21"/>
      <c r="B235" s="15"/>
      <c r="C235" s="15"/>
      <c r="D235" s="17"/>
      <c r="E235" s="22">
        <f>IF($A235="","",YEAR($A235))</f>
        <v/>
      </c>
      <c r="F235" s="22">
        <f>IF($A235="","",MONTH($A235))</f>
        <v/>
      </c>
      <c r="G235" s="22">
        <f>IF($B235="","",IFERROR(INDEX(ContaComp,MATCH($B235,ContaNome,0)),"Conta inválida"))</f>
        <v/>
      </c>
    </row>
    <row r="236" spans="1:7">
      <c r="A236" s="21"/>
      <c r="B236" s="15"/>
      <c r="C236" s="15"/>
      <c r="D236" s="17"/>
      <c r="E236" s="22">
        <f>IF($A236="","",YEAR($A236))</f>
        <v/>
      </c>
      <c r="F236" s="22">
        <f>IF($A236="","",MONTH($A236))</f>
        <v/>
      </c>
      <c r="G236" s="22">
        <f>IF($B236="","",IFERROR(INDEX(ContaComp,MATCH($B236,ContaNome,0)),"Conta inválida"))</f>
        <v/>
      </c>
    </row>
    <row r="237" spans="1:7">
      <c r="A237" s="21"/>
      <c r="B237" s="15"/>
      <c r="C237" s="15"/>
      <c r="D237" s="17"/>
      <c r="E237" s="22">
        <f>IF($A237="","",YEAR($A237))</f>
        <v/>
      </c>
      <c r="F237" s="22">
        <f>IF($A237="","",MONTH($A237))</f>
        <v/>
      </c>
      <c r="G237" s="22">
        <f>IF($B237="","",IFERROR(INDEX(ContaComp,MATCH($B237,ContaNome,0)),"Conta inválida"))</f>
        <v/>
      </c>
    </row>
    <row r="238" spans="1:7">
      <c r="A238" s="21"/>
      <c r="B238" s="15"/>
      <c r="C238" s="15"/>
      <c r="D238" s="17"/>
      <c r="E238" s="22">
        <f>IF($A238="","",YEAR($A238))</f>
        <v/>
      </c>
      <c r="F238" s="22">
        <f>IF($A238="","",MONTH($A238))</f>
        <v/>
      </c>
      <c r="G238" s="22">
        <f>IF($B238="","",IFERROR(INDEX(ContaComp,MATCH($B238,ContaNome,0)),"Conta inválida"))</f>
        <v/>
      </c>
    </row>
    <row r="239" spans="1:7">
      <c r="A239" s="21"/>
      <c r="B239" s="15"/>
      <c r="C239" s="15"/>
      <c r="D239" s="17"/>
      <c r="E239" s="22">
        <f>IF($A239="","",YEAR($A239))</f>
        <v/>
      </c>
      <c r="F239" s="22">
        <f>IF($A239="","",MONTH($A239))</f>
        <v/>
      </c>
      <c r="G239" s="22">
        <f>IF($B239="","",IFERROR(INDEX(ContaComp,MATCH($B239,ContaNome,0)),"Conta inválida"))</f>
        <v/>
      </c>
    </row>
    <row r="240" spans="1:7">
      <c r="A240" s="21"/>
      <c r="B240" s="15"/>
      <c r="C240" s="15"/>
      <c r="D240" s="17"/>
      <c r="E240" s="22">
        <f>IF($A240="","",YEAR($A240))</f>
        <v/>
      </c>
      <c r="F240" s="22">
        <f>IF($A240="","",MONTH($A240))</f>
        <v/>
      </c>
      <c r="G240" s="22">
        <f>IF($B240="","",IFERROR(INDEX(ContaComp,MATCH($B240,ContaNome,0)),"Conta inválida"))</f>
        <v/>
      </c>
    </row>
    <row r="241" spans="1:7">
      <c r="A241" s="21"/>
      <c r="B241" s="15"/>
      <c r="C241" s="15"/>
      <c r="D241" s="17"/>
      <c r="E241" s="22">
        <f>IF($A241="","",YEAR($A241))</f>
        <v/>
      </c>
      <c r="F241" s="22">
        <f>IF($A241="","",MONTH($A241))</f>
        <v/>
      </c>
      <c r="G241" s="22">
        <f>IF($B241="","",IFERROR(INDEX(ContaComp,MATCH($B241,ContaNome,0)),"Conta inválida"))</f>
        <v/>
      </c>
    </row>
    <row r="242" spans="1:7">
      <c r="A242" s="21"/>
      <c r="B242" s="15"/>
      <c r="C242" s="15"/>
      <c r="D242" s="17"/>
      <c r="E242" s="22">
        <f>IF($A242="","",YEAR($A242))</f>
        <v/>
      </c>
      <c r="F242" s="22">
        <f>IF($A242="","",MONTH($A242))</f>
        <v/>
      </c>
      <c r="G242" s="22">
        <f>IF($B242="","",IFERROR(INDEX(ContaComp,MATCH($B242,ContaNome,0)),"Conta inválida"))</f>
        <v/>
      </c>
    </row>
    <row r="243" spans="1:7">
      <c r="A243" s="21"/>
      <c r="B243" s="15"/>
      <c r="C243" s="15"/>
      <c r="D243" s="17"/>
      <c r="E243" s="22">
        <f>IF($A243="","",YEAR($A243))</f>
        <v/>
      </c>
      <c r="F243" s="22">
        <f>IF($A243="","",MONTH($A243))</f>
        <v/>
      </c>
      <c r="G243" s="22">
        <f>IF($B243="","",IFERROR(INDEX(ContaComp,MATCH($B243,ContaNome,0)),"Conta inválida"))</f>
        <v/>
      </c>
    </row>
    <row r="244" spans="1:7">
      <c r="A244" s="21"/>
      <c r="B244" s="15"/>
      <c r="C244" s="15"/>
      <c r="D244" s="17"/>
      <c r="E244" s="22">
        <f>IF($A244="","",YEAR($A244))</f>
        <v/>
      </c>
      <c r="F244" s="22">
        <f>IF($A244="","",MONTH($A244))</f>
        <v/>
      </c>
      <c r="G244" s="22">
        <f>IF($B244="","",IFERROR(INDEX(ContaComp,MATCH($B244,ContaNome,0)),"Conta inválida"))</f>
        <v/>
      </c>
    </row>
    <row r="245" spans="1:7">
      <c r="A245" s="21"/>
      <c r="B245" s="15"/>
      <c r="C245" s="15"/>
      <c r="D245" s="17"/>
      <c r="E245" s="22">
        <f>IF($A245="","",YEAR($A245))</f>
        <v/>
      </c>
      <c r="F245" s="22">
        <f>IF($A245="","",MONTH($A245))</f>
        <v/>
      </c>
      <c r="G245" s="22">
        <f>IF($B245="","",IFERROR(INDEX(ContaComp,MATCH($B245,ContaNome,0)),"Conta inválida"))</f>
        <v/>
      </c>
    </row>
    <row r="246" spans="1:7">
      <c r="A246" s="21"/>
      <c r="B246" s="15"/>
      <c r="C246" s="15"/>
      <c r="D246" s="17"/>
      <c r="E246" s="22">
        <f>IF($A246="","",YEAR($A246))</f>
        <v/>
      </c>
      <c r="F246" s="22">
        <f>IF($A246="","",MONTH($A246))</f>
        <v/>
      </c>
      <c r="G246" s="22">
        <f>IF($B246="","",IFERROR(INDEX(ContaComp,MATCH($B246,ContaNome,0)),"Conta inválida"))</f>
        <v/>
      </c>
    </row>
    <row r="247" spans="1:7">
      <c r="A247" s="21"/>
      <c r="B247" s="15"/>
      <c r="C247" s="15"/>
      <c r="D247" s="17"/>
      <c r="E247" s="22">
        <f>IF($A247="","",YEAR($A247))</f>
        <v/>
      </c>
      <c r="F247" s="22">
        <f>IF($A247="","",MONTH($A247))</f>
        <v/>
      </c>
      <c r="G247" s="22">
        <f>IF($B247="","",IFERROR(INDEX(ContaComp,MATCH($B247,ContaNome,0)),"Conta inválida"))</f>
        <v/>
      </c>
    </row>
    <row r="248" spans="1:7">
      <c r="A248" s="21"/>
      <c r="B248" s="15"/>
      <c r="C248" s="15"/>
      <c r="D248" s="17"/>
      <c r="E248" s="22">
        <f>IF($A248="","",YEAR($A248))</f>
        <v/>
      </c>
      <c r="F248" s="22">
        <f>IF($A248="","",MONTH($A248))</f>
        <v/>
      </c>
      <c r="G248" s="22">
        <f>IF($B248="","",IFERROR(INDEX(ContaComp,MATCH($B248,ContaNome,0)),"Conta inválida"))</f>
        <v/>
      </c>
    </row>
    <row r="249" spans="1:7">
      <c r="A249" s="21"/>
      <c r="B249" s="15"/>
      <c r="C249" s="15"/>
      <c r="D249" s="17"/>
      <c r="E249" s="22">
        <f>IF($A249="","",YEAR($A249))</f>
        <v/>
      </c>
      <c r="F249" s="22">
        <f>IF($A249="","",MONTH($A249))</f>
        <v/>
      </c>
      <c r="G249" s="22">
        <f>IF($B249="","",IFERROR(INDEX(ContaComp,MATCH($B249,ContaNome,0)),"Conta inválida"))</f>
        <v/>
      </c>
    </row>
    <row r="250" spans="1:7">
      <c r="A250" s="21"/>
      <c r="B250" s="15"/>
      <c r="C250" s="15"/>
      <c r="D250" s="17"/>
      <c r="E250" s="22">
        <f>IF($A250="","",YEAR($A250))</f>
        <v/>
      </c>
      <c r="F250" s="22">
        <f>IF($A250="","",MONTH($A250))</f>
        <v/>
      </c>
      <c r="G250" s="22">
        <f>IF($B250="","",IFERROR(INDEX(ContaComp,MATCH($B250,ContaNome,0)),"Conta inválida"))</f>
        <v/>
      </c>
    </row>
    <row r="251" spans="1:7">
      <c r="A251" s="21"/>
      <c r="B251" s="15"/>
      <c r="C251" s="15"/>
      <c r="D251" s="17"/>
      <c r="E251" s="22">
        <f>IF($A251="","",YEAR($A251))</f>
        <v/>
      </c>
      <c r="F251" s="22">
        <f>IF($A251="","",MONTH($A251))</f>
        <v/>
      </c>
      <c r="G251" s="22">
        <f>IF($B251="","",IFERROR(INDEX(ContaComp,MATCH($B251,ContaNome,0)),"Conta inválida"))</f>
        <v/>
      </c>
    </row>
    <row r="252" spans="1:7">
      <c r="A252" s="21"/>
      <c r="B252" s="15"/>
      <c r="C252" s="15"/>
      <c r="D252" s="17"/>
      <c r="E252" s="22">
        <f>IF($A252="","",YEAR($A252))</f>
        <v/>
      </c>
      <c r="F252" s="22">
        <f>IF($A252="","",MONTH($A252))</f>
        <v/>
      </c>
      <c r="G252" s="22">
        <f>IF($B252="","",IFERROR(INDEX(ContaComp,MATCH($B252,ContaNome,0)),"Conta inválida"))</f>
        <v/>
      </c>
    </row>
    <row r="253" spans="1:7">
      <c r="A253" s="21"/>
      <c r="B253" s="15"/>
      <c r="C253" s="15"/>
      <c r="D253" s="17"/>
      <c r="E253" s="22">
        <f>IF($A253="","",YEAR($A253))</f>
        <v/>
      </c>
      <c r="F253" s="22">
        <f>IF($A253="","",MONTH($A253))</f>
        <v/>
      </c>
      <c r="G253" s="22">
        <f>IF($B253="","",IFERROR(INDEX(ContaComp,MATCH($B253,ContaNome,0)),"Conta inválida"))</f>
        <v/>
      </c>
    </row>
    <row r="254" spans="1:7">
      <c r="A254" s="21"/>
      <c r="B254" s="15"/>
      <c r="C254" s="15"/>
      <c r="D254" s="17"/>
      <c r="E254" s="22">
        <f>IF($A254="","",YEAR($A254))</f>
        <v/>
      </c>
      <c r="F254" s="22">
        <f>IF($A254="","",MONTH($A254))</f>
        <v/>
      </c>
      <c r="G254" s="22">
        <f>IF($B254="","",IFERROR(INDEX(ContaComp,MATCH($B254,ContaNome,0)),"Conta inválida"))</f>
        <v/>
      </c>
    </row>
    <row r="255" spans="1:7">
      <c r="A255" s="21"/>
      <c r="B255" s="15"/>
      <c r="C255" s="15"/>
      <c r="D255" s="17"/>
      <c r="E255" s="22">
        <f>IF($A255="","",YEAR($A255))</f>
        <v/>
      </c>
      <c r="F255" s="22">
        <f>IF($A255="","",MONTH($A255))</f>
        <v/>
      </c>
      <c r="G255" s="22">
        <f>IF($B255="","",IFERROR(INDEX(ContaComp,MATCH($B255,ContaNome,0)),"Conta inválida"))</f>
        <v/>
      </c>
    </row>
    <row r="256" spans="1:7">
      <c r="A256" s="21"/>
      <c r="B256" s="15"/>
      <c r="C256" s="15"/>
      <c r="D256" s="17"/>
      <c r="E256" s="22">
        <f>IF($A256="","",YEAR($A256))</f>
        <v/>
      </c>
      <c r="F256" s="22">
        <f>IF($A256="","",MONTH($A256))</f>
        <v/>
      </c>
      <c r="G256" s="22">
        <f>IF($B256="","",IFERROR(INDEX(ContaComp,MATCH($B256,ContaNome,0)),"Conta inválida"))</f>
        <v/>
      </c>
    </row>
    <row r="257" spans="1:7">
      <c r="A257" s="21"/>
      <c r="B257" s="15"/>
      <c r="C257" s="15"/>
      <c r="D257" s="17"/>
      <c r="E257" s="22">
        <f>IF($A257="","",YEAR($A257))</f>
        <v/>
      </c>
      <c r="F257" s="22">
        <f>IF($A257="","",MONTH($A257))</f>
        <v/>
      </c>
      <c r="G257" s="22">
        <f>IF($B257="","",IFERROR(INDEX(ContaComp,MATCH($B257,ContaNome,0)),"Conta inválida"))</f>
        <v/>
      </c>
    </row>
    <row r="258" spans="1:7">
      <c r="A258" s="21"/>
      <c r="B258" s="15"/>
      <c r="C258" s="15"/>
      <c r="D258" s="17"/>
      <c r="E258" s="22">
        <f>IF($A258="","",YEAR($A258))</f>
        <v/>
      </c>
      <c r="F258" s="22">
        <f>IF($A258="","",MONTH($A258))</f>
        <v/>
      </c>
      <c r="G258" s="22">
        <f>IF($B258="","",IFERROR(INDEX(ContaComp,MATCH($B258,ContaNome,0)),"Conta inválida"))</f>
        <v/>
      </c>
    </row>
    <row r="259" spans="1:7">
      <c r="A259" s="21"/>
      <c r="B259" s="15"/>
      <c r="C259" s="15"/>
      <c r="D259" s="17"/>
      <c r="E259" s="22">
        <f>IF($A259="","",YEAR($A259))</f>
        <v/>
      </c>
      <c r="F259" s="22">
        <f>IF($A259="","",MONTH($A259))</f>
        <v/>
      </c>
      <c r="G259" s="22">
        <f>IF($B259="","",IFERROR(INDEX(ContaComp,MATCH($B259,ContaNome,0)),"Conta inválida"))</f>
        <v/>
      </c>
    </row>
    <row r="260" spans="1:7">
      <c r="A260" s="21"/>
      <c r="B260" s="15"/>
      <c r="C260" s="15"/>
      <c r="D260" s="17"/>
      <c r="E260" s="22">
        <f>IF($A260="","",YEAR($A260))</f>
        <v/>
      </c>
      <c r="F260" s="22">
        <f>IF($A260="","",MONTH($A260))</f>
        <v/>
      </c>
      <c r="G260" s="22">
        <f>IF($B260="","",IFERROR(INDEX(ContaComp,MATCH($B260,ContaNome,0)),"Conta inválida"))</f>
        <v/>
      </c>
    </row>
    <row r="261" spans="1:7">
      <c r="A261" s="21"/>
      <c r="B261" s="15"/>
      <c r="C261" s="15"/>
      <c r="D261" s="17"/>
      <c r="E261" s="22">
        <f>IF($A261="","",YEAR($A261))</f>
        <v/>
      </c>
      <c r="F261" s="22">
        <f>IF($A261="","",MONTH($A261))</f>
        <v/>
      </c>
      <c r="G261" s="22">
        <f>IF($B261="","",IFERROR(INDEX(ContaComp,MATCH($B261,ContaNome,0)),"Conta inválida"))</f>
        <v/>
      </c>
    </row>
    <row r="262" spans="1:7">
      <c r="A262" s="21"/>
      <c r="B262" s="15"/>
      <c r="C262" s="15"/>
      <c r="D262" s="17"/>
      <c r="E262" s="22">
        <f>IF($A262="","",YEAR($A262))</f>
        <v/>
      </c>
      <c r="F262" s="22">
        <f>IF($A262="","",MONTH($A262))</f>
        <v/>
      </c>
      <c r="G262" s="22">
        <f>IF($B262="","",IFERROR(INDEX(ContaComp,MATCH($B262,ContaNome,0)),"Conta inválida"))</f>
        <v/>
      </c>
    </row>
    <row r="263" spans="1:7">
      <c r="A263" s="21"/>
      <c r="B263" s="15"/>
      <c r="C263" s="15"/>
      <c r="D263" s="17"/>
      <c r="E263" s="22">
        <f>IF($A263="","",YEAR($A263))</f>
        <v/>
      </c>
      <c r="F263" s="22">
        <f>IF($A263="","",MONTH($A263))</f>
        <v/>
      </c>
      <c r="G263" s="22">
        <f>IF($B263="","",IFERROR(INDEX(ContaComp,MATCH($B263,ContaNome,0)),"Conta inválida"))</f>
        <v/>
      </c>
    </row>
    <row r="264" spans="1:7">
      <c r="A264" s="21"/>
      <c r="B264" s="15"/>
      <c r="C264" s="15"/>
      <c r="D264" s="17"/>
      <c r="E264" s="22">
        <f>IF($A264="","",YEAR($A264))</f>
        <v/>
      </c>
      <c r="F264" s="22">
        <f>IF($A264="","",MONTH($A264))</f>
        <v/>
      </c>
      <c r="G264" s="22">
        <f>IF($B264="","",IFERROR(INDEX(ContaComp,MATCH($B264,ContaNome,0)),"Conta inválida"))</f>
        <v/>
      </c>
    </row>
    <row r="265" spans="1:7">
      <c r="A265" s="21"/>
      <c r="B265" s="15"/>
      <c r="C265" s="15"/>
      <c r="D265" s="17"/>
      <c r="E265" s="22">
        <f>IF($A265="","",YEAR($A265))</f>
        <v/>
      </c>
      <c r="F265" s="22">
        <f>IF($A265="","",MONTH($A265))</f>
        <v/>
      </c>
      <c r="G265" s="22">
        <f>IF($B265="","",IFERROR(INDEX(ContaComp,MATCH($B265,ContaNome,0)),"Conta inválida"))</f>
        <v/>
      </c>
    </row>
    <row r="266" spans="1:7">
      <c r="A266" s="21"/>
      <c r="B266" s="15"/>
      <c r="C266" s="15"/>
      <c r="D266" s="17"/>
      <c r="E266" s="22">
        <f>IF($A266="","",YEAR($A266))</f>
        <v/>
      </c>
      <c r="F266" s="22">
        <f>IF($A266="","",MONTH($A266))</f>
        <v/>
      </c>
      <c r="G266" s="22">
        <f>IF($B266="","",IFERROR(INDEX(ContaComp,MATCH($B266,ContaNome,0)),"Conta inválida"))</f>
        <v/>
      </c>
    </row>
    <row r="267" spans="1:7">
      <c r="A267" s="21"/>
      <c r="B267" s="15"/>
      <c r="C267" s="15"/>
      <c r="D267" s="17"/>
      <c r="E267" s="22">
        <f>IF($A267="","",YEAR($A267))</f>
        <v/>
      </c>
      <c r="F267" s="22">
        <f>IF($A267="","",MONTH($A267))</f>
        <v/>
      </c>
      <c r="G267" s="22">
        <f>IF($B267="","",IFERROR(INDEX(ContaComp,MATCH($B267,ContaNome,0)),"Conta inválida"))</f>
        <v/>
      </c>
    </row>
    <row r="268" spans="1:7">
      <c r="A268" s="21"/>
      <c r="B268" s="15"/>
      <c r="C268" s="15"/>
      <c r="D268" s="17"/>
      <c r="E268" s="22">
        <f>IF($A268="","",YEAR($A268))</f>
        <v/>
      </c>
      <c r="F268" s="22">
        <f>IF($A268="","",MONTH($A268))</f>
        <v/>
      </c>
      <c r="G268" s="22">
        <f>IF($B268="","",IFERROR(INDEX(ContaComp,MATCH($B268,ContaNome,0)),"Conta inválida"))</f>
        <v/>
      </c>
    </row>
    <row r="269" spans="1:7">
      <c r="A269" s="21"/>
      <c r="B269" s="15"/>
      <c r="C269" s="15"/>
      <c r="D269" s="17"/>
      <c r="E269" s="22">
        <f>IF($A269="","",YEAR($A269))</f>
        <v/>
      </c>
      <c r="F269" s="22">
        <f>IF($A269="","",MONTH($A269))</f>
        <v/>
      </c>
      <c r="G269" s="22">
        <f>IF($B269="","",IFERROR(INDEX(ContaComp,MATCH($B269,ContaNome,0)),"Conta inválida"))</f>
        <v/>
      </c>
    </row>
    <row r="270" spans="1:7">
      <c r="A270" s="21"/>
      <c r="B270" s="15"/>
      <c r="C270" s="15"/>
      <c r="D270" s="17"/>
      <c r="E270" s="22">
        <f>IF($A270="","",YEAR($A270))</f>
        <v/>
      </c>
      <c r="F270" s="22">
        <f>IF($A270="","",MONTH($A270))</f>
        <v/>
      </c>
      <c r="G270" s="22">
        <f>IF($B270="","",IFERROR(INDEX(ContaComp,MATCH($B270,ContaNome,0)),"Conta inválida"))</f>
        <v/>
      </c>
    </row>
    <row r="271" spans="1:7">
      <c r="A271" s="21"/>
      <c r="B271" s="15"/>
      <c r="C271" s="15"/>
      <c r="D271" s="17"/>
      <c r="E271" s="22">
        <f>IF($A271="","",YEAR($A271))</f>
        <v/>
      </c>
      <c r="F271" s="22">
        <f>IF($A271="","",MONTH($A271))</f>
        <v/>
      </c>
      <c r="G271" s="22">
        <f>IF($B271="","",IFERROR(INDEX(ContaComp,MATCH($B271,ContaNome,0)),"Conta inválida"))</f>
        <v/>
      </c>
    </row>
    <row r="272" spans="1:7">
      <c r="A272" s="21"/>
      <c r="B272" s="15"/>
      <c r="C272" s="15"/>
      <c r="D272" s="17"/>
      <c r="E272" s="22">
        <f>IF($A272="","",YEAR($A272))</f>
        <v/>
      </c>
      <c r="F272" s="22">
        <f>IF($A272="","",MONTH($A272))</f>
        <v/>
      </c>
      <c r="G272" s="22">
        <f>IF($B272="","",IFERROR(INDEX(ContaComp,MATCH($B272,ContaNome,0)),"Conta inválida"))</f>
        <v/>
      </c>
    </row>
    <row r="273" spans="1:7">
      <c r="A273" s="21"/>
      <c r="B273" s="15"/>
      <c r="C273" s="15"/>
      <c r="D273" s="17"/>
      <c r="E273" s="22">
        <f>IF($A273="","",YEAR($A273))</f>
        <v/>
      </c>
      <c r="F273" s="22">
        <f>IF($A273="","",MONTH($A273))</f>
        <v/>
      </c>
      <c r="G273" s="22">
        <f>IF($B273="","",IFERROR(INDEX(ContaComp,MATCH($B273,ContaNome,0)),"Conta inválida"))</f>
        <v/>
      </c>
    </row>
    <row r="274" spans="1:7">
      <c r="A274" s="21"/>
      <c r="B274" s="15"/>
      <c r="C274" s="15"/>
      <c r="D274" s="17"/>
      <c r="E274" s="22">
        <f>IF($A274="","",YEAR($A274))</f>
        <v/>
      </c>
      <c r="F274" s="22">
        <f>IF($A274="","",MONTH($A274))</f>
        <v/>
      </c>
      <c r="G274" s="22">
        <f>IF($B274="","",IFERROR(INDEX(ContaComp,MATCH($B274,ContaNome,0)),"Conta inválida"))</f>
        <v/>
      </c>
    </row>
    <row r="275" spans="1:7">
      <c r="A275" s="21"/>
      <c r="B275" s="15"/>
      <c r="C275" s="15"/>
      <c r="D275" s="17"/>
      <c r="E275" s="22">
        <f>IF($A275="","",YEAR($A275))</f>
        <v/>
      </c>
      <c r="F275" s="22">
        <f>IF($A275="","",MONTH($A275))</f>
        <v/>
      </c>
      <c r="G275" s="22">
        <f>IF($B275="","",IFERROR(INDEX(ContaComp,MATCH($B275,ContaNome,0)),"Conta inválida"))</f>
        <v/>
      </c>
    </row>
    <row r="276" spans="1:7">
      <c r="A276" s="21"/>
      <c r="B276" s="15"/>
      <c r="C276" s="15"/>
      <c r="D276" s="17"/>
      <c r="E276" s="22">
        <f>IF($A276="","",YEAR($A276))</f>
        <v/>
      </c>
      <c r="F276" s="22">
        <f>IF($A276="","",MONTH($A276))</f>
        <v/>
      </c>
      <c r="G276" s="22">
        <f>IF($B276="","",IFERROR(INDEX(ContaComp,MATCH($B276,ContaNome,0)),"Conta inválida"))</f>
        <v/>
      </c>
    </row>
    <row r="277" spans="1:7">
      <c r="A277" s="21"/>
      <c r="B277" s="15"/>
      <c r="C277" s="15"/>
      <c r="D277" s="17"/>
      <c r="E277" s="22">
        <f>IF($A277="","",YEAR($A277))</f>
        <v/>
      </c>
      <c r="F277" s="22">
        <f>IF($A277="","",MONTH($A277))</f>
        <v/>
      </c>
      <c r="G277" s="22">
        <f>IF($B277="","",IFERROR(INDEX(ContaComp,MATCH($B277,ContaNome,0)),"Conta inválida"))</f>
        <v/>
      </c>
    </row>
    <row r="278" spans="1:7">
      <c r="A278" s="21"/>
      <c r="B278" s="15"/>
      <c r="C278" s="15"/>
      <c r="D278" s="17"/>
      <c r="E278" s="22">
        <f>IF($A278="","",YEAR($A278))</f>
        <v/>
      </c>
      <c r="F278" s="22">
        <f>IF($A278="","",MONTH($A278))</f>
        <v/>
      </c>
      <c r="G278" s="22">
        <f>IF($B278="","",IFERROR(INDEX(ContaComp,MATCH($B278,ContaNome,0)),"Conta inválida"))</f>
        <v/>
      </c>
    </row>
    <row r="279" spans="1:7">
      <c r="A279" s="21"/>
      <c r="B279" s="15"/>
      <c r="C279" s="15"/>
      <c r="D279" s="17"/>
      <c r="E279" s="22">
        <f>IF($A279="","",YEAR($A279))</f>
        <v/>
      </c>
      <c r="F279" s="22">
        <f>IF($A279="","",MONTH($A279))</f>
        <v/>
      </c>
      <c r="G279" s="22">
        <f>IF($B279="","",IFERROR(INDEX(ContaComp,MATCH($B279,ContaNome,0)),"Conta inválida"))</f>
        <v/>
      </c>
    </row>
    <row r="280" spans="1:7">
      <c r="A280" s="21"/>
      <c r="B280" s="15"/>
      <c r="C280" s="15"/>
      <c r="D280" s="17"/>
      <c r="E280" s="22">
        <f>IF($A280="","",YEAR($A280))</f>
        <v/>
      </c>
      <c r="F280" s="22">
        <f>IF($A280="","",MONTH($A280))</f>
        <v/>
      </c>
      <c r="G280" s="22">
        <f>IF($B280="","",IFERROR(INDEX(ContaComp,MATCH($B280,ContaNome,0)),"Conta inválida"))</f>
        <v/>
      </c>
    </row>
    <row r="281" spans="1:7">
      <c r="A281" s="21"/>
      <c r="B281" s="15"/>
      <c r="C281" s="15"/>
      <c r="D281" s="17"/>
      <c r="E281" s="22">
        <f>IF($A281="","",YEAR($A281))</f>
        <v/>
      </c>
      <c r="F281" s="22">
        <f>IF($A281="","",MONTH($A281))</f>
        <v/>
      </c>
      <c r="G281" s="22">
        <f>IF($B281="","",IFERROR(INDEX(ContaComp,MATCH($B281,ContaNome,0)),"Conta inválida"))</f>
        <v/>
      </c>
    </row>
    <row r="282" spans="1:7">
      <c r="A282" s="21"/>
      <c r="B282" s="15"/>
      <c r="C282" s="15"/>
      <c r="D282" s="17"/>
      <c r="E282" s="22">
        <f>IF($A282="","",YEAR($A282))</f>
        <v/>
      </c>
      <c r="F282" s="22">
        <f>IF($A282="","",MONTH($A282))</f>
        <v/>
      </c>
      <c r="G282" s="22">
        <f>IF($B282="","",IFERROR(INDEX(ContaComp,MATCH($B282,ContaNome,0)),"Conta inválida"))</f>
        <v/>
      </c>
    </row>
    <row r="283" spans="1:7">
      <c r="A283" s="21"/>
      <c r="B283" s="15"/>
      <c r="C283" s="15"/>
      <c r="D283" s="17"/>
      <c r="E283" s="22">
        <f>IF($A283="","",YEAR($A283))</f>
        <v/>
      </c>
      <c r="F283" s="22">
        <f>IF($A283="","",MONTH($A283))</f>
        <v/>
      </c>
      <c r="G283" s="22">
        <f>IF($B283="","",IFERROR(INDEX(ContaComp,MATCH($B283,ContaNome,0)),"Conta inválida"))</f>
        <v/>
      </c>
    </row>
    <row r="284" spans="1:7">
      <c r="A284" s="21"/>
      <c r="B284" s="15"/>
      <c r="C284" s="15"/>
      <c r="D284" s="17"/>
      <c r="E284" s="22">
        <f>IF($A284="","",YEAR($A284))</f>
        <v/>
      </c>
      <c r="F284" s="22">
        <f>IF($A284="","",MONTH($A284))</f>
        <v/>
      </c>
      <c r="G284" s="22">
        <f>IF($B284="","",IFERROR(INDEX(ContaComp,MATCH($B284,ContaNome,0)),"Conta inválida"))</f>
        <v/>
      </c>
    </row>
    <row r="285" spans="1:7">
      <c r="A285" s="21"/>
      <c r="B285" s="15"/>
      <c r="C285" s="15"/>
      <c r="D285" s="17"/>
      <c r="E285" s="22">
        <f>IF($A285="","",YEAR($A285))</f>
        <v/>
      </c>
      <c r="F285" s="22">
        <f>IF($A285="","",MONTH($A285))</f>
        <v/>
      </c>
      <c r="G285" s="22">
        <f>IF($B285="","",IFERROR(INDEX(ContaComp,MATCH($B285,ContaNome,0)),"Conta inválida"))</f>
        <v/>
      </c>
    </row>
    <row r="286" spans="1:7">
      <c r="A286" s="21"/>
      <c r="B286" s="15"/>
      <c r="C286" s="15"/>
      <c r="D286" s="17"/>
      <c r="E286" s="22">
        <f>IF($A286="","",YEAR($A286))</f>
        <v/>
      </c>
      <c r="F286" s="22">
        <f>IF($A286="","",MONTH($A286))</f>
        <v/>
      </c>
      <c r="G286" s="22">
        <f>IF($B286="","",IFERROR(INDEX(ContaComp,MATCH($B286,ContaNome,0)),"Conta inválida"))</f>
        <v/>
      </c>
    </row>
    <row r="287" spans="1:7">
      <c r="A287" s="21"/>
      <c r="B287" s="15"/>
      <c r="C287" s="15"/>
      <c r="D287" s="17"/>
      <c r="E287" s="22">
        <f>IF($A287="","",YEAR($A287))</f>
        <v/>
      </c>
      <c r="F287" s="22">
        <f>IF($A287="","",MONTH($A287))</f>
        <v/>
      </c>
      <c r="G287" s="22">
        <f>IF($B287="","",IFERROR(INDEX(ContaComp,MATCH($B287,ContaNome,0)),"Conta inválida"))</f>
        <v/>
      </c>
    </row>
    <row r="288" spans="1:7">
      <c r="A288" s="21"/>
      <c r="B288" s="15"/>
      <c r="C288" s="15"/>
      <c r="D288" s="17"/>
      <c r="E288" s="22">
        <f>IF($A288="","",YEAR($A288))</f>
        <v/>
      </c>
      <c r="F288" s="22">
        <f>IF($A288="","",MONTH($A288))</f>
        <v/>
      </c>
      <c r="G288" s="22">
        <f>IF($B288="","",IFERROR(INDEX(ContaComp,MATCH($B288,ContaNome,0)),"Conta inválida"))</f>
        <v/>
      </c>
    </row>
    <row r="289" spans="1:7">
      <c r="A289" s="21"/>
      <c r="B289" s="15"/>
      <c r="C289" s="15"/>
      <c r="D289" s="17"/>
      <c r="E289" s="22">
        <f>IF($A289="","",YEAR($A289))</f>
        <v/>
      </c>
      <c r="F289" s="22">
        <f>IF($A289="","",MONTH($A289))</f>
        <v/>
      </c>
      <c r="G289" s="22">
        <f>IF($B289="","",IFERROR(INDEX(ContaComp,MATCH($B289,ContaNome,0)),"Conta inválida"))</f>
        <v/>
      </c>
    </row>
    <row r="290" spans="1:7">
      <c r="A290" s="21"/>
      <c r="B290" s="15"/>
      <c r="C290" s="15"/>
      <c r="D290" s="17"/>
      <c r="E290" s="22">
        <f>IF($A290="","",YEAR($A290))</f>
        <v/>
      </c>
      <c r="F290" s="22">
        <f>IF($A290="","",MONTH($A290))</f>
        <v/>
      </c>
      <c r="G290" s="22">
        <f>IF($B290="","",IFERROR(INDEX(ContaComp,MATCH($B290,ContaNome,0)),"Conta inválida"))</f>
        <v/>
      </c>
    </row>
    <row r="291" spans="1:7">
      <c r="A291" s="21"/>
      <c r="B291" s="15"/>
      <c r="C291" s="15"/>
      <c r="D291" s="17"/>
      <c r="E291" s="22">
        <f>IF($A291="","",YEAR($A291))</f>
        <v/>
      </c>
      <c r="F291" s="22">
        <f>IF($A291="","",MONTH($A291))</f>
        <v/>
      </c>
      <c r="G291" s="22">
        <f>IF($B291="","",IFERROR(INDEX(ContaComp,MATCH($B291,ContaNome,0)),"Conta inválida"))</f>
        <v/>
      </c>
    </row>
    <row r="292" spans="1:7">
      <c r="A292" s="21"/>
      <c r="B292" s="15"/>
      <c r="C292" s="15"/>
      <c r="D292" s="17"/>
      <c r="E292" s="22">
        <f>IF($A292="","",YEAR($A292))</f>
        <v/>
      </c>
      <c r="F292" s="22">
        <f>IF($A292="","",MONTH($A292))</f>
        <v/>
      </c>
      <c r="G292" s="22">
        <f>IF($B292="","",IFERROR(INDEX(ContaComp,MATCH($B292,ContaNome,0)),"Conta inválida"))</f>
        <v/>
      </c>
    </row>
    <row r="293" spans="1:7">
      <c r="A293" s="21"/>
      <c r="B293" s="15"/>
      <c r="C293" s="15"/>
      <c r="D293" s="17"/>
      <c r="E293" s="22">
        <f>IF($A293="","",YEAR($A293))</f>
        <v/>
      </c>
      <c r="F293" s="22">
        <f>IF($A293="","",MONTH($A293))</f>
        <v/>
      </c>
      <c r="G293" s="22">
        <f>IF($B293="","",IFERROR(INDEX(ContaComp,MATCH($B293,ContaNome,0)),"Conta inválida"))</f>
        <v/>
      </c>
    </row>
    <row r="294" spans="1:7">
      <c r="A294" s="21"/>
      <c r="B294" s="15"/>
      <c r="C294" s="15"/>
      <c r="D294" s="17"/>
      <c r="E294" s="22">
        <f>IF($A294="","",YEAR($A294))</f>
        <v/>
      </c>
      <c r="F294" s="22">
        <f>IF($A294="","",MONTH($A294))</f>
        <v/>
      </c>
      <c r="G294" s="22">
        <f>IF($B294="","",IFERROR(INDEX(ContaComp,MATCH($B294,ContaNome,0)),"Conta inválida"))</f>
        <v/>
      </c>
    </row>
    <row r="295" spans="1:7">
      <c r="A295" s="21"/>
      <c r="B295" s="15"/>
      <c r="C295" s="15"/>
      <c r="D295" s="17"/>
      <c r="E295" s="22">
        <f>IF($A295="","",YEAR($A295))</f>
        <v/>
      </c>
      <c r="F295" s="22">
        <f>IF($A295="","",MONTH($A295))</f>
        <v/>
      </c>
      <c r="G295" s="22">
        <f>IF($B295="","",IFERROR(INDEX(ContaComp,MATCH($B295,ContaNome,0)),"Conta inválida"))</f>
        <v/>
      </c>
    </row>
    <row r="296" spans="1:7">
      <c r="A296" s="21"/>
      <c r="B296" s="15"/>
      <c r="C296" s="15"/>
      <c r="D296" s="17"/>
      <c r="E296" s="22">
        <f>IF($A296="","",YEAR($A296))</f>
        <v/>
      </c>
      <c r="F296" s="22">
        <f>IF($A296="","",MONTH($A296))</f>
        <v/>
      </c>
      <c r="G296" s="22">
        <f>IF($B296="","",IFERROR(INDEX(ContaComp,MATCH($B296,ContaNome,0)),"Conta inválida"))</f>
        <v/>
      </c>
    </row>
    <row r="297" spans="1:7">
      <c r="A297" s="21"/>
      <c r="B297" s="15"/>
      <c r="C297" s="15"/>
      <c r="D297" s="17"/>
      <c r="E297" s="22">
        <f>IF($A297="","",YEAR($A297))</f>
        <v/>
      </c>
      <c r="F297" s="22">
        <f>IF($A297="","",MONTH($A297))</f>
        <v/>
      </c>
      <c r="G297" s="22">
        <f>IF($B297="","",IFERROR(INDEX(ContaComp,MATCH($B297,ContaNome,0)),"Conta inválida"))</f>
        <v/>
      </c>
    </row>
    <row r="298" spans="1:7">
      <c r="A298" s="21"/>
      <c r="B298" s="15"/>
      <c r="C298" s="15"/>
      <c r="D298" s="17"/>
      <c r="E298" s="22">
        <f>IF($A298="","",YEAR($A298))</f>
        <v/>
      </c>
      <c r="F298" s="22">
        <f>IF($A298="","",MONTH($A298))</f>
        <v/>
      </c>
      <c r="G298" s="22">
        <f>IF($B298="","",IFERROR(INDEX(ContaComp,MATCH($B298,ContaNome,0)),"Conta inválida"))</f>
        <v/>
      </c>
    </row>
    <row r="299" spans="1:7">
      <c r="A299" s="21"/>
      <c r="B299" s="15"/>
      <c r="C299" s="15"/>
      <c r="D299" s="17"/>
      <c r="E299" s="22">
        <f>IF($A299="","",YEAR($A299))</f>
        <v/>
      </c>
      <c r="F299" s="22">
        <f>IF($A299="","",MONTH($A299))</f>
        <v/>
      </c>
      <c r="G299" s="22">
        <f>IF($B299="","",IFERROR(INDEX(ContaComp,MATCH($B299,ContaNome,0)),"Conta inválida"))</f>
        <v/>
      </c>
    </row>
    <row r="300" spans="1:7">
      <c r="A300" s="21"/>
      <c r="B300" s="15"/>
      <c r="C300" s="15"/>
      <c r="D300" s="17"/>
      <c r="E300" s="22">
        <f>IF($A300="","",YEAR($A300))</f>
        <v/>
      </c>
      <c r="F300" s="22">
        <f>IF($A300="","",MONTH($A300))</f>
        <v/>
      </c>
      <c r="G300" s="22">
        <f>IF($B300="","",IFERROR(INDEX(ContaComp,MATCH($B300,ContaNome,0)),"Conta inválida"))</f>
        <v/>
      </c>
    </row>
    <row r="301" spans="1:7">
      <c r="A301" s="21"/>
      <c r="B301" s="15"/>
      <c r="C301" s="15"/>
      <c r="D301" s="17"/>
      <c r="E301" s="22">
        <f>IF($A301="","",YEAR($A301))</f>
        <v/>
      </c>
      <c r="F301" s="22">
        <f>IF($A301="","",MONTH($A301))</f>
        <v/>
      </c>
      <c r="G301" s="22">
        <f>IF($B301="","",IFERROR(INDEX(ContaComp,MATCH($B301,ContaNome,0)),"Conta inválida"))</f>
        <v/>
      </c>
    </row>
    <row r="302" spans="1:7">
      <c r="A302" s="21"/>
      <c r="B302" s="15"/>
      <c r="C302" s="15"/>
      <c r="D302" s="17"/>
      <c r="E302" s="22">
        <f>IF($A302="","",YEAR($A302))</f>
        <v/>
      </c>
      <c r="F302" s="22">
        <f>IF($A302="","",MONTH($A302))</f>
        <v/>
      </c>
      <c r="G302" s="22">
        <f>IF($B302="","",IFERROR(INDEX(ContaComp,MATCH($B302,ContaNome,0)),"Conta inválida"))</f>
        <v/>
      </c>
    </row>
    <row r="303" spans="1:7">
      <c r="A303" s="21"/>
      <c r="B303" s="15"/>
      <c r="C303" s="15"/>
      <c r="D303" s="17"/>
      <c r="E303" s="22">
        <f>IF($A303="","",YEAR($A303))</f>
        <v/>
      </c>
      <c r="F303" s="22">
        <f>IF($A303="","",MONTH($A303))</f>
        <v/>
      </c>
      <c r="G303" s="22">
        <f>IF($B303="","",IFERROR(INDEX(ContaComp,MATCH($B303,ContaNome,0)),"Conta inválida"))</f>
        <v/>
      </c>
    </row>
    <row r="304" spans="1:7">
      <c r="A304" s="21"/>
      <c r="B304" s="15"/>
      <c r="C304" s="15"/>
      <c r="D304" s="17"/>
      <c r="E304" s="22">
        <f>IF($A304="","",YEAR($A304))</f>
        <v/>
      </c>
      <c r="F304" s="22">
        <f>IF($A304="","",MONTH($A304))</f>
        <v/>
      </c>
      <c r="G304" s="22">
        <f>IF($B304="","",IFERROR(INDEX(ContaComp,MATCH($B304,ContaNome,0)),"Conta inválida"))</f>
        <v/>
      </c>
    </row>
    <row r="305" spans="1:7">
      <c r="A305" s="21"/>
      <c r="B305" s="15"/>
      <c r="C305" s="15"/>
      <c r="D305" s="17"/>
      <c r="E305" s="22">
        <f>IF($A305="","",YEAR($A305))</f>
        <v/>
      </c>
      <c r="F305" s="22">
        <f>IF($A305="","",MONTH($A305))</f>
        <v/>
      </c>
      <c r="G305" s="22">
        <f>IF($B305="","",IFERROR(INDEX(ContaComp,MATCH($B305,ContaNome,0)),"Conta inválida"))</f>
        <v/>
      </c>
    </row>
    <row r="306" spans="1:7">
      <c r="A306" s="21"/>
      <c r="B306" s="15"/>
      <c r="C306" s="15"/>
      <c r="D306" s="17"/>
      <c r="E306" s="22">
        <f>IF($A306="","",YEAR($A306))</f>
        <v/>
      </c>
      <c r="F306" s="22">
        <f>IF($A306="","",MONTH($A306))</f>
        <v/>
      </c>
      <c r="G306" s="22">
        <f>IF($B306="","",IFERROR(INDEX(ContaComp,MATCH($B306,ContaNome,0)),"Conta inválida"))</f>
        <v/>
      </c>
    </row>
    <row r="307" spans="1:7">
      <c r="A307" s="21"/>
      <c r="B307" s="15"/>
      <c r="C307" s="15"/>
      <c r="D307" s="17"/>
      <c r="E307" s="22">
        <f>IF($A307="","",YEAR($A307))</f>
        <v/>
      </c>
      <c r="F307" s="22">
        <f>IF($A307="","",MONTH($A307))</f>
        <v/>
      </c>
      <c r="G307" s="22">
        <f>IF($B307="","",IFERROR(INDEX(ContaComp,MATCH($B307,ContaNome,0)),"Conta inválida"))</f>
        <v/>
      </c>
    </row>
    <row r="308" spans="1:7">
      <c r="A308" s="21"/>
      <c r="B308" s="15"/>
      <c r="C308" s="15"/>
      <c r="D308" s="17"/>
      <c r="E308" s="22">
        <f>IF($A308="","",YEAR($A308))</f>
        <v/>
      </c>
      <c r="F308" s="22">
        <f>IF($A308="","",MONTH($A308))</f>
        <v/>
      </c>
      <c r="G308" s="22">
        <f>IF($B308="","",IFERROR(INDEX(ContaComp,MATCH($B308,ContaNome,0)),"Conta inválida"))</f>
        <v/>
      </c>
    </row>
    <row r="309" spans="1:7">
      <c r="A309" s="21"/>
      <c r="B309" s="15"/>
      <c r="C309" s="15"/>
      <c r="D309" s="17"/>
      <c r="E309" s="22">
        <f>IF($A309="","",YEAR($A309))</f>
        <v/>
      </c>
      <c r="F309" s="22">
        <f>IF($A309="","",MONTH($A309))</f>
        <v/>
      </c>
      <c r="G309" s="22">
        <f>IF($B309="","",IFERROR(INDEX(ContaComp,MATCH($B309,ContaNome,0)),"Conta inválida"))</f>
        <v/>
      </c>
    </row>
    <row r="310" spans="1:7">
      <c r="A310" s="21"/>
      <c r="B310" s="15"/>
      <c r="C310" s="15"/>
      <c r="D310" s="17"/>
      <c r="E310" s="22">
        <f>IF($A310="","",YEAR($A310))</f>
        <v/>
      </c>
      <c r="F310" s="22">
        <f>IF($A310="","",MONTH($A310))</f>
        <v/>
      </c>
      <c r="G310" s="22">
        <f>IF($B310="","",IFERROR(INDEX(ContaComp,MATCH($B310,ContaNome,0)),"Conta inválida"))</f>
        <v/>
      </c>
    </row>
    <row r="311" spans="1:7">
      <c r="A311" s="21"/>
      <c r="B311" s="15"/>
      <c r="C311" s="15"/>
      <c r="D311" s="17"/>
      <c r="E311" s="22">
        <f>IF($A311="","",YEAR($A311))</f>
        <v/>
      </c>
      <c r="F311" s="22">
        <f>IF($A311="","",MONTH($A311))</f>
        <v/>
      </c>
      <c r="G311" s="22">
        <f>IF($B311="","",IFERROR(INDEX(ContaComp,MATCH($B311,ContaNome,0)),"Conta inválida"))</f>
        <v/>
      </c>
    </row>
    <row r="312" spans="1:7">
      <c r="A312" s="21"/>
      <c r="B312" s="15"/>
      <c r="C312" s="15"/>
      <c r="D312" s="17"/>
      <c r="E312" s="22">
        <f>IF($A312="","",YEAR($A312))</f>
        <v/>
      </c>
      <c r="F312" s="22">
        <f>IF($A312="","",MONTH($A312))</f>
        <v/>
      </c>
      <c r="G312" s="22">
        <f>IF($B312="","",IFERROR(INDEX(ContaComp,MATCH($B312,ContaNome,0)),"Conta inválida"))</f>
        <v/>
      </c>
    </row>
    <row r="313" spans="1:7">
      <c r="A313" s="21"/>
      <c r="B313" s="15"/>
      <c r="C313" s="15"/>
      <c r="D313" s="17"/>
      <c r="E313" s="22">
        <f>IF($A313="","",YEAR($A313))</f>
        <v/>
      </c>
      <c r="F313" s="22">
        <f>IF($A313="","",MONTH($A313))</f>
        <v/>
      </c>
      <c r="G313" s="22">
        <f>IF($B313="","",IFERROR(INDEX(ContaComp,MATCH($B313,ContaNome,0)),"Conta inválida"))</f>
        <v/>
      </c>
    </row>
    <row r="314" spans="1:7">
      <c r="A314" s="21"/>
      <c r="B314" s="15"/>
      <c r="C314" s="15"/>
      <c r="D314" s="17"/>
      <c r="E314" s="22">
        <f>IF($A314="","",YEAR($A314))</f>
        <v/>
      </c>
      <c r="F314" s="22">
        <f>IF($A314="","",MONTH($A314))</f>
        <v/>
      </c>
      <c r="G314" s="22">
        <f>IF($B314="","",IFERROR(INDEX(ContaComp,MATCH($B314,ContaNome,0)),"Conta inválida"))</f>
        <v/>
      </c>
    </row>
    <row r="315" spans="1:7">
      <c r="A315" s="21"/>
      <c r="B315" s="15"/>
      <c r="C315" s="15"/>
      <c r="D315" s="17"/>
      <c r="E315" s="22">
        <f>IF($A315="","",YEAR($A315))</f>
        <v/>
      </c>
      <c r="F315" s="22">
        <f>IF($A315="","",MONTH($A315))</f>
        <v/>
      </c>
      <c r="G315" s="22">
        <f>IF($B315="","",IFERROR(INDEX(ContaComp,MATCH($B315,ContaNome,0)),"Conta inválida"))</f>
        <v/>
      </c>
    </row>
    <row r="316" spans="1:7">
      <c r="A316" s="21"/>
      <c r="B316" s="15"/>
      <c r="C316" s="15"/>
      <c r="D316" s="17"/>
      <c r="E316" s="22">
        <f>IF($A316="","",YEAR($A316))</f>
        <v/>
      </c>
      <c r="F316" s="22">
        <f>IF($A316="","",MONTH($A316))</f>
        <v/>
      </c>
      <c r="G316" s="22">
        <f>IF($B316="","",IFERROR(INDEX(ContaComp,MATCH($B316,ContaNome,0)),"Conta inválida"))</f>
        <v/>
      </c>
    </row>
    <row r="317" spans="1:7">
      <c r="A317" s="21"/>
      <c r="B317" s="15"/>
      <c r="C317" s="15"/>
      <c r="D317" s="17"/>
      <c r="E317" s="22">
        <f>IF($A317="","",YEAR($A317))</f>
        <v/>
      </c>
      <c r="F317" s="22">
        <f>IF($A317="","",MONTH($A317))</f>
        <v/>
      </c>
      <c r="G317" s="22">
        <f>IF($B317="","",IFERROR(INDEX(ContaComp,MATCH($B317,ContaNome,0)),"Conta inválida"))</f>
        <v/>
      </c>
    </row>
    <row r="318" spans="1:7">
      <c r="A318" s="21"/>
      <c r="B318" s="15"/>
      <c r="C318" s="15"/>
      <c r="D318" s="17"/>
      <c r="E318" s="22">
        <f>IF($A318="","",YEAR($A318))</f>
        <v/>
      </c>
      <c r="F318" s="22">
        <f>IF($A318="","",MONTH($A318))</f>
        <v/>
      </c>
      <c r="G318" s="22">
        <f>IF($B318="","",IFERROR(INDEX(ContaComp,MATCH($B318,ContaNome,0)),"Conta inválida"))</f>
        <v/>
      </c>
    </row>
    <row r="319" spans="1:7">
      <c r="A319" s="21"/>
      <c r="B319" s="15"/>
      <c r="C319" s="15"/>
      <c r="D319" s="17"/>
      <c r="E319" s="22">
        <f>IF($A319="","",YEAR($A319))</f>
        <v/>
      </c>
      <c r="F319" s="22">
        <f>IF($A319="","",MONTH($A319))</f>
        <v/>
      </c>
      <c r="G319" s="22">
        <f>IF($B319="","",IFERROR(INDEX(ContaComp,MATCH($B319,ContaNome,0)),"Conta inválida"))</f>
        <v/>
      </c>
    </row>
    <row r="320" spans="1:7">
      <c r="A320" s="21"/>
      <c r="B320" s="15"/>
      <c r="C320" s="15"/>
      <c r="D320" s="17"/>
      <c r="E320" s="22">
        <f>IF($A320="","",YEAR($A320))</f>
        <v/>
      </c>
      <c r="F320" s="22">
        <f>IF($A320="","",MONTH($A320))</f>
        <v/>
      </c>
      <c r="G320" s="22">
        <f>IF($B320="","",IFERROR(INDEX(ContaComp,MATCH($B320,ContaNome,0)),"Conta inválida"))</f>
        <v/>
      </c>
    </row>
    <row r="321" spans="1:7">
      <c r="A321" s="21"/>
      <c r="B321" s="15"/>
      <c r="C321" s="15"/>
      <c r="D321" s="17"/>
      <c r="E321" s="22">
        <f>IF($A321="","",YEAR($A321))</f>
        <v/>
      </c>
      <c r="F321" s="22">
        <f>IF($A321="","",MONTH($A321))</f>
        <v/>
      </c>
      <c r="G321" s="22">
        <f>IF($B321="","",IFERROR(INDEX(ContaComp,MATCH($B321,ContaNome,0)),"Conta inválida"))</f>
        <v/>
      </c>
    </row>
    <row r="322" spans="1:7">
      <c r="A322" s="21"/>
      <c r="B322" s="15"/>
      <c r="C322" s="15"/>
      <c r="D322" s="17"/>
      <c r="E322" s="22">
        <f>IF($A322="","",YEAR($A322))</f>
        <v/>
      </c>
      <c r="F322" s="22">
        <f>IF($A322="","",MONTH($A322))</f>
        <v/>
      </c>
      <c r="G322" s="22">
        <f>IF($B322="","",IFERROR(INDEX(ContaComp,MATCH($B322,ContaNome,0)),"Conta inválida"))</f>
        <v/>
      </c>
    </row>
    <row r="323" spans="1:7">
      <c r="A323" s="21"/>
      <c r="B323" s="15"/>
      <c r="C323" s="15"/>
      <c r="D323" s="17"/>
      <c r="E323" s="22">
        <f>IF($A323="","",YEAR($A323))</f>
        <v/>
      </c>
      <c r="F323" s="22">
        <f>IF($A323="","",MONTH($A323))</f>
        <v/>
      </c>
      <c r="G323" s="22">
        <f>IF($B323="","",IFERROR(INDEX(ContaComp,MATCH($B323,ContaNome,0)),"Conta inválida"))</f>
        <v/>
      </c>
    </row>
    <row r="324" spans="1:7">
      <c r="A324" s="21"/>
      <c r="B324" s="15"/>
      <c r="C324" s="15"/>
      <c r="D324" s="17"/>
      <c r="E324" s="22">
        <f>IF($A324="","",YEAR($A324))</f>
        <v/>
      </c>
      <c r="F324" s="22">
        <f>IF($A324="","",MONTH($A324))</f>
        <v/>
      </c>
      <c r="G324" s="22">
        <f>IF($B324="","",IFERROR(INDEX(ContaComp,MATCH($B324,ContaNome,0)),"Conta inválida"))</f>
        <v/>
      </c>
    </row>
    <row r="325" spans="1:7">
      <c r="A325" s="21"/>
      <c r="B325" s="15"/>
      <c r="C325" s="15"/>
      <c r="D325" s="17"/>
      <c r="E325" s="22">
        <f>IF($A325="","",YEAR($A325))</f>
        <v/>
      </c>
      <c r="F325" s="22">
        <f>IF($A325="","",MONTH($A325))</f>
        <v/>
      </c>
      <c r="G325" s="22">
        <f>IF($B325="","",IFERROR(INDEX(ContaComp,MATCH($B325,ContaNome,0)),"Conta inválida"))</f>
        <v/>
      </c>
    </row>
    <row r="326" spans="1:7">
      <c r="A326" s="21"/>
      <c r="B326" s="15"/>
      <c r="C326" s="15"/>
      <c r="D326" s="17"/>
      <c r="E326" s="22">
        <f>IF($A326="","",YEAR($A326))</f>
        <v/>
      </c>
      <c r="F326" s="22">
        <f>IF($A326="","",MONTH($A326))</f>
        <v/>
      </c>
      <c r="G326" s="22">
        <f>IF($B326="","",IFERROR(INDEX(ContaComp,MATCH($B326,ContaNome,0)),"Conta inválida"))</f>
        <v/>
      </c>
    </row>
    <row r="327" spans="1:7">
      <c r="A327" s="21"/>
      <c r="B327" s="15"/>
      <c r="C327" s="15"/>
      <c r="D327" s="17"/>
      <c r="E327" s="22">
        <f>IF($A327="","",YEAR($A327))</f>
        <v/>
      </c>
      <c r="F327" s="22">
        <f>IF($A327="","",MONTH($A327))</f>
        <v/>
      </c>
      <c r="G327" s="22">
        <f>IF($B327="","",IFERROR(INDEX(ContaComp,MATCH($B327,ContaNome,0)),"Conta inválida"))</f>
        <v/>
      </c>
    </row>
    <row r="328" spans="1:7">
      <c r="A328" s="21"/>
      <c r="B328" s="15"/>
      <c r="C328" s="15"/>
      <c r="D328" s="17"/>
      <c r="E328" s="22">
        <f>IF($A328="","",YEAR($A328))</f>
        <v/>
      </c>
      <c r="F328" s="22">
        <f>IF($A328="","",MONTH($A328))</f>
        <v/>
      </c>
      <c r="G328" s="22">
        <f>IF($B328="","",IFERROR(INDEX(ContaComp,MATCH($B328,ContaNome,0)),"Conta inválida"))</f>
        <v/>
      </c>
    </row>
    <row r="329" spans="1:7">
      <c r="A329" s="21"/>
      <c r="B329" s="15"/>
      <c r="C329" s="15"/>
      <c r="D329" s="17"/>
      <c r="E329" s="22">
        <f>IF($A329="","",YEAR($A329))</f>
        <v/>
      </c>
      <c r="F329" s="22">
        <f>IF($A329="","",MONTH($A329))</f>
        <v/>
      </c>
      <c r="G329" s="22">
        <f>IF($B329="","",IFERROR(INDEX(ContaComp,MATCH($B329,ContaNome,0)),"Conta inválida"))</f>
        <v/>
      </c>
    </row>
    <row r="330" spans="1:7">
      <c r="A330" s="21"/>
      <c r="B330" s="15"/>
      <c r="C330" s="15"/>
      <c r="D330" s="17"/>
      <c r="E330" s="22">
        <f>IF($A330="","",YEAR($A330))</f>
        <v/>
      </c>
      <c r="F330" s="22">
        <f>IF($A330="","",MONTH($A330))</f>
        <v/>
      </c>
      <c r="G330" s="22">
        <f>IF($B330="","",IFERROR(INDEX(ContaComp,MATCH($B330,ContaNome,0)),"Conta inválida"))</f>
        <v/>
      </c>
    </row>
    <row r="331" spans="1:7">
      <c r="A331" s="21"/>
      <c r="B331" s="15"/>
      <c r="C331" s="15"/>
      <c r="D331" s="17"/>
      <c r="E331" s="22">
        <f>IF($A331="","",YEAR($A331))</f>
        <v/>
      </c>
      <c r="F331" s="22">
        <f>IF($A331="","",MONTH($A331))</f>
        <v/>
      </c>
      <c r="G331" s="22">
        <f>IF($B331="","",IFERROR(INDEX(ContaComp,MATCH($B331,ContaNome,0)),"Conta inválida"))</f>
        <v/>
      </c>
    </row>
    <row r="332" spans="1:7">
      <c r="A332" s="21"/>
      <c r="B332" s="15"/>
      <c r="C332" s="15"/>
      <c r="D332" s="17"/>
      <c r="E332" s="22">
        <f>IF($A332="","",YEAR($A332))</f>
        <v/>
      </c>
      <c r="F332" s="22">
        <f>IF($A332="","",MONTH($A332))</f>
        <v/>
      </c>
      <c r="G332" s="22">
        <f>IF($B332="","",IFERROR(INDEX(ContaComp,MATCH($B332,ContaNome,0)),"Conta inválida"))</f>
        <v/>
      </c>
    </row>
    <row r="333" spans="1:7">
      <c r="A333" s="21"/>
      <c r="B333" s="15"/>
      <c r="C333" s="15"/>
      <c r="D333" s="17"/>
      <c r="E333" s="22">
        <f>IF($A333="","",YEAR($A333))</f>
        <v/>
      </c>
      <c r="F333" s="22">
        <f>IF($A333="","",MONTH($A333))</f>
        <v/>
      </c>
      <c r="G333" s="22">
        <f>IF($B333="","",IFERROR(INDEX(ContaComp,MATCH($B333,ContaNome,0)),"Conta inválida"))</f>
        <v/>
      </c>
    </row>
    <row r="334" spans="1:7">
      <c r="A334" s="21"/>
      <c r="B334" s="15"/>
      <c r="C334" s="15"/>
      <c r="D334" s="17"/>
      <c r="E334" s="22">
        <f>IF($A334="","",YEAR($A334))</f>
        <v/>
      </c>
      <c r="F334" s="22">
        <f>IF($A334="","",MONTH($A334))</f>
        <v/>
      </c>
      <c r="G334" s="22">
        <f>IF($B334="","",IFERROR(INDEX(ContaComp,MATCH($B334,ContaNome,0)),"Conta inválida"))</f>
        <v/>
      </c>
    </row>
    <row r="335" spans="1:7">
      <c r="A335" s="21"/>
      <c r="B335" s="15"/>
      <c r="C335" s="15"/>
      <c r="D335" s="17"/>
      <c r="E335" s="22">
        <f>IF($A335="","",YEAR($A335))</f>
        <v/>
      </c>
      <c r="F335" s="22">
        <f>IF($A335="","",MONTH($A335))</f>
        <v/>
      </c>
      <c r="G335" s="22">
        <f>IF($B335="","",IFERROR(INDEX(ContaComp,MATCH($B335,ContaNome,0)),"Conta inválida"))</f>
        <v/>
      </c>
    </row>
    <row r="336" spans="1:7">
      <c r="A336" s="21"/>
      <c r="B336" s="15"/>
      <c r="C336" s="15"/>
      <c r="D336" s="17"/>
      <c r="E336" s="22">
        <f>IF($A336="","",YEAR($A336))</f>
        <v/>
      </c>
      <c r="F336" s="22">
        <f>IF($A336="","",MONTH($A336))</f>
        <v/>
      </c>
      <c r="G336" s="22">
        <f>IF($B336="","",IFERROR(INDEX(ContaComp,MATCH($B336,ContaNome,0)),"Conta inválida"))</f>
        <v/>
      </c>
    </row>
    <row r="337" spans="1:7">
      <c r="A337" s="21"/>
      <c r="B337" s="15"/>
      <c r="C337" s="15"/>
      <c r="D337" s="17"/>
      <c r="E337" s="22">
        <f>IF($A337="","",YEAR($A337))</f>
        <v/>
      </c>
      <c r="F337" s="22">
        <f>IF($A337="","",MONTH($A337))</f>
        <v/>
      </c>
      <c r="G337" s="22">
        <f>IF($B337="","",IFERROR(INDEX(ContaComp,MATCH($B337,ContaNome,0)),"Conta inválida"))</f>
        <v/>
      </c>
    </row>
    <row r="338" spans="1:7">
      <c r="A338" s="21"/>
      <c r="B338" s="15"/>
      <c r="C338" s="15"/>
      <c r="D338" s="17"/>
      <c r="E338" s="22">
        <f>IF($A338="","",YEAR($A338))</f>
        <v/>
      </c>
      <c r="F338" s="22">
        <f>IF($A338="","",MONTH($A338))</f>
        <v/>
      </c>
      <c r="G338" s="22">
        <f>IF($B338="","",IFERROR(INDEX(ContaComp,MATCH($B338,ContaNome,0)),"Conta inválida"))</f>
        <v/>
      </c>
    </row>
    <row r="339" spans="1:7">
      <c r="A339" s="21"/>
      <c r="B339" s="15"/>
      <c r="C339" s="15"/>
      <c r="D339" s="17"/>
      <c r="E339" s="22">
        <f>IF($A339="","",YEAR($A339))</f>
        <v/>
      </c>
      <c r="F339" s="22">
        <f>IF($A339="","",MONTH($A339))</f>
        <v/>
      </c>
      <c r="G339" s="22">
        <f>IF($B339="","",IFERROR(INDEX(ContaComp,MATCH($B339,ContaNome,0)),"Conta inválida"))</f>
        <v/>
      </c>
    </row>
    <row r="340" spans="1:7">
      <c r="A340" s="21"/>
      <c r="B340" s="15"/>
      <c r="C340" s="15"/>
      <c r="D340" s="17"/>
      <c r="E340" s="22">
        <f>IF($A340="","",YEAR($A340))</f>
        <v/>
      </c>
      <c r="F340" s="22">
        <f>IF($A340="","",MONTH($A340))</f>
        <v/>
      </c>
      <c r="G340" s="22">
        <f>IF($B340="","",IFERROR(INDEX(ContaComp,MATCH($B340,ContaNome,0)),"Conta inválida"))</f>
        <v/>
      </c>
    </row>
    <row r="341" spans="1:7">
      <c r="A341" s="21"/>
      <c r="B341" s="15"/>
      <c r="C341" s="15"/>
      <c r="D341" s="17"/>
      <c r="E341" s="22">
        <f>IF($A341="","",YEAR($A341))</f>
        <v/>
      </c>
      <c r="F341" s="22">
        <f>IF($A341="","",MONTH($A341))</f>
        <v/>
      </c>
      <c r="G341" s="22">
        <f>IF($B341="","",IFERROR(INDEX(ContaComp,MATCH($B341,ContaNome,0)),"Conta inválida"))</f>
        <v/>
      </c>
    </row>
    <row r="342" spans="1:7">
      <c r="A342" s="21"/>
      <c r="B342" s="15"/>
      <c r="C342" s="15"/>
      <c r="D342" s="17"/>
      <c r="E342" s="22">
        <f>IF($A342="","",YEAR($A342))</f>
        <v/>
      </c>
      <c r="F342" s="22">
        <f>IF($A342="","",MONTH($A342))</f>
        <v/>
      </c>
      <c r="G342" s="22">
        <f>IF($B342="","",IFERROR(INDEX(ContaComp,MATCH($B342,ContaNome,0)),"Conta inválida"))</f>
        <v/>
      </c>
    </row>
    <row r="343" spans="1:7">
      <c r="A343" s="21"/>
      <c r="B343" s="15"/>
      <c r="C343" s="15"/>
      <c r="D343" s="17"/>
      <c r="E343" s="22">
        <f>IF($A343="","",YEAR($A343))</f>
        <v/>
      </c>
      <c r="F343" s="22">
        <f>IF($A343="","",MONTH($A343))</f>
        <v/>
      </c>
      <c r="G343" s="22">
        <f>IF($B343="","",IFERROR(INDEX(ContaComp,MATCH($B343,ContaNome,0)),"Conta inválida"))</f>
        <v/>
      </c>
    </row>
    <row r="344" spans="1:7">
      <c r="A344" s="21"/>
      <c r="B344" s="15"/>
      <c r="C344" s="15"/>
      <c r="D344" s="17"/>
      <c r="E344" s="22">
        <f>IF($A344="","",YEAR($A344))</f>
        <v/>
      </c>
      <c r="F344" s="22">
        <f>IF($A344="","",MONTH($A344))</f>
        <v/>
      </c>
      <c r="G344" s="22">
        <f>IF($B344="","",IFERROR(INDEX(ContaComp,MATCH($B344,ContaNome,0)),"Conta inválida"))</f>
        <v/>
      </c>
    </row>
    <row r="345" spans="1:7">
      <c r="A345" s="21"/>
      <c r="B345" s="15"/>
      <c r="C345" s="15"/>
      <c r="D345" s="17"/>
      <c r="E345" s="22">
        <f>IF($A345="","",YEAR($A345))</f>
        <v/>
      </c>
      <c r="F345" s="22">
        <f>IF($A345="","",MONTH($A345))</f>
        <v/>
      </c>
      <c r="G345" s="22">
        <f>IF($B345="","",IFERROR(INDEX(ContaComp,MATCH($B345,ContaNome,0)),"Conta inválida"))</f>
        <v/>
      </c>
    </row>
    <row r="346" spans="1:7">
      <c r="A346" s="21"/>
      <c r="B346" s="15"/>
      <c r="C346" s="15"/>
      <c r="D346" s="17"/>
      <c r="E346" s="22">
        <f>IF($A346="","",YEAR($A346))</f>
        <v/>
      </c>
      <c r="F346" s="22">
        <f>IF($A346="","",MONTH($A346))</f>
        <v/>
      </c>
      <c r="G346" s="22">
        <f>IF($B346="","",IFERROR(INDEX(ContaComp,MATCH($B346,ContaNome,0)),"Conta inválida"))</f>
        <v/>
      </c>
    </row>
    <row r="347" spans="1:7">
      <c r="A347" s="21"/>
      <c r="B347" s="15"/>
      <c r="C347" s="15"/>
      <c r="D347" s="17"/>
      <c r="E347" s="22">
        <f>IF($A347="","",YEAR($A347))</f>
        <v/>
      </c>
      <c r="F347" s="22">
        <f>IF($A347="","",MONTH($A347))</f>
        <v/>
      </c>
      <c r="G347" s="22">
        <f>IF($B347="","",IFERROR(INDEX(ContaComp,MATCH($B347,ContaNome,0)),"Conta inválida"))</f>
        <v/>
      </c>
    </row>
    <row r="348" spans="1:7">
      <c r="A348" s="21"/>
      <c r="B348" s="15"/>
      <c r="C348" s="15"/>
      <c r="D348" s="17"/>
      <c r="E348" s="22">
        <f>IF($A348="","",YEAR($A348))</f>
        <v/>
      </c>
      <c r="F348" s="22">
        <f>IF($A348="","",MONTH($A348))</f>
        <v/>
      </c>
      <c r="G348" s="22">
        <f>IF($B348="","",IFERROR(INDEX(ContaComp,MATCH($B348,ContaNome,0)),"Conta inválida"))</f>
        <v/>
      </c>
    </row>
    <row r="349" spans="1:7">
      <c r="A349" s="21"/>
      <c r="B349" s="15"/>
      <c r="C349" s="15"/>
      <c r="D349" s="17"/>
      <c r="E349" s="22">
        <f>IF($A349="","",YEAR($A349))</f>
        <v/>
      </c>
      <c r="F349" s="22">
        <f>IF($A349="","",MONTH($A349))</f>
        <v/>
      </c>
      <c r="G349" s="22">
        <f>IF($B349="","",IFERROR(INDEX(ContaComp,MATCH($B349,ContaNome,0)),"Conta inválida"))</f>
        <v/>
      </c>
    </row>
    <row r="350" spans="1:7">
      <c r="A350" s="21"/>
      <c r="B350" s="15"/>
      <c r="C350" s="15"/>
      <c r="D350" s="17"/>
      <c r="E350" s="22">
        <f>IF($A350="","",YEAR($A350))</f>
        <v/>
      </c>
      <c r="F350" s="22">
        <f>IF($A350="","",MONTH($A350))</f>
        <v/>
      </c>
      <c r="G350" s="22">
        <f>IF($B350="","",IFERROR(INDEX(ContaComp,MATCH($B350,ContaNome,0)),"Conta inválida"))</f>
        <v/>
      </c>
    </row>
    <row r="351" spans="1:7">
      <c r="A351" s="21"/>
      <c r="B351" s="15"/>
      <c r="C351" s="15"/>
      <c r="D351" s="17"/>
      <c r="E351" s="22">
        <f>IF($A351="","",YEAR($A351))</f>
        <v/>
      </c>
      <c r="F351" s="22">
        <f>IF($A351="","",MONTH($A351))</f>
        <v/>
      </c>
      <c r="G351" s="22">
        <f>IF($B351="","",IFERROR(INDEX(ContaComp,MATCH($B351,ContaNome,0)),"Conta inválida"))</f>
        <v/>
      </c>
    </row>
    <row r="352" spans="1:7">
      <c r="A352" s="21"/>
      <c r="B352" s="15"/>
      <c r="C352" s="15"/>
      <c r="D352" s="17"/>
      <c r="E352" s="22">
        <f>IF($A352="","",YEAR($A352))</f>
        <v/>
      </c>
      <c r="F352" s="22">
        <f>IF($A352="","",MONTH($A352))</f>
        <v/>
      </c>
      <c r="G352" s="22">
        <f>IF($B352="","",IFERROR(INDEX(ContaComp,MATCH($B352,ContaNome,0)),"Conta inválida"))</f>
        <v/>
      </c>
    </row>
    <row r="353" spans="1:7">
      <c r="A353" s="21"/>
      <c r="B353" s="15"/>
      <c r="C353" s="15"/>
      <c r="D353" s="17"/>
      <c r="E353" s="22">
        <f>IF($A353="","",YEAR($A353))</f>
        <v/>
      </c>
      <c r="F353" s="22">
        <f>IF($A353="","",MONTH($A353))</f>
        <v/>
      </c>
      <c r="G353" s="22">
        <f>IF($B353="","",IFERROR(INDEX(ContaComp,MATCH($B353,ContaNome,0)),"Conta inválida"))</f>
        <v/>
      </c>
    </row>
    <row r="354" spans="1:7">
      <c r="A354" s="21"/>
      <c r="B354" s="15"/>
      <c r="C354" s="15"/>
      <c r="D354" s="17"/>
      <c r="E354" s="22">
        <f>IF($A354="","",YEAR($A354))</f>
        <v/>
      </c>
      <c r="F354" s="22">
        <f>IF($A354="","",MONTH($A354))</f>
        <v/>
      </c>
      <c r="G354" s="22">
        <f>IF($B354="","",IFERROR(INDEX(ContaComp,MATCH($B354,ContaNome,0)),"Conta inválida"))</f>
        <v/>
      </c>
    </row>
    <row r="355" spans="1:7">
      <c r="A355" s="21"/>
      <c r="B355" s="15"/>
      <c r="C355" s="15"/>
      <c r="D355" s="17"/>
      <c r="E355" s="22">
        <f>IF($A355="","",YEAR($A355))</f>
        <v/>
      </c>
      <c r="F355" s="22">
        <f>IF($A355="","",MONTH($A355))</f>
        <v/>
      </c>
      <c r="G355" s="22">
        <f>IF($B355="","",IFERROR(INDEX(ContaComp,MATCH($B355,ContaNome,0)),"Conta inválida"))</f>
        <v/>
      </c>
    </row>
    <row r="356" spans="1:7">
      <c r="A356" s="21"/>
      <c r="B356" s="15"/>
      <c r="C356" s="15"/>
      <c r="D356" s="17"/>
      <c r="E356" s="22">
        <f>IF($A356="","",YEAR($A356))</f>
        <v/>
      </c>
      <c r="F356" s="22">
        <f>IF($A356="","",MONTH($A356))</f>
        <v/>
      </c>
      <c r="G356" s="22">
        <f>IF($B356="","",IFERROR(INDEX(ContaComp,MATCH($B356,ContaNome,0)),"Conta inválida"))</f>
        <v/>
      </c>
    </row>
    <row r="357" spans="1:7">
      <c r="A357" s="21"/>
      <c r="B357" s="15"/>
      <c r="C357" s="15"/>
      <c r="D357" s="17"/>
      <c r="E357" s="22">
        <f>IF($A357="","",YEAR($A357))</f>
        <v/>
      </c>
      <c r="F357" s="22">
        <f>IF($A357="","",MONTH($A357))</f>
        <v/>
      </c>
      <c r="G357" s="22">
        <f>IF($B357="","",IFERROR(INDEX(ContaComp,MATCH($B357,ContaNome,0)),"Conta inválida"))</f>
        <v/>
      </c>
    </row>
    <row r="358" spans="1:7">
      <c r="A358" s="21"/>
      <c r="B358" s="15"/>
      <c r="C358" s="15"/>
      <c r="D358" s="17"/>
      <c r="E358" s="22">
        <f>IF($A358="","",YEAR($A358))</f>
        <v/>
      </c>
      <c r="F358" s="22">
        <f>IF($A358="","",MONTH($A358))</f>
        <v/>
      </c>
      <c r="G358" s="22">
        <f>IF($B358="","",IFERROR(INDEX(ContaComp,MATCH($B358,ContaNome,0)),"Conta inválida"))</f>
        <v/>
      </c>
    </row>
    <row r="359" spans="1:7">
      <c r="A359" s="21"/>
      <c r="B359" s="15"/>
      <c r="C359" s="15"/>
      <c r="D359" s="17"/>
      <c r="E359" s="22">
        <f>IF($A359="","",YEAR($A359))</f>
        <v/>
      </c>
      <c r="F359" s="22">
        <f>IF($A359="","",MONTH($A359))</f>
        <v/>
      </c>
      <c r="G359" s="22">
        <f>IF($B359="","",IFERROR(INDEX(ContaComp,MATCH($B359,ContaNome,0)),"Conta inválida"))</f>
        <v/>
      </c>
    </row>
    <row r="360" spans="1:7">
      <c r="A360" s="21"/>
      <c r="B360" s="15"/>
      <c r="C360" s="15"/>
      <c r="D360" s="17"/>
      <c r="E360" s="22">
        <f>IF($A360="","",YEAR($A360))</f>
        <v/>
      </c>
      <c r="F360" s="22">
        <f>IF($A360="","",MONTH($A360))</f>
        <v/>
      </c>
      <c r="G360" s="22">
        <f>IF($B360="","",IFERROR(INDEX(ContaComp,MATCH($B360,ContaNome,0)),"Conta inválida"))</f>
        <v/>
      </c>
    </row>
    <row r="361" spans="1:7">
      <c r="A361" s="21"/>
      <c r="B361" s="15"/>
      <c r="C361" s="15"/>
      <c r="D361" s="17"/>
      <c r="E361" s="22">
        <f>IF($A361="","",YEAR($A361))</f>
        <v/>
      </c>
      <c r="F361" s="22">
        <f>IF($A361="","",MONTH($A361))</f>
        <v/>
      </c>
      <c r="G361" s="22">
        <f>IF($B361="","",IFERROR(INDEX(ContaComp,MATCH($B361,ContaNome,0)),"Conta inválida"))</f>
        <v/>
      </c>
    </row>
    <row r="362" spans="1:7">
      <c r="A362" s="21"/>
      <c r="B362" s="15"/>
      <c r="C362" s="15"/>
      <c r="D362" s="17"/>
      <c r="E362" s="22">
        <f>IF($A362="","",YEAR($A362))</f>
        <v/>
      </c>
      <c r="F362" s="22">
        <f>IF($A362="","",MONTH($A362))</f>
        <v/>
      </c>
      <c r="G362" s="22">
        <f>IF($B362="","",IFERROR(INDEX(ContaComp,MATCH($B362,ContaNome,0)),"Conta inválida"))</f>
        <v/>
      </c>
    </row>
    <row r="363" spans="1:7">
      <c r="A363" s="21"/>
      <c r="B363" s="15"/>
      <c r="C363" s="15"/>
      <c r="D363" s="17"/>
      <c r="E363" s="22">
        <f>IF($A363="","",YEAR($A363))</f>
        <v/>
      </c>
      <c r="F363" s="22">
        <f>IF($A363="","",MONTH($A363))</f>
        <v/>
      </c>
      <c r="G363" s="22">
        <f>IF($B363="","",IFERROR(INDEX(ContaComp,MATCH($B363,ContaNome,0)),"Conta inválida"))</f>
        <v/>
      </c>
    </row>
    <row r="364" spans="1:7">
      <c r="A364" s="21"/>
      <c r="B364" s="15"/>
      <c r="C364" s="15"/>
      <c r="D364" s="17"/>
      <c r="E364" s="22">
        <f>IF($A364="","",YEAR($A364))</f>
        <v/>
      </c>
      <c r="F364" s="22">
        <f>IF($A364="","",MONTH($A364))</f>
        <v/>
      </c>
      <c r="G364" s="22">
        <f>IF($B364="","",IFERROR(INDEX(ContaComp,MATCH($B364,ContaNome,0)),"Conta inválida"))</f>
        <v/>
      </c>
    </row>
    <row r="365" spans="1:7">
      <c r="A365" s="21"/>
      <c r="B365" s="15"/>
      <c r="C365" s="15"/>
      <c r="D365" s="17"/>
      <c r="E365" s="22">
        <f>IF($A365="","",YEAR($A365))</f>
        <v/>
      </c>
      <c r="F365" s="22">
        <f>IF($A365="","",MONTH($A365))</f>
        <v/>
      </c>
      <c r="G365" s="22">
        <f>IF($B365="","",IFERROR(INDEX(ContaComp,MATCH($B365,ContaNome,0)),"Conta inválida"))</f>
        <v/>
      </c>
    </row>
    <row r="366" spans="1:7">
      <c r="A366" s="21"/>
      <c r="B366" s="15"/>
      <c r="C366" s="15"/>
      <c r="D366" s="17"/>
      <c r="E366" s="22">
        <f>IF($A366="","",YEAR($A366))</f>
        <v/>
      </c>
      <c r="F366" s="22">
        <f>IF($A366="","",MONTH($A366))</f>
        <v/>
      </c>
      <c r="G366" s="22">
        <f>IF($B366="","",IFERROR(INDEX(ContaComp,MATCH($B366,ContaNome,0)),"Conta inválida"))</f>
        <v/>
      </c>
    </row>
    <row r="367" spans="1:7">
      <c r="A367" s="21"/>
      <c r="B367" s="15"/>
      <c r="C367" s="15"/>
      <c r="D367" s="17"/>
      <c r="E367" s="22">
        <f>IF($A367="","",YEAR($A367))</f>
        <v/>
      </c>
      <c r="F367" s="22">
        <f>IF($A367="","",MONTH($A367))</f>
        <v/>
      </c>
      <c r="G367" s="22">
        <f>IF($B367="","",IFERROR(INDEX(ContaComp,MATCH($B367,ContaNome,0)),"Conta inválida"))</f>
        <v/>
      </c>
    </row>
    <row r="368" spans="1:7">
      <c r="A368" s="21"/>
      <c r="B368" s="15"/>
      <c r="C368" s="15"/>
      <c r="D368" s="17"/>
      <c r="E368" s="22">
        <f>IF($A368="","",YEAR($A368))</f>
        <v/>
      </c>
      <c r="F368" s="22">
        <f>IF($A368="","",MONTH($A368))</f>
        <v/>
      </c>
      <c r="G368" s="22">
        <f>IF($B368="","",IFERROR(INDEX(ContaComp,MATCH($B368,ContaNome,0)),"Conta inválida"))</f>
        <v/>
      </c>
    </row>
    <row r="369" spans="1:7">
      <c r="A369" s="21"/>
      <c r="B369" s="15"/>
      <c r="C369" s="15"/>
      <c r="D369" s="17"/>
      <c r="E369" s="22">
        <f>IF($A369="","",YEAR($A369))</f>
        <v/>
      </c>
      <c r="F369" s="22">
        <f>IF($A369="","",MONTH($A369))</f>
        <v/>
      </c>
      <c r="G369" s="22">
        <f>IF($B369="","",IFERROR(INDEX(ContaComp,MATCH($B369,ContaNome,0)),"Conta inválida"))</f>
        <v/>
      </c>
    </row>
    <row r="370" spans="1:7">
      <c r="A370" s="21"/>
      <c r="B370" s="15"/>
      <c r="C370" s="15"/>
      <c r="D370" s="17"/>
      <c r="E370" s="22">
        <f>IF($A370="","",YEAR($A370))</f>
        <v/>
      </c>
      <c r="F370" s="22">
        <f>IF($A370="","",MONTH($A370))</f>
        <v/>
      </c>
      <c r="G370" s="22">
        <f>IF($B370="","",IFERROR(INDEX(ContaComp,MATCH($B370,ContaNome,0)),"Conta inválida"))</f>
        <v/>
      </c>
    </row>
    <row r="371" spans="1:7">
      <c r="A371" s="21"/>
      <c r="B371" s="15"/>
      <c r="C371" s="15"/>
      <c r="D371" s="17"/>
      <c r="E371" s="22">
        <f>IF($A371="","",YEAR($A371))</f>
        <v/>
      </c>
      <c r="F371" s="22">
        <f>IF($A371="","",MONTH($A371))</f>
        <v/>
      </c>
      <c r="G371" s="22">
        <f>IF($B371="","",IFERROR(INDEX(ContaComp,MATCH($B371,ContaNome,0)),"Conta inválida"))</f>
        <v/>
      </c>
    </row>
    <row r="372" spans="1:7">
      <c r="A372" s="21"/>
      <c r="B372" s="15"/>
      <c r="C372" s="15"/>
      <c r="D372" s="17"/>
      <c r="E372" s="22">
        <f>IF($A372="","",YEAR($A372))</f>
        <v/>
      </c>
      <c r="F372" s="22">
        <f>IF($A372="","",MONTH($A372))</f>
        <v/>
      </c>
      <c r="G372" s="22">
        <f>IF($B372="","",IFERROR(INDEX(ContaComp,MATCH($B372,ContaNome,0)),"Conta inválida"))</f>
        <v/>
      </c>
    </row>
    <row r="373" spans="1:7">
      <c r="A373" s="21"/>
      <c r="B373" s="15"/>
      <c r="C373" s="15"/>
      <c r="D373" s="17"/>
      <c r="E373" s="22">
        <f>IF($A373="","",YEAR($A373))</f>
        <v/>
      </c>
      <c r="F373" s="22">
        <f>IF($A373="","",MONTH($A373))</f>
        <v/>
      </c>
      <c r="G373" s="22">
        <f>IF($B373="","",IFERROR(INDEX(ContaComp,MATCH($B373,ContaNome,0)),"Conta inválida"))</f>
        <v/>
      </c>
    </row>
    <row r="374" spans="1:7">
      <c r="A374" s="21"/>
      <c r="B374" s="15"/>
      <c r="C374" s="15"/>
      <c r="D374" s="17"/>
      <c r="E374" s="22">
        <f>IF($A374="","",YEAR($A374))</f>
        <v/>
      </c>
      <c r="F374" s="22">
        <f>IF($A374="","",MONTH($A374))</f>
        <v/>
      </c>
      <c r="G374" s="22">
        <f>IF($B374="","",IFERROR(INDEX(ContaComp,MATCH($B374,ContaNome,0)),"Conta inválida"))</f>
        <v/>
      </c>
    </row>
    <row r="375" spans="1:7">
      <c r="A375" s="21"/>
      <c r="B375" s="15"/>
      <c r="C375" s="15"/>
      <c r="D375" s="17"/>
      <c r="E375" s="22">
        <f>IF($A375="","",YEAR($A375))</f>
        <v/>
      </c>
      <c r="F375" s="22">
        <f>IF($A375="","",MONTH($A375))</f>
        <v/>
      </c>
      <c r="G375" s="22">
        <f>IF($B375="","",IFERROR(INDEX(ContaComp,MATCH($B375,ContaNome,0)),"Conta inválida"))</f>
        <v/>
      </c>
    </row>
    <row r="376" spans="1:7">
      <c r="A376" s="21"/>
      <c r="B376" s="15"/>
      <c r="C376" s="15"/>
      <c r="D376" s="17"/>
      <c r="E376" s="22">
        <f>IF($A376="","",YEAR($A376))</f>
        <v/>
      </c>
      <c r="F376" s="22">
        <f>IF($A376="","",MONTH($A376))</f>
        <v/>
      </c>
      <c r="G376" s="22">
        <f>IF($B376="","",IFERROR(INDEX(ContaComp,MATCH($B376,ContaNome,0)),"Conta inválida"))</f>
        <v/>
      </c>
    </row>
    <row r="377" spans="1:7">
      <c r="A377" s="21"/>
      <c r="B377" s="15"/>
      <c r="C377" s="15"/>
      <c r="D377" s="17"/>
      <c r="E377" s="22">
        <f>IF($A377="","",YEAR($A377))</f>
        <v/>
      </c>
      <c r="F377" s="22">
        <f>IF($A377="","",MONTH($A377))</f>
        <v/>
      </c>
      <c r="G377" s="22">
        <f>IF($B377="","",IFERROR(INDEX(ContaComp,MATCH($B377,ContaNome,0)),"Conta inválida"))</f>
        <v/>
      </c>
    </row>
    <row r="378" spans="1:7">
      <c r="A378" s="21"/>
      <c r="B378" s="15"/>
      <c r="C378" s="15"/>
      <c r="D378" s="17"/>
      <c r="E378" s="22">
        <f>IF($A378="","",YEAR($A378))</f>
        <v/>
      </c>
      <c r="F378" s="22">
        <f>IF($A378="","",MONTH($A378))</f>
        <v/>
      </c>
      <c r="G378" s="22">
        <f>IF($B378="","",IFERROR(INDEX(ContaComp,MATCH($B378,ContaNome,0)),"Conta inválida"))</f>
        <v/>
      </c>
    </row>
    <row r="379" spans="1:7">
      <c r="A379" s="21"/>
      <c r="B379" s="15"/>
      <c r="C379" s="15"/>
      <c r="D379" s="17"/>
      <c r="E379" s="22">
        <f>IF($A379="","",YEAR($A379))</f>
        <v/>
      </c>
      <c r="F379" s="22">
        <f>IF($A379="","",MONTH($A379))</f>
        <v/>
      </c>
      <c r="G379" s="22">
        <f>IF($B379="","",IFERROR(INDEX(ContaComp,MATCH($B379,ContaNome,0)),"Conta inválida"))</f>
        <v/>
      </c>
    </row>
    <row r="380" spans="1:7">
      <c r="A380" s="21"/>
      <c r="B380" s="15"/>
      <c r="C380" s="15"/>
      <c r="D380" s="17"/>
      <c r="E380" s="22">
        <f>IF($A380="","",YEAR($A380))</f>
        <v/>
      </c>
      <c r="F380" s="22">
        <f>IF($A380="","",MONTH($A380))</f>
        <v/>
      </c>
      <c r="G380" s="22">
        <f>IF($B380="","",IFERROR(INDEX(ContaComp,MATCH($B380,ContaNome,0)),"Conta inválida"))</f>
        <v/>
      </c>
    </row>
    <row r="381" spans="1:7">
      <c r="A381" s="21"/>
      <c r="B381" s="15"/>
      <c r="C381" s="15"/>
      <c r="D381" s="17"/>
      <c r="E381" s="22">
        <f>IF($A381="","",YEAR($A381))</f>
        <v/>
      </c>
      <c r="F381" s="22">
        <f>IF($A381="","",MONTH($A381))</f>
        <v/>
      </c>
      <c r="G381" s="22">
        <f>IF($B381="","",IFERROR(INDEX(ContaComp,MATCH($B381,ContaNome,0)),"Conta inválida"))</f>
        <v/>
      </c>
    </row>
    <row r="382" spans="1:7">
      <c r="A382" s="21"/>
      <c r="B382" s="15"/>
      <c r="C382" s="15"/>
      <c r="D382" s="17"/>
      <c r="E382" s="22">
        <f>IF($A382="","",YEAR($A382))</f>
        <v/>
      </c>
      <c r="F382" s="22">
        <f>IF($A382="","",MONTH($A382))</f>
        <v/>
      </c>
      <c r="G382" s="22">
        <f>IF($B382="","",IFERROR(INDEX(ContaComp,MATCH($B382,ContaNome,0)),"Conta inválida"))</f>
        <v/>
      </c>
    </row>
    <row r="383" spans="1:7">
      <c r="A383" s="21"/>
      <c r="B383" s="15"/>
      <c r="C383" s="15"/>
      <c r="D383" s="17"/>
      <c r="E383" s="22">
        <f>IF($A383="","",YEAR($A383))</f>
        <v/>
      </c>
      <c r="F383" s="22">
        <f>IF($A383="","",MONTH($A383))</f>
        <v/>
      </c>
      <c r="G383" s="22">
        <f>IF($B383="","",IFERROR(INDEX(ContaComp,MATCH($B383,ContaNome,0)),"Conta inválida"))</f>
        <v/>
      </c>
    </row>
    <row r="384" spans="1:7">
      <c r="A384" s="21"/>
      <c r="B384" s="15"/>
      <c r="C384" s="15"/>
      <c r="D384" s="17"/>
      <c r="E384" s="22">
        <f>IF($A384="","",YEAR($A384))</f>
        <v/>
      </c>
      <c r="F384" s="22">
        <f>IF($A384="","",MONTH($A384))</f>
        <v/>
      </c>
      <c r="G384" s="22">
        <f>IF($B384="","",IFERROR(INDEX(ContaComp,MATCH($B384,ContaNome,0)),"Conta inválida"))</f>
        <v/>
      </c>
    </row>
    <row r="385" spans="1:7">
      <c r="A385" s="21"/>
      <c r="B385" s="15"/>
      <c r="C385" s="15"/>
      <c r="D385" s="17"/>
      <c r="E385" s="22">
        <f>IF($A385="","",YEAR($A385))</f>
        <v/>
      </c>
      <c r="F385" s="22">
        <f>IF($A385="","",MONTH($A385))</f>
        <v/>
      </c>
      <c r="G385" s="22">
        <f>IF($B385="","",IFERROR(INDEX(ContaComp,MATCH($B385,ContaNome,0)),"Conta inválida"))</f>
        <v/>
      </c>
    </row>
    <row r="386" spans="1:7">
      <c r="A386" s="21"/>
      <c r="B386" s="15"/>
      <c r="C386" s="15"/>
      <c r="D386" s="17"/>
      <c r="E386" s="22">
        <f>IF($A386="","",YEAR($A386))</f>
        <v/>
      </c>
      <c r="F386" s="22">
        <f>IF($A386="","",MONTH($A386))</f>
        <v/>
      </c>
      <c r="G386" s="22">
        <f>IF($B386="","",IFERROR(INDEX(ContaComp,MATCH($B386,ContaNome,0)),"Conta inválida"))</f>
        <v/>
      </c>
    </row>
    <row r="387" spans="1:7">
      <c r="A387" s="21"/>
      <c r="B387" s="15"/>
      <c r="C387" s="15"/>
      <c r="D387" s="17"/>
      <c r="E387" s="22">
        <f>IF($A387="","",YEAR($A387))</f>
        <v/>
      </c>
      <c r="F387" s="22">
        <f>IF($A387="","",MONTH($A387))</f>
        <v/>
      </c>
      <c r="G387" s="22">
        <f>IF($B387="","",IFERROR(INDEX(ContaComp,MATCH($B387,ContaNome,0)),"Conta inválida"))</f>
        <v/>
      </c>
    </row>
    <row r="388" spans="1:7">
      <c r="A388" s="21"/>
      <c r="B388" s="15"/>
      <c r="C388" s="15"/>
      <c r="D388" s="17"/>
      <c r="E388" s="22">
        <f>IF($A388="","",YEAR($A388))</f>
        <v/>
      </c>
      <c r="F388" s="22">
        <f>IF($A388="","",MONTH($A388))</f>
        <v/>
      </c>
      <c r="G388" s="22">
        <f>IF($B388="","",IFERROR(INDEX(ContaComp,MATCH($B388,ContaNome,0)),"Conta inválida"))</f>
        <v/>
      </c>
    </row>
    <row r="389" spans="1:7">
      <c r="A389" s="21"/>
      <c r="B389" s="15"/>
      <c r="C389" s="15"/>
      <c r="D389" s="17"/>
      <c r="E389" s="22">
        <f>IF($A389="","",YEAR($A389))</f>
        <v/>
      </c>
      <c r="F389" s="22">
        <f>IF($A389="","",MONTH($A389))</f>
        <v/>
      </c>
      <c r="G389" s="22">
        <f>IF($B389="","",IFERROR(INDEX(ContaComp,MATCH($B389,ContaNome,0)),"Conta inválida"))</f>
        <v/>
      </c>
    </row>
    <row r="390" spans="1:7">
      <c r="A390" s="21"/>
      <c r="B390" s="15"/>
      <c r="C390" s="15"/>
      <c r="D390" s="17"/>
      <c r="E390" s="22">
        <f>IF($A390="","",YEAR($A390))</f>
        <v/>
      </c>
      <c r="F390" s="22">
        <f>IF($A390="","",MONTH($A390))</f>
        <v/>
      </c>
      <c r="G390" s="22">
        <f>IF($B390="","",IFERROR(INDEX(ContaComp,MATCH($B390,ContaNome,0)),"Conta inválida"))</f>
        <v/>
      </c>
    </row>
    <row r="391" spans="1:7">
      <c r="A391" s="21"/>
      <c r="B391" s="15"/>
      <c r="C391" s="15"/>
      <c r="D391" s="17"/>
      <c r="E391" s="22">
        <f>IF($A391="","",YEAR($A391))</f>
        <v/>
      </c>
      <c r="F391" s="22">
        <f>IF($A391="","",MONTH($A391))</f>
        <v/>
      </c>
      <c r="G391" s="22">
        <f>IF($B391="","",IFERROR(INDEX(ContaComp,MATCH($B391,ContaNome,0)),"Conta inválida"))</f>
        <v/>
      </c>
    </row>
    <row r="392" spans="1:7">
      <c r="A392" s="21"/>
      <c r="B392" s="15"/>
      <c r="C392" s="15"/>
      <c r="D392" s="17"/>
      <c r="E392" s="22">
        <f>IF($A392="","",YEAR($A392))</f>
        <v/>
      </c>
      <c r="F392" s="22">
        <f>IF($A392="","",MONTH($A392))</f>
        <v/>
      </c>
      <c r="G392" s="22">
        <f>IF($B392="","",IFERROR(INDEX(ContaComp,MATCH($B392,ContaNome,0)),"Conta inválida"))</f>
        <v/>
      </c>
    </row>
    <row r="393" spans="1:7">
      <c r="A393" s="21"/>
      <c r="B393" s="15"/>
      <c r="C393" s="15"/>
      <c r="D393" s="17"/>
      <c r="E393" s="22">
        <f>IF($A393="","",YEAR($A393))</f>
        <v/>
      </c>
      <c r="F393" s="22">
        <f>IF($A393="","",MONTH($A393))</f>
        <v/>
      </c>
      <c r="G393" s="22">
        <f>IF($B393="","",IFERROR(INDEX(ContaComp,MATCH($B393,ContaNome,0)),"Conta inválida"))</f>
        <v/>
      </c>
    </row>
    <row r="394" spans="1:7">
      <c r="A394" s="21"/>
      <c r="B394" s="15"/>
      <c r="C394" s="15"/>
      <c r="D394" s="17"/>
      <c r="E394" s="22">
        <f>IF($A394="","",YEAR($A394))</f>
        <v/>
      </c>
      <c r="F394" s="22">
        <f>IF($A394="","",MONTH($A394))</f>
        <v/>
      </c>
      <c r="G394" s="22">
        <f>IF($B394="","",IFERROR(INDEX(ContaComp,MATCH($B394,ContaNome,0)),"Conta inválida"))</f>
        <v/>
      </c>
    </row>
    <row r="395" spans="1:7">
      <c r="A395" s="21"/>
      <c r="B395" s="15"/>
      <c r="C395" s="15"/>
      <c r="D395" s="17"/>
      <c r="E395" s="22">
        <f>IF($A395="","",YEAR($A395))</f>
        <v/>
      </c>
      <c r="F395" s="22">
        <f>IF($A395="","",MONTH($A395))</f>
        <v/>
      </c>
      <c r="G395" s="22">
        <f>IF($B395="","",IFERROR(INDEX(ContaComp,MATCH($B395,ContaNome,0)),"Conta inválida"))</f>
        <v/>
      </c>
    </row>
    <row r="396" spans="1:7">
      <c r="A396" s="21"/>
      <c r="B396" s="15"/>
      <c r="C396" s="15"/>
      <c r="D396" s="17"/>
      <c r="E396" s="22">
        <f>IF($A396="","",YEAR($A396))</f>
        <v/>
      </c>
      <c r="F396" s="22">
        <f>IF($A396="","",MONTH($A396))</f>
        <v/>
      </c>
      <c r="G396" s="22">
        <f>IF($B396="","",IFERROR(INDEX(ContaComp,MATCH($B396,ContaNome,0)),"Conta inválida"))</f>
        <v/>
      </c>
    </row>
    <row r="397" spans="1:7">
      <c r="A397" s="21"/>
      <c r="B397" s="15"/>
      <c r="C397" s="15"/>
      <c r="D397" s="17"/>
      <c r="E397" s="22">
        <f>IF($A397="","",YEAR($A397))</f>
        <v/>
      </c>
      <c r="F397" s="22">
        <f>IF($A397="","",MONTH($A397))</f>
        <v/>
      </c>
      <c r="G397" s="22">
        <f>IF($B397="","",IFERROR(INDEX(ContaComp,MATCH($B397,ContaNome,0)),"Conta inválida"))</f>
        <v/>
      </c>
    </row>
    <row r="398" spans="1:7">
      <c r="A398" s="21"/>
      <c r="B398" s="15"/>
      <c r="C398" s="15"/>
      <c r="D398" s="17"/>
      <c r="E398" s="22">
        <f>IF($A398="","",YEAR($A398))</f>
        <v/>
      </c>
      <c r="F398" s="22">
        <f>IF($A398="","",MONTH($A398))</f>
        <v/>
      </c>
      <c r="G398" s="22">
        <f>IF($B398="","",IFERROR(INDEX(ContaComp,MATCH($B398,ContaNome,0)),"Conta inválida"))</f>
        <v/>
      </c>
    </row>
    <row r="399" spans="1:7">
      <c r="A399" s="21"/>
      <c r="B399" s="15"/>
      <c r="C399" s="15"/>
      <c r="D399" s="17"/>
      <c r="E399" s="22">
        <f>IF($A399="","",YEAR($A399))</f>
        <v/>
      </c>
      <c r="F399" s="22">
        <f>IF($A399="","",MONTH($A399))</f>
        <v/>
      </c>
      <c r="G399" s="22">
        <f>IF($B399="","",IFERROR(INDEX(ContaComp,MATCH($B399,ContaNome,0)),"Conta inválida"))</f>
        <v/>
      </c>
    </row>
    <row r="400" spans="1:7">
      <c r="A400" s="21"/>
      <c r="B400" s="15"/>
      <c r="C400" s="15"/>
      <c r="D400" s="17"/>
      <c r="E400" s="22">
        <f>IF($A400="","",YEAR($A400))</f>
        <v/>
      </c>
      <c r="F400" s="22">
        <f>IF($A400="","",MONTH($A400))</f>
        <v/>
      </c>
      <c r="G400" s="22">
        <f>IF($B400="","",IFERROR(INDEX(ContaComp,MATCH($B400,ContaNome,0)),"Conta inválida"))</f>
        <v/>
      </c>
    </row>
    <row r="401" spans="1:7">
      <c r="A401" s="21"/>
      <c r="B401" s="15"/>
      <c r="C401" s="15"/>
      <c r="D401" s="17"/>
      <c r="E401" s="22">
        <f>IF($A401="","",YEAR($A401))</f>
        <v/>
      </c>
      <c r="F401" s="22">
        <f>IF($A401="","",MONTH($A401))</f>
        <v/>
      </c>
      <c r="G401" s="22">
        <f>IF($B401="","",IFERROR(INDEX(ContaComp,MATCH($B401,ContaNome,0)),"Conta inválida"))</f>
        <v/>
      </c>
    </row>
    <row r="402" spans="1:7">
      <c r="A402" s="21"/>
      <c r="B402" s="15"/>
      <c r="C402" s="15"/>
      <c r="D402" s="17"/>
      <c r="E402" s="22">
        <f>IF($A402="","",YEAR($A402))</f>
        <v/>
      </c>
      <c r="F402" s="22">
        <f>IF($A402="","",MONTH($A402))</f>
        <v/>
      </c>
      <c r="G402" s="22">
        <f>IF($B402="","",IFERROR(INDEX(ContaComp,MATCH($B402,ContaNome,0)),"Conta inválida"))</f>
        <v/>
      </c>
    </row>
    <row r="403" spans="1:7">
      <c r="A403" s="21"/>
      <c r="B403" s="15"/>
      <c r="C403" s="15"/>
      <c r="D403" s="17"/>
      <c r="E403" s="22">
        <f>IF($A403="","",YEAR($A403))</f>
        <v/>
      </c>
      <c r="F403" s="22">
        <f>IF($A403="","",MONTH($A403))</f>
        <v/>
      </c>
      <c r="G403" s="22">
        <f>IF($B403="","",IFERROR(INDEX(ContaComp,MATCH($B403,ContaNome,0)),"Conta inválida"))</f>
        <v/>
      </c>
    </row>
    <row r="404" spans="1:7">
      <c r="A404" s="21"/>
      <c r="B404" s="15"/>
      <c r="C404" s="15"/>
      <c r="D404" s="17"/>
      <c r="E404" s="22">
        <f>IF($A404="","",YEAR($A404))</f>
        <v/>
      </c>
      <c r="F404" s="22">
        <f>IF($A404="","",MONTH($A404))</f>
        <v/>
      </c>
      <c r="G404" s="22">
        <f>IF($B404="","",IFERROR(INDEX(ContaComp,MATCH($B404,ContaNome,0)),"Conta inválida"))</f>
        <v/>
      </c>
    </row>
    <row r="405" spans="1:7">
      <c r="A405" s="21"/>
      <c r="B405" s="15"/>
      <c r="C405" s="15"/>
      <c r="D405" s="17"/>
      <c r="E405" s="22">
        <f>IF($A405="","",YEAR($A405))</f>
        <v/>
      </c>
      <c r="F405" s="22">
        <f>IF($A405="","",MONTH($A405))</f>
        <v/>
      </c>
      <c r="G405" s="22">
        <f>IF($B405="","",IFERROR(INDEX(ContaComp,MATCH($B405,ContaNome,0)),"Conta inválida"))</f>
        <v/>
      </c>
    </row>
    <row r="406" spans="1:7">
      <c r="A406" s="21"/>
      <c r="B406" s="15"/>
      <c r="C406" s="15"/>
      <c r="D406" s="17"/>
      <c r="E406" s="22">
        <f>IF($A406="","",YEAR($A406))</f>
        <v/>
      </c>
      <c r="F406" s="22">
        <f>IF($A406="","",MONTH($A406))</f>
        <v/>
      </c>
      <c r="G406" s="22">
        <f>IF($B406="","",IFERROR(INDEX(ContaComp,MATCH($B406,ContaNome,0)),"Conta inválida"))</f>
        <v/>
      </c>
    </row>
    <row r="407" spans="1:7">
      <c r="A407" s="21"/>
      <c r="B407" s="15"/>
      <c r="C407" s="15"/>
      <c r="D407" s="17"/>
      <c r="E407" s="22">
        <f>IF($A407="","",YEAR($A407))</f>
        <v/>
      </c>
      <c r="F407" s="22">
        <f>IF($A407="","",MONTH($A407))</f>
        <v/>
      </c>
      <c r="G407" s="22">
        <f>IF($B407="","",IFERROR(INDEX(ContaComp,MATCH($B407,ContaNome,0)),"Conta inválida"))</f>
        <v/>
      </c>
    </row>
    <row r="408" spans="1:7">
      <c r="A408" s="21"/>
      <c r="B408" s="15"/>
      <c r="C408" s="15"/>
      <c r="D408" s="17"/>
      <c r="E408" s="22">
        <f>IF($A408="","",YEAR($A408))</f>
        <v/>
      </c>
      <c r="F408" s="22">
        <f>IF($A408="","",MONTH($A408))</f>
        <v/>
      </c>
      <c r="G408" s="22">
        <f>IF($B408="","",IFERROR(INDEX(ContaComp,MATCH($B408,ContaNome,0)),"Conta inválida"))</f>
        <v/>
      </c>
    </row>
    <row r="409" spans="1:7">
      <c r="A409" s="21"/>
      <c r="B409" s="15"/>
      <c r="C409" s="15"/>
      <c r="D409" s="17"/>
      <c r="E409" s="22">
        <f>IF($A409="","",YEAR($A409))</f>
        <v/>
      </c>
      <c r="F409" s="22">
        <f>IF($A409="","",MONTH($A409))</f>
        <v/>
      </c>
      <c r="G409" s="22">
        <f>IF($B409="","",IFERROR(INDEX(ContaComp,MATCH($B409,ContaNome,0)),"Conta inválida"))</f>
        <v/>
      </c>
    </row>
    <row r="410" spans="1:7">
      <c r="A410" s="21"/>
      <c r="B410" s="15"/>
      <c r="C410" s="15"/>
      <c r="D410" s="17"/>
      <c r="E410" s="22">
        <f>IF($A410="","",YEAR($A410))</f>
        <v/>
      </c>
      <c r="F410" s="22">
        <f>IF($A410="","",MONTH($A410))</f>
        <v/>
      </c>
      <c r="G410" s="22">
        <f>IF($B410="","",IFERROR(INDEX(ContaComp,MATCH($B410,ContaNome,0)),"Conta inválida"))</f>
        <v/>
      </c>
    </row>
    <row r="411" spans="1:7">
      <c r="A411" s="21"/>
      <c r="B411" s="15"/>
      <c r="C411" s="15"/>
      <c r="D411" s="17"/>
      <c r="E411" s="22">
        <f>IF($A411="","",YEAR($A411))</f>
        <v/>
      </c>
      <c r="F411" s="22">
        <f>IF($A411="","",MONTH($A411))</f>
        <v/>
      </c>
      <c r="G411" s="22">
        <f>IF($B411="","",IFERROR(INDEX(ContaComp,MATCH($B411,ContaNome,0)),"Conta inválida"))</f>
        <v/>
      </c>
    </row>
    <row r="412" spans="1:7">
      <c r="A412" s="21"/>
      <c r="B412" s="15"/>
      <c r="C412" s="15"/>
      <c r="D412" s="17"/>
      <c r="E412" s="22">
        <f>IF($A412="","",YEAR($A412))</f>
        <v/>
      </c>
      <c r="F412" s="22">
        <f>IF($A412="","",MONTH($A412))</f>
        <v/>
      </c>
      <c r="G412" s="22">
        <f>IF($B412="","",IFERROR(INDEX(ContaComp,MATCH($B412,ContaNome,0)),"Conta inválida"))</f>
        <v/>
      </c>
    </row>
    <row r="413" spans="1:7">
      <c r="A413" s="21"/>
      <c r="B413" s="15"/>
      <c r="C413" s="15"/>
      <c r="D413" s="17"/>
      <c r="E413" s="22">
        <f>IF($A413="","",YEAR($A413))</f>
        <v/>
      </c>
      <c r="F413" s="22">
        <f>IF($A413="","",MONTH($A413))</f>
        <v/>
      </c>
      <c r="G413" s="22">
        <f>IF($B413="","",IFERROR(INDEX(ContaComp,MATCH($B413,ContaNome,0)),"Conta inválida"))</f>
        <v/>
      </c>
    </row>
    <row r="414" spans="1:7">
      <c r="A414" s="21"/>
      <c r="B414" s="15"/>
      <c r="C414" s="15"/>
      <c r="D414" s="17"/>
      <c r="E414" s="22">
        <f>IF($A414="","",YEAR($A414))</f>
        <v/>
      </c>
      <c r="F414" s="22">
        <f>IF($A414="","",MONTH($A414))</f>
        <v/>
      </c>
      <c r="G414" s="22">
        <f>IF($B414="","",IFERROR(INDEX(ContaComp,MATCH($B414,ContaNome,0)),"Conta inválida"))</f>
        <v/>
      </c>
    </row>
    <row r="415" spans="1:7">
      <c r="A415" s="21"/>
      <c r="B415" s="15"/>
      <c r="C415" s="15"/>
      <c r="D415" s="17"/>
      <c r="E415" s="22">
        <f>IF($A415="","",YEAR($A415))</f>
        <v/>
      </c>
      <c r="F415" s="22">
        <f>IF($A415="","",MONTH($A415))</f>
        <v/>
      </c>
      <c r="G415" s="22">
        <f>IF($B415="","",IFERROR(INDEX(ContaComp,MATCH($B415,ContaNome,0)),"Conta inválida"))</f>
        <v/>
      </c>
    </row>
    <row r="416" spans="1:7">
      <c r="A416" s="21"/>
      <c r="B416" s="15"/>
      <c r="C416" s="15"/>
      <c r="D416" s="17"/>
      <c r="E416" s="22">
        <f>IF($A416="","",YEAR($A416))</f>
        <v/>
      </c>
      <c r="F416" s="22">
        <f>IF($A416="","",MONTH($A416))</f>
        <v/>
      </c>
      <c r="G416" s="22">
        <f>IF($B416="","",IFERROR(INDEX(ContaComp,MATCH($B416,ContaNome,0)),"Conta inválida"))</f>
        <v/>
      </c>
    </row>
    <row r="417" spans="1:7">
      <c r="A417" s="21"/>
      <c r="B417" s="15"/>
      <c r="C417" s="15"/>
      <c r="D417" s="17"/>
      <c r="E417" s="22">
        <f>IF($A417="","",YEAR($A417))</f>
        <v/>
      </c>
      <c r="F417" s="22">
        <f>IF($A417="","",MONTH($A417))</f>
        <v/>
      </c>
      <c r="G417" s="22">
        <f>IF($B417="","",IFERROR(INDEX(ContaComp,MATCH($B417,ContaNome,0)),"Conta inválida"))</f>
        <v/>
      </c>
    </row>
    <row r="418" spans="1:7">
      <c r="A418" s="21"/>
      <c r="B418" s="15"/>
      <c r="C418" s="15"/>
      <c r="D418" s="17"/>
      <c r="E418" s="22">
        <f>IF($A418="","",YEAR($A418))</f>
        <v/>
      </c>
      <c r="F418" s="22">
        <f>IF($A418="","",MONTH($A418))</f>
        <v/>
      </c>
      <c r="G418" s="22">
        <f>IF($B418="","",IFERROR(INDEX(ContaComp,MATCH($B418,ContaNome,0)),"Conta inválida"))</f>
        <v/>
      </c>
    </row>
    <row r="419" spans="1:7">
      <c r="A419" s="21"/>
      <c r="B419" s="15"/>
      <c r="C419" s="15"/>
      <c r="D419" s="17"/>
      <c r="E419" s="22">
        <f>IF($A419="","",YEAR($A419))</f>
        <v/>
      </c>
      <c r="F419" s="22">
        <f>IF($A419="","",MONTH($A419))</f>
        <v/>
      </c>
      <c r="G419" s="22">
        <f>IF($B419="","",IFERROR(INDEX(ContaComp,MATCH($B419,ContaNome,0)),"Conta inválida"))</f>
        <v/>
      </c>
    </row>
    <row r="420" spans="1:7">
      <c r="A420" s="21"/>
      <c r="B420" s="15"/>
      <c r="C420" s="15"/>
      <c r="D420" s="17"/>
      <c r="E420" s="22">
        <f>IF($A420="","",YEAR($A420))</f>
        <v/>
      </c>
      <c r="F420" s="22">
        <f>IF($A420="","",MONTH($A420))</f>
        <v/>
      </c>
      <c r="G420" s="22">
        <f>IF($B420="","",IFERROR(INDEX(ContaComp,MATCH($B420,ContaNome,0)),"Conta inválida"))</f>
        <v/>
      </c>
    </row>
    <row r="421" spans="1:7">
      <c r="A421" s="21"/>
      <c r="B421" s="15"/>
      <c r="C421" s="15"/>
      <c r="D421" s="17"/>
      <c r="E421" s="22">
        <f>IF($A421="","",YEAR($A421))</f>
        <v/>
      </c>
      <c r="F421" s="22">
        <f>IF($A421="","",MONTH($A421))</f>
        <v/>
      </c>
      <c r="G421" s="22">
        <f>IF($B421="","",IFERROR(INDEX(ContaComp,MATCH($B421,ContaNome,0)),"Conta inválida"))</f>
        <v/>
      </c>
    </row>
    <row r="422" spans="1:7">
      <c r="A422" s="21"/>
      <c r="B422" s="15"/>
      <c r="C422" s="15"/>
      <c r="D422" s="17"/>
      <c r="E422" s="22">
        <f>IF($A422="","",YEAR($A422))</f>
        <v/>
      </c>
      <c r="F422" s="22">
        <f>IF($A422="","",MONTH($A422))</f>
        <v/>
      </c>
      <c r="G422" s="22">
        <f>IF($B422="","",IFERROR(INDEX(ContaComp,MATCH($B422,ContaNome,0)),"Conta inválida"))</f>
        <v/>
      </c>
    </row>
    <row r="423" spans="1:7">
      <c r="A423" s="21"/>
      <c r="B423" s="15"/>
      <c r="C423" s="15"/>
      <c r="D423" s="17"/>
      <c r="E423" s="22">
        <f>IF($A423="","",YEAR($A423))</f>
        <v/>
      </c>
      <c r="F423" s="22">
        <f>IF($A423="","",MONTH($A423))</f>
        <v/>
      </c>
      <c r="G423" s="22">
        <f>IF($B423="","",IFERROR(INDEX(ContaComp,MATCH($B423,ContaNome,0)),"Conta inválida"))</f>
        <v/>
      </c>
    </row>
    <row r="424" spans="1:7">
      <c r="A424" s="21"/>
      <c r="B424" s="15"/>
      <c r="C424" s="15"/>
      <c r="D424" s="17"/>
      <c r="E424" s="22">
        <f>IF($A424="","",YEAR($A424))</f>
        <v/>
      </c>
      <c r="F424" s="22">
        <f>IF($A424="","",MONTH($A424))</f>
        <v/>
      </c>
      <c r="G424" s="22">
        <f>IF($B424="","",IFERROR(INDEX(ContaComp,MATCH($B424,ContaNome,0)),"Conta inválida"))</f>
        <v/>
      </c>
    </row>
    <row r="425" spans="1:7">
      <c r="A425" s="21"/>
      <c r="B425" s="15"/>
      <c r="C425" s="15"/>
      <c r="D425" s="17"/>
      <c r="E425" s="22">
        <f>IF($A425="","",YEAR($A425))</f>
        <v/>
      </c>
      <c r="F425" s="22">
        <f>IF($A425="","",MONTH($A425))</f>
        <v/>
      </c>
      <c r="G425" s="22">
        <f>IF($B425="","",IFERROR(INDEX(ContaComp,MATCH($B425,ContaNome,0)),"Conta inválida"))</f>
        <v/>
      </c>
    </row>
    <row r="426" spans="1:7">
      <c r="A426" s="21"/>
      <c r="B426" s="15"/>
      <c r="C426" s="15"/>
      <c r="D426" s="17"/>
      <c r="E426" s="22">
        <f>IF($A426="","",YEAR($A426))</f>
        <v/>
      </c>
      <c r="F426" s="22">
        <f>IF($A426="","",MONTH($A426))</f>
        <v/>
      </c>
      <c r="G426" s="22">
        <f>IF($B426="","",IFERROR(INDEX(ContaComp,MATCH($B426,ContaNome,0)),"Conta inválida"))</f>
        <v/>
      </c>
    </row>
    <row r="427" spans="1:7">
      <c r="A427" s="21"/>
      <c r="B427" s="15"/>
      <c r="C427" s="15"/>
      <c r="D427" s="17"/>
      <c r="E427" s="22">
        <f>IF($A427="","",YEAR($A427))</f>
        <v/>
      </c>
      <c r="F427" s="22">
        <f>IF($A427="","",MONTH($A427))</f>
        <v/>
      </c>
      <c r="G427" s="22">
        <f>IF($B427="","",IFERROR(INDEX(ContaComp,MATCH($B427,ContaNome,0)),"Conta inválida"))</f>
        <v/>
      </c>
    </row>
    <row r="428" spans="1:7">
      <c r="A428" s="21"/>
      <c r="B428" s="15"/>
      <c r="C428" s="15"/>
      <c r="D428" s="17"/>
      <c r="E428" s="22">
        <f>IF($A428="","",YEAR($A428))</f>
        <v/>
      </c>
      <c r="F428" s="22">
        <f>IF($A428="","",MONTH($A428))</f>
        <v/>
      </c>
      <c r="G428" s="22">
        <f>IF($B428="","",IFERROR(INDEX(ContaComp,MATCH($B428,ContaNome,0)),"Conta inválida"))</f>
        <v/>
      </c>
    </row>
    <row r="429" spans="1:7">
      <c r="A429" s="21"/>
      <c r="B429" s="15"/>
      <c r="C429" s="15"/>
      <c r="D429" s="17"/>
      <c r="E429" s="22">
        <f>IF($A429="","",YEAR($A429))</f>
        <v/>
      </c>
      <c r="F429" s="22">
        <f>IF($A429="","",MONTH($A429))</f>
        <v/>
      </c>
      <c r="G429" s="22">
        <f>IF($B429="","",IFERROR(INDEX(ContaComp,MATCH($B429,ContaNome,0)),"Conta inválida"))</f>
        <v/>
      </c>
    </row>
    <row r="430" spans="1:7">
      <c r="A430" s="21"/>
      <c r="B430" s="15"/>
      <c r="C430" s="15"/>
      <c r="D430" s="17"/>
      <c r="E430" s="22">
        <f>IF($A430="","",YEAR($A430))</f>
        <v/>
      </c>
      <c r="F430" s="22">
        <f>IF($A430="","",MONTH($A430))</f>
        <v/>
      </c>
      <c r="G430" s="22">
        <f>IF($B430="","",IFERROR(INDEX(ContaComp,MATCH($B430,ContaNome,0)),"Conta inválida"))</f>
        <v/>
      </c>
    </row>
    <row r="431" spans="1:7">
      <c r="A431" s="21"/>
      <c r="B431" s="15"/>
      <c r="C431" s="15"/>
      <c r="D431" s="17"/>
      <c r="E431" s="22">
        <f>IF($A431="","",YEAR($A431))</f>
        <v/>
      </c>
      <c r="F431" s="22">
        <f>IF($A431="","",MONTH($A431))</f>
        <v/>
      </c>
      <c r="G431" s="22">
        <f>IF($B431="","",IFERROR(INDEX(ContaComp,MATCH($B431,ContaNome,0)),"Conta inválida"))</f>
        <v/>
      </c>
    </row>
    <row r="432" spans="1:7">
      <c r="A432" s="21"/>
      <c r="B432" s="15"/>
      <c r="C432" s="15"/>
      <c r="D432" s="17"/>
      <c r="E432" s="22">
        <f>IF($A432="","",YEAR($A432))</f>
        <v/>
      </c>
      <c r="F432" s="22">
        <f>IF($A432="","",MONTH($A432))</f>
        <v/>
      </c>
      <c r="G432" s="22">
        <f>IF($B432="","",IFERROR(INDEX(ContaComp,MATCH($B432,ContaNome,0)),"Conta inválida"))</f>
        <v/>
      </c>
    </row>
    <row r="433" spans="1:7">
      <c r="A433" s="21"/>
      <c r="B433" s="15"/>
      <c r="C433" s="15"/>
      <c r="D433" s="17"/>
      <c r="E433" s="22">
        <f>IF($A433="","",YEAR($A433))</f>
        <v/>
      </c>
      <c r="F433" s="22">
        <f>IF($A433="","",MONTH($A433))</f>
        <v/>
      </c>
      <c r="G433" s="22">
        <f>IF($B433="","",IFERROR(INDEX(ContaComp,MATCH($B433,ContaNome,0)),"Conta inválida"))</f>
        <v/>
      </c>
    </row>
    <row r="434" spans="1:7">
      <c r="A434" s="21"/>
      <c r="B434" s="15"/>
      <c r="C434" s="15"/>
      <c r="D434" s="17"/>
      <c r="E434" s="22">
        <f>IF($A434="","",YEAR($A434))</f>
        <v/>
      </c>
      <c r="F434" s="22">
        <f>IF($A434="","",MONTH($A434))</f>
        <v/>
      </c>
      <c r="G434" s="22">
        <f>IF($B434="","",IFERROR(INDEX(ContaComp,MATCH($B434,ContaNome,0)),"Conta inválida"))</f>
        <v/>
      </c>
    </row>
    <row r="435" spans="1:7">
      <c r="A435" s="21"/>
      <c r="B435" s="15"/>
      <c r="C435" s="15"/>
      <c r="D435" s="17"/>
      <c r="E435" s="22">
        <f>IF($A435="","",YEAR($A435))</f>
        <v/>
      </c>
      <c r="F435" s="22">
        <f>IF($A435="","",MONTH($A435))</f>
        <v/>
      </c>
      <c r="G435" s="22">
        <f>IF($B435="","",IFERROR(INDEX(ContaComp,MATCH($B435,ContaNome,0)),"Conta inválida"))</f>
        <v/>
      </c>
    </row>
    <row r="436" spans="1:7">
      <c r="A436" s="21"/>
      <c r="B436" s="15"/>
      <c r="C436" s="15"/>
      <c r="D436" s="17"/>
      <c r="E436" s="22">
        <f>IF($A436="","",YEAR($A436))</f>
        <v/>
      </c>
      <c r="F436" s="22">
        <f>IF($A436="","",MONTH($A436))</f>
        <v/>
      </c>
      <c r="G436" s="22">
        <f>IF($B436="","",IFERROR(INDEX(ContaComp,MATCH($B436,ContaNome,0)),"Conta inválida"))</f>
        <v/>
      </c>
    </row>
    <row r="437" spans="1:7">
      <c r="A437" s="21"/>
      <c r="B437" s="15"/>
      <c r="C437" s="15"/>
      <c r="D437" s="17"/>
      <c r="E437" s="22">
        <f>IF($A437="","",YEAR($A437))</f>
        <v/>
      </c>
      <c r="F437" s="22">
        <f>IF($A437="","",MONTH($A437))</f>
        <v/>
      </c>
      <c r="G437" s="22">
        <f>IF($B437="","",IFERROR(INDEX(ContaComp,MATCH($B437,ContaNome,0)),"Conta inválida"))</f>
        <v/>
      </c>
    </row>
    <row r="438" spans="1:7">
      <c r="A438" s="21"/>
      <c r="B438" s="15"/>
      <c r="C438" s="15"/>
      <c r="D438" s="17"/>
      <c r="E438" s="22">
        <f>IF($A438="","",YEAR($A438))</f>
        <v/>
      </c>
      <c r="F438" s="22">
        <f>IF($A438="","",MONTH($A438))</f>
        <v/>
      </c>
      <c r="G438" s="22">
        <f>IF($B438="","",IFERROR(INDEX(ContaComp,MATCH($B438,ContaNome,0)),"Conta inválida"))</f>
        <v/>
      </c>
    </row>
    <row r="439" spans="1:7">
      <c r="A439" s="21"/>
      <c r="B439" s="15"/>
      <c r="C439" s="15"/>
      <c r="D439" s="17"/>
      <c r="E439" s="22">
        <f>IF($A439="","",YEAR($A439))</f>
        <v/>
      </c>
      <c r="F439" s="22">
        <f>IF($A439="","",MONTH($A439))</f>
        <v/>
      </c>
      <c r="G439" s="22">
        <f>IF($B439="","",IFERROR(INDEX(ContaComp,MATCH($B439,ContaNome,0)),"Conta inválida"))</f>
        <v/>
      </c>
    </row>
    <row r="440" spans="1:7">
      <c r="A440" s="21"/>
      <c r="B440" s="15"/>
      <c r="C440" s="15"/>
      <c r="D440" s="17"/>
      <c r="E440" s="22">
        <f>IF($A440="","",YEAR($A440))</f>
        <v/>
      </c>
      <c r="F440" s="22">
        <f>IF($A440="","",MONTH($A440))</f>
        <v/>
      </c>
      <c r="G440" s="22">
        <f>IF($B440="","",IFERROR(INDEX(ContaComp,MATCH($B440,ContaNome,0)),"Conta inválida"))</f>
        <v/>
      </c>
    </row>
    <row r="441" spans="1:7">
      <c r="A441" s="21"/>
      <c r="B441" s="15"/>
      <c r="C441" s="15"/>
      <c r="D441" s="17"/>
      <c r="E441" s="22">
        <f>IF($A441="","",YEAR($A441))</f>
        <v/>
      </c>
      <c r="F441" s="22">
        <f>IF($A441="","",MONTH($A441))</f>
        <v/>
      </c>
      <c r="G441" s="22">
        <f>IF($B441="","",IFERROR(INDEX(ContaComp,MATCH($B441,ContaNome,0)),"Conta inválida"))</f>
        <v/>
      </c>
    </row>
    <row r="442" spans="1:7">
      <c r="A442" s="21"/>
      <c r="B442" s="15"/>
      <c r="C442" s="15"/>
      <c r="D442" s="17"/>
      <c r="E442" s="22">
        <f>IF($A442="","",YEAR($A442))</f>
        <v/>
      </c>
      <c r="F442" s="22">
        <f>IF($A442="","",MONTH($A442))</f>
        <v/>
      </c>
      <c r="G442" s="22">
        <f>IF($B442="","",IFERROR(INDEX(ContaComp,MATCH($B442,ContaNome,0)),"Conta inválida"))</f>
        <v/>
      </c>
    </row>
    <row r="443" spans="1:7">
      <c r="A443" s="21"/>
      <c r="B443" s="15"/>
      <c r="C443" s="15"/>
      <c r="D443" s="17"/>
      <c r="E443" s="22">
        <f>IF($A443="","",YEAR($A443))</f>
        <v/>
      </c>
      <c r="F443" s="22">
        <f>IF($A443="","",MONTH($A443))</f>
        <v/>
      </c>
      <c r="G443" s="22">
        <f>IF($B443="","",IFERROR(INDEX(ContaComp,MATCH($B443,ContaNome,0)),"Conta inválida"))</f>
        <v/>
      </c>
    </row>
    <row r="444" spans="1:7">
      <c r="A444" s="21"/>
      <c r="B444" s="15"/>
      <c r="C444" s="15"/>
      <c r="D444" s="17"/>
      <c r="E444" s="22">
        <f>IF($A444="","",YEAR($A444))</f>
        <v/>
      </c>
      <c r="F444" s="22">
        <f>IF($A444="","",MONTH($A444))</f>
        <v/>
      </c>
      <c r="G444" s="22">
        <f>IF($B444="","",IFERROR(INDEX(ContaComp,MATCH($B444,ContaNome,0)),"Conta inválida"))</f>
        <v/>
      </c>
    </row>
    <row r="445" spans="1:7">
      <c r="A445" s="21"/>
      <c r="B445" s="15"/>
      <c r="C445" s="15"/>
      <c r="D445" s="17"/>
      <c r="E445" s="22">
        <f>IF($A445="","",YEAR($A445))</f>
        <v/>
      </c>
      <c r="F445" s="22">
        <f>IF($A445="","",MONTH($A445))</f>
        <v/>
      </c>
      <c r="G445" s="22">
        <f>IF($B445="","",IFERROR(INDEX(ContaComp,MATCH($B445,ContaNome,0)),"Conta inválida"))</f>
        <v/>
      </c>
    </row>
    <row r="446" spans="1:7">
      <c r="A446" s="21"/>
      <c r="B446" s="15"/>
      <c r="C446" s="15"/>
      <c r="D446" s="17"/>
      <c r="E446" s="22">
        <f>IF($A446="","",YEAR($A446))</f>
        <v/>
      </c>
      <c r="F446" s="22">
        <f>IF($A446="","",MONTH($A446))</f>
        <v/>
      </c>
      <c r="G446" s="22">
        <f>IF($B446="","",IFERROR(INDEX(ContaComp,MATCH($B446,ContaNome,0)),"Conta inválida"))</f>
        <v/>
      </c>
    </row>
    <row r="447" spans="1:7">
      <c r="A447" s="21"/>
      <c r="B447" s="15"/>
      <c r="C447" s="15"/>
      <c r="D447" s="17"/>
      <c r="E447" s="22">
        <f>IF($A447="","",YEAR($A447))</f>
        <v/>
      </c>
      <c r="F447" s="22">
        <f>IF($A447="","",MONTH($A447))</f>
        <v/>
      </c>
      <c r="G447" s="22">
        <f>IF($B447="","",IFERROR(INDEX(ContaComp,MATCH($B447,ContaNome,0)),"Conta inválida"))</f>
        <v/>
      </c>
    </row>
    <row r="448" spans="1:7">
      <c r="A448" s="21"/>
      <c r="B448" s="15"/>
      <c r="C448" s="15"/>
      <c r="D448" s="17"/>
      <c r="E448" s="22">
        <f>IF($A448="","",YEAR($A448))</f>
        <v/>
      </c>
      <c r="F448" s="22">
        <f>IF($A448="","",MONTH($A448))</f>
        <v/>
      </c>
      <c r="G448" s="22">
        <f>IF($B448="","",IFERROR(INDEX(ContaComp,MATCH($B448,ContaNome,0)),"Conta inválida"))</f>
        <v/>
      </c>
    </row>
    <row r="449" spans="1:7">
      <c r="A449" s="21"/>
      <c r="B449" s="15"/>
      <c r="C449" s="15"/>
      <c r="D449" s="17"/>
      <c r="E449" s="22">
        <f>IF($A449="","",YEAR($A449))</f>
        <v/>
      </c>
      <c r="F449" s="22">
        <f>IF($A449="","",MONTH($A449))</f>
        <v/>
      </c>
      <c r="G449" s="22">
        <f>IF($B449="","",IFERROR(INDEX(ContaComp,MATCH($B449,ContaNome,0)),"Conta inválida"))</f>
        <v/>
      </c>
    </row>
    <row r="450" spans="1:7">
      <c r="A450" s="21"/>
      <c r="B450" s="15"/>
      <c r="C450" s="15"/>
      <c r="D450" s="17"/>
      <c r="E450" s="22">
        <f>IF($A450="","",YEAR($A450))</f>
        <v/>
      </c>
      <c r="F450" s="22">
        <f>IF($A450="","",MONTH($A450))</f>
        <v/>
      </c>
      <c r="G450" s="22">
        <f>IF($B450="","",IFERROR(INDEX(ContaComp,MATCH($B450,ContaNome,0)),"Conta inválida"))</f>
        <v/>
      </c>
    </row>
    <row r="451" spans="1:7">
      <c r="A451" s="21"/>
      <c r="B451" s="15"/>
      <c r="C451" s="15"/>
      <c r="D451" s="17"/>
      <c r="E451" s="22">
        <f>IF($A451="","",YEAR($A451))</f>
        <v/>
      </c>
      <c r="F451" s="22">
        <f>IF($A451="","",MONTH($A451))</f>
        <v/>
      </c>
      <c r="G451" s="22">
        <f>IF($B451="","",IFERROR(INDEX(ContaComp,MATCH($B451,ContaNome,0)),"Conta inválida"))</f>
        <v/>
      </c>
    </row>
    <row r="452" spans="1:7">
      <c r="A452" s="21"/>
      <c r="B452" s="15"/>
      <c r="C452" s="15"/>
      <c r="D452" s="17"/>
      <c r="E452" s="22">
        <f>IF($A452="","",YEAR($A452))</f>
        <v/>
      </c>
      <c r="F452" s="22">
        <f>IF($A452="","",MONTH($A452))</f>
        <v/>
      </c>
      <c r="G452" s="22">
        <f>IF($B452="","",IFERROR(INDEX(ContaComp,MATCH($B452,ContaNome,0)),"Conta inválida"))</f>
        <v/>
      </c>
    </row>
    <row r="453" spans="1:7">
      <c r="A453" s="21"/>
      <c r="B453" s="15"/>
      <c r="C453" s="15"/>
      <c r="D453" s="17"/>
      <c r="E453" s="22">
        <f>IF($A453="","",YEAR($A453))</f>
        <v/>
      </c>
      <c r="F453" s="22">
        <f>IF($A453="","",MONTH($A453))</f>
        <v/>
      </c>
      <c r="G453" s="22">
        <f>IF($B453="","",IFERROR(INDEX(ContaComp,MATCH($B453,ContaNome,0)),"Conta inválida"))</f>
        <v/>
      </c>
    </row>
    <row r="454" spans="1:7">
      <c r="A454" s="21"/>
      <c r="B454" s="15"/>
      <c r="C454" s="15"/>
      <c r="D454" s="17"/>
      <c r="E454" s="22">
        <f>IF($A454="","",YEAR($A454))</f>
        <v/>
      </c>
      <c r="F454" s="22">
        <f>IF($A454="","",MONTH($A454))</f>
        <v/>
      </c>
      <c r="G454" s="22">
        <f>IF($B454="","",IFERROR(INDEX(ContaComp,MATCH($B454,ContaNome,0)),"Conta inválida"))</f>
        <v/>
      </c>
    </row>
    <row r="455" spans="1:7">
      <c r="A455" s="21"/>
      <c r="B455" s="15"/>
      <c r="C455" s="15"/>
      <c r="D455" s="17"/>
      <c r="E455" s="22">
        <f>IF($A455="","",YEAR($A455))</f>
        <v/>
      </c>
      <c r="F455" s="22">
        <f>IF($A455="","",MONTH($A455))</f>
        <v/>
      </c>
      <c r="G455" s="22">
        <f>IF($B455="","",IFERROR(INDEX(ContaComp,MATCH($B455,ContaNome,0)),"Conta inválida"))</f>
        <v/>
      </c>
    </row>
    <row r="456" spans="1:7">
      <c r="A456" s="21"/>
      <c r="B456" s="15"/>
      <c r="C456" s="15"/>
      <c r="D456" s="17"/>
      <c r="E456" s="22">
        <f>IF($A456="","",YEAR($A456))</f>
        <v/>
      </c>
      <c r="F456" s="22">
        <f>IF($A456="","",MONTH($A456))</f>
        <v/>
      </c>
      <c r="G456" s="22">
        <f>IF($B456="","",IFERROR(INDEX(ContaComp,MATCH($B456,ContaNome,0)),"Conta inválida"))</f>
        <v/>
      </c>
    </row>
    <row r="457" spans="1:7">
      <c r="A457" s="21"/>
      <c r="B457" s="15"/>
      <c r="C457" s="15"/>
      <c r="D457" s="17"/>
      <c r="E457" s="22">
        <f>IF($A457="","",YEAR($A457))</f>
        <v/>
      </c>
      <c r="F457" s="22">
        <f>IF($A457="","",MONTH($A457))</f>
        <v/>
      </c>
      <c r="G457" s="22">
        <f>IF($B457="","",IFERROR(INDEX(ContaComp,MATCH($B457,ContaNome,0)),"Conta inválida"))</f>
        <v/>
      </c>
    </row>
    <row r="458" spans="1:7">
      <c r="A458" s="21"/>
      <c r="B458" s="15"/>
      <c r="C458" s="15"/>
      <c r="D458" s="17"/>
      <c r="E458" s="22">
        <f>IF($A458="","",YEAR($A458))</f>
        <v/>
      </c>
      <c r="F458" s="22">
        <f>IF($A458="","",MONTH($A458))</f>
        <v/>
      </c>
      <c r="G458" s="22">
        <f>IF($B458="","",IFERROR(INDEX(ContaComp,MATCH($B458,ContaNome,0)),"Conta inválida"))</f>
        <v/>
      </c>
    </row>
    <row r="459" spans="1:7">
      <c r="A459" s="21"/>
      <c r="B459" s="15"/>
      <c r="C459" s="15"/>
      <c r="D459" s="17"/>
      <c r="E459" s="22">
        <f>IF($A459="","",YEAR($A459))</f>
        <v/>
      </c>
      <c r="F459" s="22">
        <f>IF($A459="","",MONTH($A459))</f>
        <v/>
      </c>
      <c r="G459" s="22">
        <f>IF($B459="","",IFERROR(INDEX(ContaComp,MATCH($B459,ContaNome,0)),"Conta inválida"))</f>
        <v/>
      </c>
    </row>
    <row r="460" spans="1:7">
      <c r="A460" s="21"/>
      <c r="B460" s="15"/>
      <c r="C460" s="15"/>
      <c r="D460" s="17"/>
      <c r="E460" s="22">
        <f>IF($A460="","",YEAR($A460))</f>
        <v/>
      </c>
      <c r="F460" s="22">
        <f>IF($A460="","",MONTH($A460))</f>
        <v/>
      </c>
      <c r="G460" s="22">
        <f>IF($B460="","",IFERROR(INDEX(ContaComp,MATCH($B460,ContaNome,0)),"Conta inválida"))</f>
        <v/>
      </c>
    </row>
    <row r="461" spans="1:7">
      <c r="A461" s="21"/>
      <c r="B461" s="15"/>
      <c r="C461" s="15"/>
      <c r="D461" s="17"/>
      <c r="E461" s="22">
        <f>IF($A461="","",YEAR($A461))</f>
        <v/>
      </c>
      <c r="F461" s="22">
        <f>IF($A461="","",MONTH($A461))</f>
        <v/>
      </c>
      <c r="G461" s="22">
        <f>IF($B461="","",IFERROR(INDEX(ContaComp,MATCH($B461,ContaNome,0)),"Conta inválida"))</f>
        <v/>
      </c>
    </row>
    <row r="462" spans="1:7">
      <c r="A462" s="21"/>
      <c r="B462" s="15"/>
      <c r="C462" s="15"/>
      <c r="D462" s="17"/>
      <c r="E462" s="22">
        <f>IF($A462="","",YEAR($A462))</f>
        <v/>
      </c>
      <c r="F462" s="22">
        <f>IF($A462="","",MONTH($A462))</f>
        <v/>
      </c>
      <c r="G462" s="22">
        <f>IF($B462="","",IFERROR(INDEX(ContaComp,MATCH($B462,ContaNome,0)),"Conta inválida"))</f>
        <v/>
      </c>
    </row>
    <row r="463" spans="1:7">
      <c r="A463" s="21"/>
      <c r="B463" s="15"/>
      <c r="C463" s="15"/>
      <c r="D463" s="17"/>
      <c r="E463" s="22">
        <f>IF($A463="","",YEAR($A463))</f>
        <v/>
      </c>
      <c r="F463" s="22">
        <f>IF($A463="","",MONTH($A463))</f>
        <v/>
      </c>
      <c r="G463" s="22">
        <f>IF($B463="","",IFERROR(INDEX(ContaComp,MATCH($B463,ContaNome,0)),"Conta inválida"))</f>
        <v/>
      </c>
    </row>
    <row r="464" spans="1:7">
      <c r="A464" s="21"/>
      <c r="B464" s="15"/>
      <c r="C464" s="15"/>
      <c r="D464" s="17"/>
      <c r="E464" s="22">
        <f>IF($A464="","",YEAR($A464))</f>
        <v/>
      </c>
      <c r="F464" s="22">
        <f>IF($A464="","",MONTH($A464))</f>
        <v/>
      </c>
      <c r="G464" s="22">
        <f>IF($B464="","",IFERROR(INDEX(ContaComp,MATCH($B464,ContaNome,0)),"Conta inválida"))</f>
        <v/>
      </c>
    </row>
    <row r="465" spans="1:7">
      <c r="A465" s="21"/>
      <c r="B465" s="15"/>
      <c r="C465" s="15"/>
      <c r="D465" s="17"/>
      <c r="E465" s="22">
        <f>IF($A465="","",YEAR($A465))</f>
        <v/>
      </c>
      <c r="F465" s="22">
        <f>IF($A465="","",MONTH($A465))</f>
        <v/>
      </c>
      <c r="G465" s="22">
        <f>IF($B465="","",IFERROR(INDEX(ContaComp,MATCH($B465,ContaNome,0)),"Conta inválida"))</f>
        <v/>
      </c>
    </row>
    <row r="466" spans="1:7">
      <c r="A466" s="21"/>
      <c r="B466" s="15"/>
      <c r="C466" s="15"/>
      <c r="D466" s="17"/>
      <c r="E466" s="22">
        <f>IF($A466="","",YEAR($A466))</f>
        <v/>
      </c>
      <c r="F466" s="22">
        <f>IF($A466="","",MONTH($A466))</f>
        <v/>
      </c>
      <c r="G466" s="22">
        <f>IF($B466="","",IFERROR(INDEX(ContaComp,MATCH($B466,ContaNome,0)),"Conta inválida"))</f>
        <v/>
      </c>
    </row>
    <row r="467" spans="1:7">
      <c r="A467" s="21"/>
      <c r="B467" s="15"/>
      <c r="C467" s="15"/>
      <c r="D467" s="17"/>
      <c r="E467" s="22">
        <f>IF($A467="","",YEAR($A467))</f>
        <v/>
      </c>
      <c r="F467" s="22">
        <f>IF($A467="","",MONTH($A467))</f>
        <v/>
      </c>
      <c r="G467" s="22">
        <f>IF($B467="","",IFERROR(INDEX(ContaComp,MATCH($B467,ContaNome,0)),"Conta inválida"))</f>
        <v/>
      </c>
    </row>
    <row r="468" spans="1:7">
      <c r="A468" s="21"/>
      <c r="B468" s="15"/>
      <c r="C468" s="15"/>
      <c r="D468" s="17"/>
      <c r="E468" s="22">
        <f>IF($A468="","",YEAR($A468))</f>
        <v/>
      </c>
      <c r="F468" s="22">
        <f>IF($A468="","",MONTH($A468))</f>
        <v/>
      </c>
      <c r="G468" s="22">
        <f>IF($B468="","",IFERROR(INDEX(ContaComp,MATCH($B468,ContaNome,0)),"Conta inválida"))</f>
        <v/>
      </c>
    </row>
    <row r="469" spans="1:7">
      <c r="A469" s="21"/>
      <c r="B469" s="15"/>
      <c r="C469" s="15"/>
      <c r="D469" s="17"/>
      <c r="E469" s="22">
        <f>IF($A469="","",YEAR($A469))</f>
        <v/>
      </c>
      <c r="F469" s="22">
        <f>IF($A469="","",MONTH($A469))</f>
        <v/>
      </c>
      <c r="G469" s="22">
        <f>IF($B469="","",IFERROR(INDEX(ContaComp,MATCH($B469,ContaNome,0)),"Conta inválida"))</f>
        <v/>
      </c>
    </row>
    <row r="470" spans="1:7">
      <c r="A470" s="21"/>
      <c r="B470" s="15"/>
      <c r="C470" s="15"/>
      <c r="D470" s="17"/>
      <c r="E470" s="22">
        <f>IF($A470="","",YEAR($A470))</f>
        <v/>
      </c>
      <c r="F470" s="22">
        <f>IF($A470="","",MONTH($A470))</f>
        <v/>
      </c>
      <c r="G470" s="22">
        <f>IF($B470="","",IFERROR(INDEX(ContaComp,MATCH($B470,ContaNome,0)),"Conta inválida"))</f>
        <v/>
      </c>
    </row>
    <row r="471" spans="1:7">
      <c r="A471" s="21"/>
      <c r="B471" s="15"/>
      <c r="C471" s="15"/>
      <c r="D471" s="17"/>
      <c r="E471" s="22">
        <f>IF($A471="","",YEAR($A471))</f>
        <v/>
      </c>
      <c r="F471" s="22">
        <f>IF($A471="","",MONTH($A471))</f>
        <v/>
      </c>
      <c r="G471" s="22">
        <f>IF($B471="","",IFERROR(INDEX(ContaComp,MATCH($B471,ContaNome,0)),"Conta inválida"))</f>
        <v/>
      </c>
    </row>
    <row r="472" spans="1:7">
      <c r="A472" s="21"/>
      <c r="B472" s="15"/>
      <c r="C472" s="15"/>
      <c r="D472" s="17"/>
      <c r="E472" s="22">
        <f>IF($A472="","",YEAR($A472))</f>
        <v/>
      </c>
      <c r="F472" s="22">
        <f>IF($A472="","",MONTH($A472))</f>
        <v/>
      </c>
      <c r="G472" s="22">
        <f>IF($B472="","",IFERROR(INDEX(ContaComp,MATCH($B472,ContaNome,0)),"Conta inválida"))</f>
        <v/>
      </c>
    </row>
    <row r="473" spans="1:7">
      <c r="A473" s="21"/>
      <c r="B473" s="15"/>
      <c r="C473" s="15"/>
      <c r="D473" s="17"/>
      <c r="E473" s="22">
        <f>IF($A473="","",YEAR($A473))</f>
        <v/>
      </c>
      <c r="F473" s="22">
        <f>IF($A473="","",MONTH($A473))</f>
        <v/>
      </c>
      <c r="G473" s="22">
        <f>IF($B473="","",IFERROR(INDEX(ContaComp,MATCH($B473,ContaNome,0)),"Conta inválida"))</f>
        <v/>
      </c>
    </row>
    <row r="474" spans="1:7">
      <c r="A474" s="21"/>
      <c r="B474" s="15"/>
      <c r="C474" s="15"/>
      <c r="D474" s="17"/>
      <c r="E474" s="22">
        <f>IF($A474="","",YEAR($A474))</f>
        <v/>
      </c>
      <c r="F474" s="22">
        <f>IF($A474="","",MONTH($A474))</f>
        <v/>
      </c>
      <c r="G474" s="22">
        <f>IF($B474="","",IFERROR(INDEX(ContaComp,MATCH($B474,ContaNome,0)),"Conta inválida"))</f>
        <v/>
      </c>
    </row>
    <row r="475" spans="1:7">
      <c r="A475" s="21"/>
      <c r="B475" s="15"/>
      <c r="C475" s="15"/>
      <c r="D475" s="17"/>
      <c r="E475" s="22">
        <f>IF($A475="","",YEAR($A475))</f>
        <v/>
      </c>
      <c r="F475" s="22">
        <f>IF($A475="","",MONTH($A475))</f>
        <v/>
      </c>
      <c r="G475" s="22">
        <f>IF($B475="","",IFERROR(INDEX(ContaComp,MATCH($B475,ContaNome,0)),"Conta inválida"))</f>
        <v/>
      </c>
    </row>
    <row r="476" spans="1:7">
      <c r="A476" s="21"/>
      <c r="B476" s="15"/>
      <c r="C476" s="15"/>
      <c r="D476" s="17"/>
      <c r="E476" s="22">
        <f>IF($A476="","",YEAR($A476))</f>
        <v/>
      </c>
      <c r="F476" s="22">
        <f>IF($A476="","",MONTH($A476))</f>
        <v/>
      </c>
      <c r="G476" s="22">
        <f>IF($B476="","",IFERROR(INDEX(ContaComp,MATCH($B476,ContaNome,0)),"Conta inválida"))</f>
        <v/>
      </c>
    </row>
    <row r="477" spans="1:7">
      <c r="A477" s="21"/>
      <c r="B477" s="15"/>
      <c r="C477" s="15"/>
      <c r="D477" s="17"/>
      <c r="E477" s="22">
        <f>IF($A477="","",YEAR($A477))</f>
        <v/>
      </c>
      <c r="F477" s="22">
        <f>IF($A477="","",MONTH($A477))</f>
        <v/>
      </c>
      <c r="G477" s="22">
        <f>IF($B477="","",IFERROR(INDEX(ContaComp,MATCH($B477,ContaNome,0)),"Conta inválida"))</f>
        <v/>
      </c>
    </row>
    <row r="478" spans="1:7">
      <c r="A478" s="21"/>
      <c r="B478" s="15"/>
      <c r="C478" s="15"/>
      <c r="D478" s="17"/>
      <c r="E478" s="22">
        <f>IF($A478="","",YEAR($A478))</f>
        <v/>
      </c>
      <c r="F478" s="22">
        <f>IF($A478="","",MONTH($A478))</f>
        <v/>
      </c>
      <c r="G478" s="22">
        <f>IF($B478="","",IFERROR(INDEX(ContaComp,MATCH($B478,ContaNome,0)),"Conta inválida"))</f>
        <v/>
      </c>
    </row>
    <row r="479" spans="1:7">
      <c r="A479" s="21"/>
      <c r="B479" s="15"/>
      <c r="C479" s="15"/>
      <c r="D479" s="17"/>
      <c r="E479" s="22">
        <f>IF($A479="","",YEAR($A479))</f>
        <v/>
      </c>
      <c r="F479" s="22">
        <f>IF($A479="","",MONTH($A479))</f>
        <v/>
      </c>
      <c r="G479" s="22">
        <f>IF($B479="","",IFERROR(INDEX(ContaComp,MATCH($B479,ContaNome,0)),"Conta inválida"))</f>
        <v/>
      </c>
    </row>
    <row r="480" spans="1:7">
      <c r="A480" s="21"/>
      <c r="B480" s="15"/>
      <c r="C480" s="15"/>
      <c r="D480" s="17"/>
      <c r="E480" s="22">
        <f>IF($A480="","",YEAR($A480))</f>
        <v/>
      </c>
      <c r="F480" s="22">
        <f>IF($A480="","",MONTH($A480))</f>
        <v/>
      </c>
      <c r="G480" s="22">
        <f>IF($B480="","",IFERROR(INDEX(ContaComp,MATCH($B480,ContaNome,0)),"Conta inválida"))</f>
        <v/>
      </c>
    </row>
    <row r="481" spans="1:7">
      <c r="A481" s="21"/>
      <c r="B481" s="15"/>
      <c r="C481" s="15"/>
      <c r="D481" s="17"/>
      <c r="E481" s="22">
        <f>IF($A481="","",YEAR($A481))</f>
        <v/>
      </c>
      <c r="F481" s="22">
        <f>IF($A481="","",MONTH($A481))</f>
        <v/>
      </c>
      <c r="G481" s="22">
        <f>IF($B481="","",IFERROR(INDEX(ContaComp,MATCH($B481,ContaNome,0)),"Conta inválida"))</f>
        <v/>
      </c>
    </row>
    <row r="482" spans="1:7">
      <c r="A482" s="21"/>
      <c r="B482" s="15"/>
      <c r="C482" s="15"/>
      <c r="D482" s="17"/>
      <c r="E482" s="22">
        <f>IF($A482="","",YEAR($A482))</f>
        <v/>
      </c>
      <c r="F482" s="22">
        <f>IF($A482="","",MONTH($A482))</f>
        <v/>
      </c>
      <c r="G482" s="22">
        <f>IF($B482="","",IFERROR(INDEX(ContaComp,MATCH($B482,ContaNome,0)),"Conta inválida"))</f>
        <v/>
      </c>
    </row>
    <row r="483" spans="1:7">
      <c r="A483" s="21"/>
      <c r="B483" s="15"/>
      <c r="C483" s="15"/>
      <c r="D483" s="17"/>
      <c r="E483" s="22">
        <f>IF($A483="","",YEAR($A483))</f>
        <v/>
      </c>
      <c r="F483" s="22">
        <f>IF($A483="","",MONTH($A483))</f>
        <v/>
      </c>
      <c r="G483" s="22">
        <f>IF($B483="","",IFERROR(INDEX(ContaComp,MATCH($B483,ContaNome,0)),"Conta inválida"))</f>
        <v/>
      </c>
    </row>
    <row r="484" spans="1:7">
      <c r="A484" s="21"/>
      <c r="B484" s="15"/>
      <c r="C484" s="15"/>
      <c r="D484" s="17"/>
      <c r="E484" s="22">
        <f>IF($A484="","",YEAR($A484))</f>
        <v/>
      </c>
      <c r="F484" s="22">
        <f>IF($A484="","",MONTH($A484))</f>
        <v/>
      </c>
      <c r="G484" s="22">
        <f>IF($B484="","",IFERROR(INDEX(ContaComp,MATCH($B484,ContaNome,0)),"Conta inválida"))</f>
        <v/>
      </c>
    </row>
    <row r="485" spans="1:7">
      <c r="A485" s="21"/>
      <c r="B485" s="15"/>
      <c r="C485" s="15"/>
      <c r="D485" s="17"/>
      <c r="E485" s="22">
        <f>IF($A485="","",YEAR($A485))</f>
        <v/>
      </c>
      <c r="F485" s="22">
        <f>IF($A485="","",MONTH($A485))</f>
        <v/>
      </c>
      <c r="G485" s="22">
        <f>IF($B485="","",IFERROR(INDEX(ContaComp,MATCH($B485,ContaNome,0)),"Conta inválida"))</f>
        <v/>
      </c>
    </row>
    <row r="486" spans="1:7">
      <c r="A486" s="21"/>
      <c r="B486" s="15"/>
      <c r="C486" s="15"/>
      <c r="D486" s="17"/>
      <c r="E486" s="22">
        <f>IF($A486="","",YEAR($A486))</f>
        <v/>
      </c>
      <c r="F486" s="22">
        <f>IF($A486="","",MONTH($A486))</f>
        <v/>
      </c>
      <c r="G486" s="22">
        <f>IF($B486="","",IFERROR(INDEX(ContaComp,MATCH($B486,ContaNome,0)),"Conta inválida"))</f>
        <v/>
      </c>
    </row>
    <row r="487" spans="1:7">
      <c r="A487" s="21"/>
      <c r="B487" s="15"/>
      <c r="C487" s="15"/>
      <c r="D487" s="17"/>
      <c r="E487" s="22">
        <f>IF($A487="","",YEAR($A487))</f>
        <v/>
      </c>
      <c r="F487" s="22">
        <f>IF($A487="","",MONTH($A487))</f>
        <v/>
      </c>
      <c r="G487" s="22">
        <f>IF($B487="","",IFERROR(INDEX(ContaComp,MATCH($B487,ContaNome,0)),"Conta inválida"))</f>
        <v/>
      </c>
    </row>
    <row r="488" spans="1:7">
      <c r="A488" s="21"/>
      <c r="B488" s="15"/>
      <c r="C488" s="15"/>
      <c r="D488" s="17"/>
      <c r="E488" s="22">
        <f>IF($A488="","",YEAR($A488))</f>
        <v/>
      </c>
      <c r="F488" s="22">
        <f>IF($A488="","",MONTH($A488))</f>
        <v/>
      </c>
      <c r="G488" s="22">
        <f>IF($B488="","",IFERROR(INDEX(ContaComp,MATCH($B488,ContaNome,0)),"Conta inválida"))</f>
        <v/>
      </c>
    </row>
    <row r="489" spans="1:7">
      <c r="A489" s="21"/>
      <c r="B489" s="15"/>
      <c r="C489" s="15"/>
      <c r="D489" s="17"/>
      <c r="E489" s="22">
        <f>IF($A489="","",YEAR($A489))</f>
        <v/>
      </c>
      <c r="F489" s="22">
        <f>IF($A489="","",MONTH($A489))</f>
        <v/>
      </c>
      <c r="G489" s="22">
        <f>IF($B489="","",IFERROR(INDEX(ContaComp,MATCH($B489,ContaNome,0)),"Conta inválida"))</f>
        <v/>
      </c>
    </row>
    <row r="490" spans="1:7">
      <c r="A490" s="21"/>
      <c r="B490" s="15"/>
      <c r="C490" s="15"/>
      <c r="D490" s="17"/>
      <c r="E490" s="22">
        <f>IF($A490="","",YEAR($A490))</f>
        <v/>
      </c>
      <c r="F490" s="22">
        <f>IF($A490="","",MONTH($A490))</f>
        <v/>
      </c>
      <c r="G490" s="22">
        <f>IF($B490="","",IFERROR(INDEX(ContaComp,MATCH($B490,ContaNome,0)),"Conta inválida"))</f>
        <v/>
      </c>
    </row>
    <row r="491" spans="1:7">
      <c r="A491" s="21"/>
      <c r="B491" s="15"/>
      <c r="C491" s="15"/>
      <c r="D491" s="17"/>
      <c r="E491" s="22">
        <f>IF($A491="","",YEAR($A491))</f>
        <v/>
      </c>
      <c r="F491" s="22">
        <f>IF($A491="","",MONTH($A491))</f>
        <v/>
      </c>
      <c r="G491" s="22">
        <f>IF($B491="","",IFERROR(INDEX(ContaComp,MATCH($B491,ContaNome,0)),"Conta inválida"))</f>
        <v/>
      </c>
    </row>
    <row r="492" spans="1:7">
      <c r="A492" s="21"/>
      <c r="B492" s="15"/>
      <c r="C492" s="15"/>
      <c r="D492" s="17"/>
      <c r="E492" s="22">
        <f>IF($A492="","",YEAR($A492))</f>
        <v/>
      </c>
      <c r="F492" s="22">
        <f>IF($A492="","",MONTH($A492))</f>
        <v/>
      </c>
      <c r="G492" s="22">
        <f>IF($B492="","",IFERROR(INDEX(ContaComp,MATCH($B492,ContaNome,0)),"Conta inválida"))</f>
        <v/>
      </c>
    </row>
    <row r="493" spans="1:7">
      <c r="A493" s="21"/>
      <c r="B493" s="15"/>
      <c r="C493" s="15"/>
      <c r="D493" s="17"/>
      <c r="E493" s="22">
        <f>IF($A493="","",YEAR($A493))</f>
        <v/>
      </c>
      <c r="F493" s="22">
        <f>IF($A493="","",MONTH($A493))</f>
        <v/>
      </c>
      <c r="G493" s="22">
        <f>IF($B493="","",IFERROR(INDEX(ContaComp,MATCH($B493,ContaNome,0)),"Conta inválida"))</f>
        <v/>
      </c>
    </row>
    <row r="494" spans="1:7">
      <c r="A494" s="21"/>
      <c r="B494" s="15"/>
      <c r="C494" s="15"/>
      <c r="D494" s="17"/>
      <c r="E494" s="22">
        <f>IF($A494="","",YEAR($A494))</f>
        <v/>
      </c>
      <c r="F494" s="22">
        <f>IF($A494="","",MONTH($A494))</f>
        <v/>
      </c>
      <c r="G494" s="22">
        <f>IF($B494="","",IFERROR(INDEX(ContaComp,MATCH($B494,ContaNome,0)),"Conta inválida"))</f>
        <v/>
      </c>
    </row>
    <row r="495" spans="1:7">
      <c r="A495" s="21"/>
      <c r="B495" s="15"/>
      <c r="C495" s="15"/>
      <c r="D495" s="17"/>
      <c r="E495" s="22">
        <f>IF($A495="","",YEAR($A495))</f>
        <v/>
      </c>
      <c r="F495" s="22">
        <f>IF($A495="","",MONTH($A495))</f>
        <v/>
      </c>
      <c r="G495" s="22">
        <f>IF($B495="","",IFERROR(INDEX(ContaComp,MATCH($B495,ContaNome,0)),"Conta inválida"))</f>
        <v/>
      </c>
    </row>
    <row r="496" spans="1:7">
      <c r="A496" s="21"/>
      <c r="B496" s="15"/>
      <c r="C496" s="15"/>
      <c r="D496" s="17"/>
      <c r="E496" s="22">
        <f>IF($A496="","",YEAR($A496))</f>
        <v/>
      </c>
      <c r="F496" s="22">
        <f>IF($A496="","",MONTH($A496))</f>
        <v/>
      </c>
      <c r="G496" s="22">
        <f>IF($B496="","",IFERROR(INDEX(ContaComp,MATCH($B496,ContaNome,0)),"Conta inválida"))</f>
        <v/>
      </c>
    </row>
    <row r="497" spans="1:7">
      <c r="A497" s="21"/>
      <c r="B497" s="15"/>
      <c r="C497" s="15"/>
      <c r="D497" s="17"/>
      <c r="E497" s="22">
        <f>IF($A497="","",YEAR($A497))</f>
        <v/>
      </c>
      <c r="F497" s="22">
        <f>IF($A497="","",MONTH($A497))</f>
        <v/>
      </c>
      <c r="G497" s="22">
        <f>IF($B497="","",IFERROR(INDEX(ContaComp,MATCH($B497,ContaNome,0)),"Conta inválida"))</f>
        <v/>
      </c>
    </row>
    <row r="498" spans="1:7">
      <c r="A498" s="21"/>
      <c r="B498" s="15"/>
      <c r="C498" s="15"/>
      <c r="D498" s="17"/>
      <c r="E498" s="22">
        <f>IF($A498="","",YEAR($A498))</f>
        <v/>
      </c>
      <c r="F498" s="22">
        <f>IF($A498="","",MONTH($A498))</f>
        <v/>
      </c>
      <c r="G498" s="22">
        <f>IF($B498="","",IFERROR(INDEX(ContaComp,MATCH($B498,ContaNome,0)),"Conta inválida"))</f>
        <v/>
      </c>
    </row>
    <row r="499" spans="1:7">
      <c r="A499" s="21"/>
      <c r="B499" s="15"/>
      <c r="C499" s="15"/>
      <c r="D499" s="17"/>
      <c r="E499" s="22">
        <f>IF($A499="","",YEAR($A499))</f>
        <v/>
      </c>
      <c r="F499" s="22">
        <f>IF($A499="","",MONTH($A499))</f>
        <v/>
      </c>
      <c r="G499" s="22">
        <f>IF($B499="","",IFERROR(INDEX(ContaComp,MATCH($B499,ContaNome,0)),"Conta inválida"))</f>
        <v/>
      </c>
    </row>
    <row r="500" spans="1:7">
      <c r="A500" s="21"/>
      <c r="B500" s="15"/>
      <c r="C500" s="15"/>
      <c r="D500" s="17"/>
      <c r="E500" s="22">
        <f>IF($A500="","",YEAR($A500))</f>
        <v/>
      </c>
      <c r="F500" s="22">
        <f>IF($A500="","",MONTH($A500))</f>
        <v/>
      </c>
      <c r="G500" s="22">
        <f>IF($B500="","",IFERROR(INDEX(ContaComp,MATCH($B500,ContaNome,0)),"Conta inválida"))</f>
        <v/>
      </c>
    </row>
    <row r="501" spans="1:7">
      <c r="A501" s="21"/>
      <c r="B501" s="15"/>
      <c r="C501" s="15"/>
      <c r="D501" s="17"/>
      <c r="E501" s="22">
        <f>IF($A501="","",YEAR($A501))</f>
        <v/>
      </c>
      <c r="F501" s="22">
        <f>IF($A501="","",MONTH($A501))</f>
        <v/>
      </c>
      <c r="G501" s="22">
        <f>IF($B501="","",IFERROR(INDEX(ContaComp,MATCH($B501,ContaNome,0)),"Conta inválida"))</f>
        <v/>
      </c>
    </row>
    <row r="502" spans="1:7">
      <c r="A502" s="21"/>
      <c r="B502" s="15"/>
      <c r="C502" s="15"/>
      <c r="D502" s="17"/>
      <c r="E502" s="22">
        <f>IF($A502="","",YEAR($A502))</f>
        <v/>
      </c>
      <c r="F502" s="22">
        <f>IF($A502="","",MONTH($A502))</f>
        <v/>
      </c>
      <c r="G502" s="22">
        <f>IF($B502="","",IFERROR(INDEX(ContaComp,MATCH($B502,ContaNome,0)),"Conta inválida"))</f>
        <v/>
      </c>
    </row>
    <row r="503" spans="1:7">
      <c r="A503" s="21"/>
      <c r="B503" s="15"/>
      <c r="C503" s="15"/>
      <c r="D503" s="17"/>
      <c r="E503" s="22">
        <f>IF($A503="","",YEAR($A503))</f>
        <v/>
      </c>
      <c r="F503" s="22">
        <f>IF($A503="","",MONTH($A503))</f>
        <v/>
      </c>
      <c r="G503" s="22">
        <f>IF($B503="","",IFERROR(INDEX(ContaComp,MATCH($B503,ContaNome,0)),"Conta inválida"))</f>
        <v/>
      </c>
    </row>
    <row r="504" spans="1:7">
      <c r="A504" s="21"/>
      <c r="B504" s="15"/>
      <c r="C504" s="15"/>
      <c r="D504" s="17"/>
      <c r="E504" s="22">
        <f>IF($A504="","",YEAR($A504))</f>
        <v/>
      </c>
      <c r="F504" s="22">
        <f>IF($A504="","",MONTH($A504))</f>
        <v/>
      </c>
      <c r="G504" s="22">
        <f>IF($B504="","",IFERROR(INDEX(ContaComp,MATCH($B504,ContaNome,0)),"Conta inválida"))</f>
        <v/>
      </c>
    </row>
    <row r="505" spans="1:7">
      <c r="A505" s="21"/>
      <c r="B505" s="15"/>
      <c r="C505" s="15"/>
      <c r="D505" s="17"/>
      <c r="E505" s="22">
        <f>IF($A505="","",YEAR($A505))</f>
        <v/>
      </c>
      <c r="F505" s="22">
        <f>IF($A505="","",MONTH($A505))</f>
        <v/>
      </c>
      <c r="G505" s="22">
        <f>IF($B505="","",IFERROR(INDEX(ContaComp,MATCH($B505,ContaNome,0)),"Conta inválida"))</f>
        <v/>
      </c>
    </row>
    <row r="506" spans="1:7">
      <c r="A506" s="21"/>
      <c r="B506" s="15"/>
      <c r="C506" s="15"/>
      <c r="D506" s="17"/>
      <c r="E506" s="22">
        <f>IF($A506="","",YEAR($A506))</f>
        <v/>
      </c>
      <c r="F506" s="22">
        <f>IF($A506="","",MONTH($A506))</f>
        <v/>
      </c>
      <c r="G506" s="22">
        <f>IF($B506="","",IFERROR(INDEX(ContaComp,MATCH($B506,ContaNome,0)),"Conta inválida"))</f>
        <v/>
      </c>
    </row>
    <row r="507" spans="1:7">
      <c r="A507" s="21"/>
      <c r="B507" s="15"/>
      <c r="C507" s="15"/>
      <c r="D507" s="17"/>
      <c r="E507" s="22">
        <f>IF($A507="","",YEAR($A507))</f>
        <v/>
      </c>
      <c r="F507" s="22">
        <f>IF($A507="","",MONTH($A507))</f>
        <v/>
      </c>
      <c r="G507" s="22">
        <f>IF($B507="","",IFERROR(INDEX(ContaComp,MATCH($B507,ContaNome,0)),"Conta inválida"))</f>
        <v/>
      </c>
    </row>
    <row r="508" spans="1:7">
      <c r="A508" s="21"/>
      <c r="B508" s="15"/>
      <c r="C508" s="15"/>
      <c r="D508" s="17"/>
      <c r="E508" s="22">
        <f>IF($A508="","",YEAR($A508))</f>
        <v/>
      </c>
      <c r="F508" s="22">
        <f>IF($A508="","",MONTH($A508))</f>
        <v/>
      </c>
      <c r="G508" s="22">
        <f>IF($B508="","",IFERROR(INDEX(ContaComp,MATCH($B508,ContaNome,0)),"Conta inválida"))</f>
        <v/>
      </c>
    </row>
    <row r="509" spans="1:7">
      <c r="A509" s="21"/>
      <c r="B509" s="15"/>
      <c r="C509" s="15"/>
      <c r="D509" s="17"/>
      <c r="E509" s="22">
        <f>IF($A509="","",YEAR($A509))</f>
        <v/>
      </c>
      <c r="F509" s="22">
        <f>IF($A509="","",MONTH($A509))</f>
        <v/>
      </c>
      <c r="G509" s="22">
        <f>IF($B509="","",IFERROR(INDEX(ContaComp,MATCH($B509,ContaNome,0)),"Conta inválida"))</f>
        <v/>
      </c>
    </row>
    <row r="510" spans="1:7">
      <c r="A510" s="21"/>
      <c r="B510" s="15"/>
      <c r="C510" s="15"/>
      <c r="D510" s="17"/>
      <c r="E510" s="22">
        <f>IF($A510="","",YEAR($A510))</f>
        <v/>
      </c>
      <c r="F510" s="22">
        <f>IF($A510="","",MONTH($A510))</f>
        <v/>
      </c>
      <c r="G510" s="22">
        <f>IF($B510="","",IFERROR(INDEX(ContaComp,MATCH($B510,ContaNome,0)),"Conta inválida"))</f>
        <v/>
      </c>
    </row>
    <row r="511" spans="1:7">
      <c r="A511" s="21"/>
      <c r="B511" s="15"/>
      <c r="C511" s="15"/>
      <c r="D511" s="17"/>
      <c r="E511" s="22">
        <f>IF($A511="","",YEAR($A511))</f>
        <v/>
      </c>
      <c r="F511" s="22">
        <f>IF($A511="","",MONTH($A511))</f>
        <v/>
      </c>
      <c r="G511" s="22">
        <f>IF($B511="","",IFERROR(INDEX(ContaComp,MATCH($B511,ContaNome,0)),"Conta inválida"))</f>
        <v/>
      </c>
    </row>
    <row r="512" spans="1:7">
      <c r="A512" s="21"/>
      <c r="B512" s="15"/>
      <c r="C512" s="15"/>
      <c r="D512" s="17"/>
      <c r="E512" s="22">
        <f>IF($A512="","",YEAR($A512))</f>
        <v/>
      </c>
      <c r="F512" s="22">
        <f>IF($A512="","",MONTH($A512))</f>
        <v/>
      </c>
      <c r="G512" s="22">
        <f>IF($B512="","",IFERROR(INDEX(ContaComp,MATCH($B512,ContaNome,0)),"Conta inválida"))</f>
        <v/>
      </c>
    </row>
    <row r="513" spans="1:7">
      <c r="A513" s="21"/>
      <c r="B513" s="15"/>
      <c r="C513" s="15"/>
      <c r="D513" s="17"/>
      <c r="E513" s="22">
        <f>IF($A513="","",YEAR($A513))</f>
        <v/>
      </c>
      <c r="F513" s="22">
        <f>IF($A513="","",MONTH($A513))</f>
        <v/>
      </c>
      <c r="G513" s="22">
        <f>IF($B513="","",IFERROR(INDEX(ContaComp,MATCH($B513,ContaNome,0)),"Conta inválida"))</f>
        <v/>
      </c>
    </row>
    <row r="514" spans="1:7">
      <c r="A514" s="21"/>
      <c r="B514" s="15"/>
      <c r="C514" s="15"/>
      <c r="D514" s="17"/>
      <c r="E514" s="22">
        <f>IF($A514="","",YEAR($A514))</f>
        <v/>
      </c>
      <c r="F514" s="22">
        <f>IF($A514="","",MONTH($A514))</f>
        <v/>
      </c>
      <c r="G514" s="22">
        <f>IF($B514="","",IFERROR(INDEX(ContaComp,MATCH($B514,ContaNome,0)),"Conta inválida"))</f>
        <v/>
      </c>
    </row>
    <row r="515" spans="1:7">
      <c r="A515" s="21"/>
      <c r="B515" s="15"/>
      <c r="C515" s="15"/>
      <c r="D515" s="17"/>
      <c r="E515" s="22">
        <f>IF($A515="","",YEAR($A515))</f>
        <v/>
      </c>
      <c r="F515" s="22">
        <f>IF($A515="","",MONTH($A515))</f>
        <v/>
      </c>
      <c r="G515" s="22">
        <f>IF($B515="","",IFERROR(INDEX(ContaComp,MATCH($B515,ContaNome,0)),"Conta inválida"))</f>
        <v/>
      </c>
    </row>
    <row r="516" spans="1:7">
      <c r="A516" s="21"/>
      <c r="B516" s="15"/>
      <c r="C516" s="15"/>
      <c r="D516" s="17"/>
      <c r="E516" s="22">
        <f>IF($A516="","",YEAR($A516))</f>
        <v/>
      </c>
      <c r="F516" s="22">
        <f>IF($A516="","",MONTH($A516))</f>
        <v/>
      </c>
      <c r="G516" s="22">
        <f>IF($B516="","",IFERROR(INDEX(ContaComp,MATCH($B516,ContaNome,0)),"Conta inválida"))</f>
        <v/>
      </c>
    </row>
    <row r="517" spans="1:7">
      <c r="A517" s="21"/>
      <c r="B517" s="15"/>
      <c r="C517" s="15"/>
      <c r="D517" s="17"/>
      <c r="E517" s="22">
        <f>IF($A517="","",YEAR($A517))</f>
        <v/>
      </c>
      <c r="F517" s="22">
        <f>IF($A517="","",MONTH($A517))</f>
        <v/>
      </c>
      <c r="G517" s="22">
        <f>IF($B517="","",IFERROR(INDEX(ContaComp,MATCH($B517,ContaNome,0)),"Conta inválida"))</f>
        <v/>
      </c>
    </row>
    <row r="518" spans="1:7">
      <c r="A518" s="21"/>
      <c r="B518" s="15"/>
      <c r="C518" s="15"/>
      <c r="D518" s="17"/>
      <c r="E518" s="22">
        <f>IF($A518="","",YEAR($A518))</f>
        <v/>
      </c>
      <c r="F518" s="22">
        <f>IF($A518="","",MONTH($A518))</f>
        <v/>
      </c>
      <c r="G518" s="22">
        <f>IF($B518="","",IFERROR(INDEX(ContaComp,MATCH($B518,ContaNome,0)),"Conta inválida"))</f>
        <v/>
      </c>
    </row>
    <row r="519" spans="1:7">
      <c r="A519" s="21"/>
      <c r="B519" s="15"/>
      <c r="C519" s="15"/>
      <c r="D519" s="17"/>
      <c r="E519" s="22">
        <f>IF($A519="","",YEAR($A519))</f>
        <v/>
      </c>
      <c r="F519" s="22">
        <f>IF($A519="","",MONTH($A519))</f>
        <v/>
      </c>
      <c r="G519" s="22">
        <f>IF($B519="","",IFERROR(INDEX(ContaComp,MATCH($B519,ContaNome,0)),"Conta inválida"))</f>
        <v/>
      </c>
    </row>
    <row r="520" spans="1:7">
      <c r="A520" s="21"/>
      <c r="B520" s="15"/>
      <c r="C520" s="15"/>
      <c r="D520" s="17"/>
      <c r="E520" s="22">
        <f>IF($A520="","",YEAR($A520))</f>
        <v/>
      </c>
      <c r="F520" s="22">
        <f>IF($A520="","",MONTH($A520))</f>
        <v/>
      </c>
      <c r="G520" s="22">
        <f>IF($B520="","",IFERROR(INDEX(ContaComp,MATCH($B520,ContaNome,0)),"Conta inválida"))</f>
        <v/>
      </c>
    </row>
    <row r="521" spans="1:7">
      <c r="A521" s="21"/>
      <c r="B521" s="15"/>
      <c r="C521" s="15"/>
      <c r="D521" s="17"/>
      <c r="E521" s="22">
        <f>IF($A521="","",YEAR($A521))</f>
        <v/>
      </c>
      <c r="F521" s="22">
        <f>IF($A521="","",MONTH($A521))</f>
        <v/>
      </c>
      <c r="G521" s="22">
        <f>IF($B521="","",IFERROR(INDEX(ContaComp,MATCH($B521,ContaNome,0)),"Conta inválida"))</f>
        <v/>
      </c>
    </row>
    <row r="522" spans="1:7">
      <c r="A522" s="21"/>
      <c r="B522" s="15"/>
      <c r="C522" s="15"/>
      <c r="D522" s="17"/>
      <c r="E522" s="22">
        <f>IF($A522="","",YEAR($A522))</f>
        <v/>
      </c>
      <c r="F522" s="22">
        <f>IF($A522="","",MONTH($A522))</f>
        <v/>
      </c>
      <c r="G522" s="22">
        <f>IF($B522="","",IFERROR(INDEX(ContaComp,MATCH($B522,ContaNome,0)),"Conta inválida"))</f>
        <v/>
      </c>
    </row>
    <row r="523" spans="1:7">
      <c r="A523" s="21"/>
      <c r="B523" s="15"/>
      <c r="C523" s="15"/>
      <c r="D523" s="17"/>
      <c r="E523" s="22">
        <f>IF($A523="","",YEAR($A523))</f>
        <v/>
      </c>
      <c r="F523" s="22">
        <f>IF($A523="","",MONTH($A523))</f>
        <v/>
      </c>
      <c r="G523" s="22">
        <f>IF($B523="","",IFERROR(INDEX(ContaComp,MATCH($B523,ContaNome,0)),"Conta inválida"))</f>
        <v/>
      </c>
    </row>
    <row r="524" spans="1:7">
      <c r="A524" s="21"/>
      <c r="B524" s="15"/>
      <c r="C524" s="15"/>
      <c r="D524" s="17"/>
      <c r="E524" s="22">
        <f>IF($A524="","",YEAR($A524))</f>
        <v/>
      </c>
      <c r="F524" s="22">
        <f>IF($A524="","",MONTH($A524))</f>
        <v/>
      </c>
      <c r="G524" s="22">
        <f>IF($B524="","",IFERROR(INDEX(ContaComp,MATCH($B524,ContaNome,0)),"Conta inválida"))</f>
        <v/>
      </c>
    </row>
    <row r="525" spans="1:7">
      <c r="A525" s="21"/>
      <c r="B525" s="15"/>
      <c r="C525" s="15"/>
      <c r="D525" s="17"/>
      <c r="E525" s="22">
        <f>IF($A525="","",YEAR($A525))</f>
        <v/>
      </c>
      <c r="F525" s="22">
        <f>IF($A525="","",MONTH($A525))</f>
        <v/>
      </c>
      <c r="G525" s="22">
        <f>IF($B525="","",IFERROR(INDEX(ContaComp,MATCH($B525,ContaNome,0)),"Conta inválida"))</f>
        <v/>
      </c>
    </row>
    <row r="526" spans="1:7">
      <c r="A526" s="21"/>
      <c r="B526" s="15"/>
      <c r="C526" s="15"/>
      <c r="D526" s="17"/>
      <c r="E526" s="22">
        <f>IF($A526="","",YEAR($A526))</f>
        <v/>
      </c>
      <c r="F526" s="22">
        <f>IF($A526="","",MONTH($A526))</f>
        <v/>
      </c>
      <c r="G526" s="22">
        <f>IF($B526="","",IFERROR(INDEX(ContaComp,MATCH($B526,ContaNome,0)),"Conta inválida"))</f>
        <v/>
      </c>
    </row>
    <row r="527" spans="1:7">
      <c r="A527" s="21"/>
      <c r="B527" s="15"/>
      <c r="C527" s="15"/>
      <c r="D527" s="17"/>
      <c r="E527" s="22">
        <f>IF($A527="","",YEAR($A527))</f>
        <v/>
      </c>
      <c r="F527" s="22">
        <f>IF($A527="","",MONTH($A527))</f>
        <v/>
      </c>
      <c r="G527" s="22">
        <f>IF($B527="","",IFERROR(INDEX(ContaComp,MATCH($B527,ContaNome,0)),"Conta inválida"))</f>
        <v/>
      </c>
    </row>
    <row r="528" spans="1:7">
      <c r="A528" s="21"/>
      <c r="B528" s="15"/>
      <c r="C528" s="15"/>
      <c r="D528" s="17"/>
      <c r="E528" s="22">
        <f>IF($A528="","",YEAR($A528))</f>
        <v/>
      </c>
      <c r="F528" s="22">
        <f>IF($A528="","",MONTH($A528))</f>
        <v/>
      </c>
      <c r="G528" s="22">
        <f>IF($B528="","",IFERROR(INDEX(ContaComp,MATCH($B528,ContaNome,0)),"Conta inválida"))</f>
        <v/>
      </c>
    </row>
    <row r="529" spans="1:7">
      <c r="A529" s="21"/>
      <c r="B529" s="15"/>
      <c r="C529" s="15"/>
      <c r="D529" s="17"/>
      <c r="E529" s="22">
        <f>IF($A529="","",YEAR($A529))</f>
        <v/>
      </c>
      <c r="F529" s="22">
        <f>IF($A529="","",MONTH($A529))</f>
        <v/>
      </c>
      <c r="G529" s="22">
        <f>IF($B529="","",IFERROR(INDEX(ContaComp,MATCH($B529,ContaNome,0)),"Conta inválida"))</f>
        <v/>
      </c>
    </row>
    <row r="530" spans="1:7">
      <c r="A530" s="21"/>
      <c r="B530" s="15"/>
      <c r="C530" s="15"/>
      <c r="D530" s="17"/>
      <c r="E530" s="22">
        <f>IF($A530="","",YEAR($A530))</f>
        <v/>
      </c>
      <c r="F530" s="22">
        <f>IF($A530="","",MONTH($A530))</f>
        <v/>
      </c>
      <c r="G530" s="22">
        <f>IF($B530="","",IFERROR(INDEX(ContaComp,MATCH($B530,ContaNome,0)),"Conta inválida"))</f>
        <v/>
      </c>
    </row>
    <row r="531" spans="1:7">
      <c r="A531" s="21"/>
      <c r="B531" s="15"/>
      <c r="C531" s="15"/>
      <c r="D531" s="17"/>
      <c r="E531" s="22">
        <f>IF($A531="","",YEAR($A531))</f>
        <v/>
      </c>
      <c r="F531" s="22">
        <f>IF($A531="","",MONTH($A531))</f>
        <v/>
      </c>
      <c r="G531" s="22">
        <f>IF($B531="","",IFERROR(INDEX(ContaComp,MATCH($B531,ContaNome,0)),"Conta inválida"))</f>
        <v/>
      </c>
    </row>
    <row r="532" spans="1:7">
      <c r="A532" s="21"/>
      <c r="B532" s="15"/>
      <c r="C532" s="15"/>
      <c r="D532" s="17"/>
      <c r="E532" s="22">
        <f>IF($A532="","",YEAR($A532))</f>
        <v/>
      </c>
      <c r="F532" s="22">
        <f>IF($A532="","",MONTH($A532))</f>
        <v/>
      </c>
      <c r="G532" s="22">
        <f>IF($B532="","",IFERROR(INDEX(ContaComp,MATCH($B532,ContaNome,0)),"Conta inválida"))</f>
        <v/>
      </c>
    </row>
    <row r="533" spans="1:7">
      <c r="A533" s="21"/>
      <c r="B533" s="15"/>
      <c r="C533" s="15"/>
      <c r="D533" s="17"/>
      <c r="E533" s="22">
        <f>IF($A533="","",YEAR($A533))</f>
        <v/>
      </c>
      <c r="F533" s="22">
        <f>IF($A533="","",MONTH($A533))</f>
        <v/>
      </c>
      <c r="G533" s="22">
        <f>IF($B533="","",IFERROR(INDEX(ContaComp,MATCH($B533,ContaNome,0)),"Conta inválida"))</f>
        <v/>
      </c>
    </row>
    <row r="534" spans="1:7">
      <c r="A534" s="21"/>
      <c r="B534" s="15"/>
      <c r="C534" s="15"/>
      <c r="D534" s="17"/>
      <c r="E534" s="22">
        <f>IF($A534="","",YEAR($A534))</f>
        <v/>
      </c>
      <c r="F534" s="22">
        <f>IF($A534="","",MONTH($A534))</f>
        <v/>
      </c>
      <c r="G534" s="22">
        <f>IF($B534="","",IFERROR(INDEX(ContaComp,MATCH($B534,ContaNome,0)),"Conta inválida"))</f>
        <v/>
      </c>
    </row>
    <row r="535" spans="1:7">
      <c r="A535" s="21"/>
      <c r="B535" s="15"/>
      <c r="C535" s="15"/>
      <c r="D535" s="17"/>
      <c r="E535" s="22">
        <f>IF($A535="","",YEAR($A535))</f>
        <v/>
      </c>
      <c r="F535" s="22">
        <f>IF($A535="","",MONTH($A535))</f>
        <v/>
      </c>
      <c r="G535" s="22">
        <f>IF($B535="","",IFERROR(INDEX(ContaComp,MATCH($B535,ContaNome,0)),"Conta inválida"))</f>
        <v/>
      </c>
    </row>
    <row r="536" spans="1:7">
      <c r="A536" s="21"/>
      <c r="B536" s="15"/>
      <c r="C536" s="15"/>
      <c r="D536" s="17"/>
      <c r="E536" s="22">
        <f>IF($A536="","",YEAR($A536))</f>
        <v/>
      </c>
      <c r="F536" s="22">
        <f>IF($A536="","",MONTH($A536))</f>
        <v/>
      </c>
      <c r="G536" s="22">
        <f>IF($B536="","",IFERROR(INDEX(ContaComp,MATCH($B536,ContaNome,0)),"Conta inválida"))</f>
        <v/>
      </c>
    </row>
    <row r="537" spans="1:7">
      <c r="A537" s="21"/>
      <c r="B537" s="15"/>
      <c r="C537" s="15"/>
      <c r="D537" s="17"/>
      <c r="E537" s="22">
        <f>IF($A537="","",YEAR($A537))</f>
        <v/>
      </c>
      <c r="F537" s="22">
        <f>IF($A537="","",MONTH($A537))</f>
        <v/>
      </c>
      <c r="G537" s="22">
        <f>IF($B537="","",IFERROR(INDEX(ContaComp,MATCH($B537,ContaNome,0)),"Conta inválida"))</f>
        <v/>
      </c>
    </row>
    <row r="538" spans="1:7">
      <c r="A538" s="21"/>
      <c r="B538" s="15"/>
      <c r="C538" s="15"/>
      <c r="D538" s="17"/>
      <c r="E538" s="22">
        <f>IF($A538="","",YEAR($A538))</f>
        <v/>
      </c>
      <c r="F538" s="22">
        <f>IF($A538="","",MONTH($A538))</f>
        <v/>
      </c>
      <c r="G538" s="22">
        <f>IF($B538="","",IFERROR(INDEX(ContaComp,MATCH($B538,ContaNome,0)),"Conta inválida"))</f>
        <v/>
      </c>
    </row>
    <row r="539" spans="1:7">
      <c r="A539" s="21"/>
      <c r="B539" s="15"/>
      <c r="C539" s="15"/>
      <c r="D539" s="17"/>
      <c r="E539" s="22">
        <f>IF($A539="","",YEAR($A539))</f>
        <v/>
      </c>
      <c r="F539" s="22">
        <f>IF($A539="","",MONTH($A539))</f>
        <v/>
      </c>
      <c r="G539" s="22">
        <f>IF($B539="","",IFERROR(INDEX(ContaComp,MATCH($B539,ContaNome,0)),"Conta inválida"))</f>
        <v/>
      </c>
    </row>
    <row r="540" spans="1:7">
      <c r="A540" s="21"/>
      <c r="B540" s="15"/>
      <c r="C540" s="15"/>
      <c r="D540" s="17"/>
      <c r="E540" s="22">
        <f>IF($A540="","",YEAR($A540))</f>
        <v/>
      </c>
      <c r="F540" s="22">
        <f>IF($A540="","",MONTH($A540))</f>
        <v/>
      </c>
      <c r="G540" s="22">
        <f>IF($B540="","",IFERROR(INDEX(ContaComp,MATCH($B540,ContaNome,0)),"Conta inválida"))</f>
        <v/>
      </c>
    </row>
    <row r="541" spans="1:7">
      <c r="A541" s="21"/>
      <c r="B541" s="15"/>
      <c r="C541" s="15"/>
      <c r="D541" s="17"/>
      <c r="E541" s="22">
        <f>IF($A541="","",YEAR($A541))</f>
        <v/>
      </c>
      <c r="F541" s="22">
        <f>IF($A541="","",MONTH($A541))</f>
        <v/>
      </c>
      <c r="G541" s="22">
        <f>IF($B541="","",IFERROR(INDEX(ContaComp,MATCH($B541,ContaNome,0)),"Conta inválida"))</f>
        <v/>
      </c>
    </row>
    <row r="542" spans="1:7">
      <c r="A542" s="21"/>
      <c r="B542" s="15"/>
      <c r="C542" s="15"/>
      <c r="D542" s="17"/>
      <c r="E542" s="22">
        <f>IF($A542="","",YEAR($A542))</f>
        <v/>
      </c>
      <c r="F542" s="22">
        <f>IF($A542="","",MONTH($A542))</f>
        <v/>
      </c>
      <c r="G542" s="22">
        <f>IF($B542="","",IFERROR(INDEX(ContaComp,MATCH($B542,ContaNome,0)),"Conta inválida"))</f>
        <v/>
      </c>
    </row>
    <row r="543" spans="1:7">
      <c r="A543" s="21"/>
      <c r="B543" s="15"/>
      <c r="C543" s="15"/>
      <c r="D543" s="17"/>
      <c r="E543" s="22">
        <f>IF($A543="","",YEAR($A543))</f>
        <v/>
      </c>
      <c r="F543" s="22">
        <f>IF($A543="","",MONTH($A543))</f>
        <v/>
      </c>
      <c r="G543" s="22">
        <f>IF($B543="","",IFERROR(INDEX(ContaComp,MATCH($B543,ContaNome,0)),"Conta inválida"))</f>
        <v/>
      </c>
    </row>
    <row r="544" spans="1:7">
      <c r="A544" s="21"/>
      <c r="B544" s="15"/>
      <c r="C544" s="15"/>
      <c r="D544" s="17"/>
      <c r="E544" s="22">
        <f>IF($A544="","",YEAR($A544))</f>
        <v/>
      </c>
      <c r="F544" s="22">
        <f>IF($A544="","",MONTH($A544))</f>
        <v/>
      </c>
      <c r="G544" s="22">
        <f>IF($B544="","",IFERROR(INDEX(ContaComp,MATCH($B544,ContaNome,0)),"Conta inválida"))</f>
        <v/>
      </c>
    </row>
    <row r="545" spans="1:7">
      <c r="A545" s="21"/>
      <c r="B545" s="15"/>
      <c r="C545" s="15"/>
      <c r="D545" s="17"/>
      <c r="E545" s="22">
        <f>IF($A545="","",YEAR($A545))</f>
        <v/>
      </c>
      <c r="F545" s="22">
        <f>IF($A545="","",MONTH($A545))</f>
        <v/>
      </c>
      <c r="G545" s="22">
        <f>IF($B545="","",IFERROR(INDEX(ContaComp,MATCH($B545,ContaNome,0)),"Conta inválida"))</f>
        <v/>
      </c>
    </row>
    <row r="546" spans="1:7">
      <c r="A546" s="21"/>
      <c r="B546" s="15"/>
      <c r="C546" s="15"/>
      <c r="D546" s="17"/>
      <c r="E546" s="22">
        <f>IF($A546="","",YEAR($A546))</f>
        <v/>
      </c>
      <c r="F546" s="22">
        <f>IF($A546="","",MONTH($A546))</f>
        <v/>
      </c>
      <c r="G546" s="22">
        <f>IF($B546="","",IFERROR(INDEX(ContaComp,MATCH($B546,ContaNome,0)),"Conta inválida"))</f>
        <v/>
      </c>
    </row>
    <row r="547" spans="1:7">
      <c r="A547" s="21"/>
      <c r="B547" s="15"/>
      <c r="C547" s="15"/>
      <c r="D547" s="17"/>
      <c r="E547" s="22">
        <f>IF($A547="","",YEAR($A547))</f>
        <v/>
      </c>
      <c r="F547" s="22">
        <f>IF($A547="","",MONTH($A547))</f>
        <v/>
      </c>
      <c r="G547" s="22">
        <f>IF($B547="","",IFERROR(INDEX(ContaComp,MATCH($B547,ContaNome,0)),"Conta inválida"))</f>
        <v/>
      </c>
    </row>
    <row r="548" spans="1:7">
      <c r="A548" s="21"/>
      <c r="B548" s="15"/>
      <c r="C548" s="15"/>
      <c r="D548" s="17"/>
      <c r="E548" s="22">
        <f>IF($A548="","",YEAR($A548))</f>
        <v/>
      </c>
      <c r="F548" s="22">
        <f>IF($A548="","",MONTH($A548))</f>
        <v/>
      </c>
      <c r="G548" s="22">
        <f>IF($B548="","",IFERROR(INDEX(ContaComp,MATCH($B548,ContaNome,0)),"Conta inválida"))</f>
        <v/>
      </c>
    </row>
    <row r="549" spans="1:7">
      <c r="A549" s="21"/>
      <c r="B549" s="15"/>
      <c r="C549" s="15"/>
      <c r="D549" s="17"/>
      <c r="E549" s="22">
        <f>IF($A549="","",YEAR($A549))</f>
        <v/>
      </c>
      <c r="F549" s="22">
        <f>IF($A549="","",MONTH($A549))</f>
        <v/>
      </c>
      <c r="G549" s="22">
        <f>IF($B549="","",IFERROR(INDEX(ContaComp,MATCH($B549,ContaNome,0)),"Conta inválida"))</f>
        <v/>
      </c>
    </row>
    <row r="550" spans="1:7">
      <c r="A550" s="21"/>
      <c r="B550" s="15"/>
      <c r="C550" s="15"/>
      <c r="D550" s="17"/>
      <c r="E550" s="22">
        <f>IF($A550="","",YEAR($A550))</f>
        <v/>
      </c>
      <c r="F550" s="22">
        <f>IF($A550="","",MONTH($A550))</f>
        <v/>
      </c>
      <c r="G550" s="22">
        <f>IF($B550="","",IFERROR(INDEX(ContaComp,MATCH($B550,ContaNome,0)),"Conta inválida"))</f>
        <v/>
      </c>
    </row>
    <row r="551" spans="1:7">
      <c r="A551" s="21"/>
      <c r="B551" s="15"/>
      <c r="C551" s="15"/>
      <c r="D551" s="17"/>
      <c r="E551" s="22">
        <f>IF($A551="","",YEAR($A551))</f>
        <v/>
      </c>
      <c r="F551" s="22">
        <f>IF($A551="","",MONTH($A551))</f>
        <v/>
      </c>
      <c r="G551" s="22">
        <f>IF($B551="","",IFERROR(INDEX(ContaComp,MATCH($B551,ContaNome,0)),"Conta inválida"))</f>
        <v/>
      </c>
    </row>
    <row r="552" spans="1:7">
      <c r="A552" s="21"/>
      <c r="B552" s="15"/>
      <c r="C552" s="15"/>
      <c r="D552" s="17"/>
      <c r="E552" s="22">
        <f>IF($A552="","",YEAR($A552))</f>
        <v/>
      </c>
      <c r="F552" s="22">
        <f>IF($A552="","",MONTH($A552))</f>
        <v/>
      </c>
      <c r="G552" s="22">
        <f>IF($B552="","",IFERROR(INDEX(ContaComp,MATCH($B552,ContaNome,0)),"Conta inválida"))</f>
        <v/>
      </c>
    </row>
    <row r="553" spans="1:7">
      <c r="A553" s="21"/>
      <c r="B553" s="15"/>
      <c r="C553" s="15"/>
      <c r="D553" s="17"/>
      <c r="E553" s="22">
        <f>IF($A553="","",YEAR($A553))</f>
        <v/>
      </c>
      <c r="F553" s="22">
        <f>IF($A553="","",MONTH($A553))</f>
        <v/>
      </c>
      <c r="G553" s="22">
        <f>IF($B553="","",IFERROR(INDEX(ContaComp,MATCH($B553,ContaNome,0)),"Conta inválida"))</f>
        <v/>
      </c>
    </row>
    <row r="554" spans="1:7">
      <c r="A554" s="21"/>
      <c r="B554" s="15"/>
      <c r="C554" s="15"/>
      <c r="D554" s="17"/>
      <c r="E554" s="22">
        <f>IF($A554="","",YEAR($A554))</f>
        <v/>
      </c>
      <c r="F554" s="22">
        <f>IF($A554="","",MONTH($A554))</f>
        <v/>
      </c>
      <c r="G554" s="22">
        <f>IF($B554="","",IFERROR(INDEX(ContaComp,MATCH($B554,ContaNome,0)),"Conta inválida"))</f>
        <v/>
      </c>
    </row>
    <row r="555" spans="1:7">
      <c r="A555" s="21"/>
      <c r="B555" s="15"/>
      <c r="C555" s="15"/>
      <c r="D555" s="17"/>
      <c r="E555" s="22">
        <f>IF($A555="","",YEAR($A555))</f>
        <v/>
      </c>
      <c r="F555" s="22">
        <f>IF($A555="","",MONTH($A555))</f>
        <v/>
      </c>
      <c r="G555" s="22">
        <f>IF($B555="","",IFERROR(INDEX(ContaComp,MATCH($B555,ContaNome,0)),"Conta inválida"))</f>
        <v/>
      </c>
    </row>
    <row r="556" spans="1:7">
      <c r="A556" s="21"/>
      <c r="B556" s="15"/>
      <c r="C556" s="15"/>
      <c r="D556" s="17"/>
      <c r="E556" s="22">
        <f>IF($A556="","",YEAR($A556))</f>
        <v/>
      </c>
      <c r="F556" s="22">
        <f>IF($A556="","",MONTH($A556))</f>
        <v/>
      </c>
      <c r="G556" s="22">
        <f>IF($B556="","",IFERROR(INDEX(ContaComp,MATCH($B556,ContaNome,0)),"Conta inválida"))</f>
        <v/>
      </c>
    </row>
    <row r="557" spans="1:7">
      <c r="A557" s="21"/>
      <c r="B557" s="15"/>
      <c r="C557" s="15"/>
      <c r="D557" s="17"/>
      <c r="E557" s="22">
        <f>IF($A557="","",YEAR($A557))</f>
        <v/>
      </c>
      <c r="F557" s="22">
        <f>IF($A557="","",MONTH($A557))</f>
        <v/>
      </c>
      <c r="G557" s="22">
        <f>IF($B557="","",IFERROR(INDEX(ContaComp,MATCH($B557,ContaNome,0)),"Conta inválida"))</f>
        <v/>
      </c>
    </row>
    <row r="558" spans="1:7">
      <c r="A558" s="21"/>
      <c r="B558" s="15"/>
      <c r="C558" s="15"/>
      <c r="D558" s="17"/>
      <c r="E558" s="22">
        <f>IF($A558="","",YEAR($A558))</f>
        <v/>
      </c>
      <c r="F558" s="22">
        <f>IF($A558="","",MONTH($A558))</f>
        <v/>
      </c>
      <c r="G558" s="22">
        <f>IF($B558="","",IFERROR(INDEX(ContaComp,MATCH($B558,ContaNome,0)),"Conta inválida"))</f>
        <v/>
      </c>
    </row>
    <row r="559" spans="1:7">
      <c r="A559" s="21"/>
      <c r="B559" s="15"/>
      <c r="C559" s="15"/>
      <c r="D559" s="17"/>
      <c r="E559" s="22">
        <f>IF($A559="","",YEAR($A559))</f>
        <v/>
      </c>
      <c r="F559" s="22">
        <f>IF($A559="","",MONTH($A559))</f>
        <v/>
      </c>
      <c r="G559" s="22">
        <f>IF($B559="","",IFERROR(INDEX(ContaComp,MATCH($B559,ContaNome,0)),"Conta inválida"))</f>
        <v/>
      </c>
    </row>
    <row r="560" spans="1:7">
      <c r="A560" s="21"/>
      <c r="B560" s="15"/>
      <c r="C560" s="15"/>
      <c r="D560" s="17"/>
      <c r="E560" s="22">
        <f>IF($A560="","",YEAR($A560))</f>
        <v/>
      </c>
      <c r="F560" s="22">
        <f>IF($A560="","",MONTH($A560))</f>
        <v/>
      </c>
      <c r="G560" s="22">
        <f>IF($B560="","",IFERROR(INDEX(ContaComp,MATCH($B560,ContaNome,0)),"Conta inválida"))</f>
        <v/>
      </c>
    </row>
    <row r="561" spans="1:7">
      <c r="A561" s="21"/>
      <c r="B561" s="15"/>
      <c r="C561" s="15"/>
      <c r="D561" s="17"/>
      <c r="E561" s="22">
        <f>IF($A561="","",YEAR($A561))</f>
        <v/>
      </c>
      <c r="F561" s="22">
        <f>IF($A561="","",MONTH($A561))</f>
        <v/>
      </c>
      <c r="G561" s="22">
        <f>IF($B561="","",IFERROR(INDEX(ContaComp,MATCH($B561,ContaNome,0)),"Conta inválida"))</f>
        <v/>
      </c>
    </row>
    <row r="562" spans="1:7">
      <c r="A562" s="21"/>
      <c r="B562" s="15"/>
      <c r="C562" s="15"/>
      <c r="D562" s="17"/>
      <c r="E562" s="22">
        <f>IF($A562="","",YEAR($A562))</f>
        <v/>
      </c>
      <c r="F562" s="22">
        <f>IF($A562="","",MONTH($A562))</f>
        <v/>
      </c>
      <c r="G562" s="22">
        <f>IF($B562="","",IFERROR(INDEX(ContaComp,MATCH($B562,ContaNome,0)),"Conta inválida"))</f>
        <v/>
      </c>
    </row>
    <row r="563" spans="1:7">
      <c r="A563" s="21"/>
      <c r="B563" s="15"/>
      <c r="C563" s="15"/>
      <c r="D563" s="17"/>
      <c r="E563" s="22">
        <f>IF($A563="","",YEAR($A563))</f>
        <v/>
      </c>
      <c r="F563" s="22">
        <f>IF($A563="","",MONTH($A563))</f>
        <v/>
      </c>
      <c r="G563" s="22">
        <f>IF($B563="","",IFERROR(INDEX(ContaComp,MATCH($B563,ContaNome,0)),"Conta inválida"))</f>
        <v/>
      </c>
    </row>
    <row r="564" spans="1:7">
      <c r="A564" s="21"/>
      <c r="B564" s="15"/>
      <c r="C564" s="15"/>
      <c r="D564" s="17"/>
      <c r="E564" s="22">
        <f>IF($A564="","",YEAR($A564))</f>
        <v/>
      </c>
      <c r="F564" s="22">
        <f>IF($A564="","",MONTH($A564))</f>
        <v/>
      </c>
      <c r="G564" s="22">
        <f>IF($B564="","",IFERROR(INDEX(ContaComp,MATCH($B564,ContaNome,0)),"Conta inválida"))</f>
        <v/>
      </c>
    </row>
    <row r="565" spans="1:7">
      <c r="A565" s="21"/>
      <c r="B565" s="15"/>
      <c r="C565" s="15"/>
      <c r="D565" s="17"/>
      <c r="E565" s="22">
        <f>IF($A565="","",YEAR($A565))</f>
        <v/>
      </c>
      <c r="F565" s="22">
        <f>IF($A565="","",MONTH($A565))</f>
        <v/>
      </c>
      <c r="G565" s="22">
        <f>IF($B565="","",IFERROR(INDEX(ContaComp,MATCH($B565,ContaNome,0)),"Conta inválida"))</f>
        <v/>
      </c>
    </row>
    <row r="566" spans="1:7">
      <c r="A566" s="21"/>
      <c r="B566" s="15"/>
      <c r="C566" s="15"/>
      <c r="D566" s="17"/>
      <c r="E566" s="22">
        <f>IF($A566="","",YEAR($A566))</f>
        <v/>
      </c>
      <c r="F566" s="22">
        <f>IF($A566="","",MONTH($A566))</f>
        <v/>
      </c>
      <c r="G566" s="22">
        <f>IF($B566="","",IFERROR(INDEX(ContaComp,MATCH($B566,ContaNome,0)),"Conta inválida"))</f>
        <v/>
      </c>
    </row>
    <row r="567" spans="1:7">
      <c r="A567" s="21"/>
      <c r="B567" s="15"/>
      <c r="C567" s="15"/>
      <c r="D567" s="17"/>
      <c r="E567" s="22">
        <f>IF($A567="","",YEAR($A567))</f>
        <v/>
      </c>
      <c r="F567" s="22">
        <f>IF($A567="","",MONTH($A567))</f>
        <v/>
      </c>
      <c r="G567" s="22">
        <f>IF($B567="","",IFERROR(INDEX(ContaComp,MATCH($B567,ContaNome,0)),"Conta inválida"))</f>
        <v/>
      </c>
    </row>
    <row r="568" spans="1:7">
      <c r="A568" s="21"/>
      <c r="B568" s="15"/>
      <c r="C568" s="15"/>
      <c r="D568" s="17"/>
      <c r="E568" s="22">
        <f>IF($A568="","",YEAR($A568))</f>
        <v/>
      </c>
      <c r="F568" s="22">
        <f>IF($A568="","",MONTH($A568))</f>
        <v/>
      </c>
      <c r="G568" s="22">
        <f>IF($B568="","",IFERROR(INDEX(ContaComp,MATCH($B568,ContaNome,0)),"Conta inválida"))</f>
        <v/>
      </c>
    </row>
    <row r="569" spans="1:7">
      <c r="A569" s="21"/>
      <c r="B569" s="15"/>
      <c r="C569" s="15"/>
      <c r="D569" s="17"/>
      <c r="E569" s="22">
        <f>IF($A569="","",YEAR($A569))</f>
        <v/>
      </c>
      <c r="F569" s="22">
        <f>IF($A569="","",MONTH($A569))</f>
        <v/>
      </c>
      <c r="G569" s="22">
        <f>IF($B569="","",IFERROR(INDEX(ContaComp,MATCH($B569,ContaNome,0)),"Conta inválida"))</f>
        <v/>
      </c>
    </row>
    <row r="570" spans="1:7">
      <c r="A570" s="21"/>
      <c r="B570" s="15"/>
      <c r="C570" s="15"/>
      <c r="D570" s="17"/>
      <c r="E570" s="22">
        <f>IF($A570="","",YEAR($A570))</f>
        <v/>
      </c>
      <c r="F570" s="22">
        <f>IF($A570="","",MONTH($A570))</f>
        <v/>
      </c>
      <c r="G570" s="22">
        <f>IF($B570="","",IFERROR(INDEX(ContaComp,MATCH($B570,ContaNome,0)),"Conta inválida"))</f>
        <v/>
      </c>
    </row>
    <row r="571" spans="1:7">
      <c r="A571" s="21"/>
      <c r="B571" s="15"/>
      <c r="C571" s="15"/>
      <c r="D571" s="17"/>
      <c r="E571" s="22">
        <f>IF($A571="","",YEAR($A571))</f>
        <v/>
      </c>
      <c r="F571" s="22">
        <f>IF($A571="","",MONTH($A571))</f>
        <v/>
      </c>
      <c r="G571" s="22">
        <f>IF($B571="","",IFERROR(INDEX(ContaComp,MATCH($B571,ContaNome,0)),"Conta inválida"))</f>
        <v/>
      </c>
    </row>
    <row r="572" spans="1:7">
      <c r="A572" s="21"/>
      <c r="B572" s="15"/>
      <c r="C572" s="15"/>
      <c r="D572" s="17"/>
      <c r="E572" s="22">
        <f>IF($A572="","",YEAR($A572))</f>
        <v/>
      </c>
      <c r="F572" s="22">
        <f>IF($A572="","",MONTH($A572))</f>
        <v/>
      </c>
      <c r="G572" s="22">
        <f>IF($B572="","",IFERROR(INDEX(ContaComp,MATCH($B572,ContaNome,0)),"Conta inválida"))</f>
        <v/>
      </c>
    </row>
    <row r="573" spans="1:7">
      <c r="A573" s="21"/>
      <c r="B573" s="15"/>
      <c r="C573" s="15"/>
      <c r="D573" s="17"/>
      <c r="E573" s="22">
        <f>IF($A573="","",YEAR($A573))</f>
        <v/>
      </c>
      <c r="F573" s="22">
        <f>IF($A573="","",MONTH($A573))</f>
        <v/>
      </c>
      <c r="G573" s="22">
        <f>IF($B573="","",IFERROR(INDEX(ContaComp,MATCH($B573,ContaNome,0)),"Conta inválida"))</f>
        <v/>
      </c>
    </row>
    <row r="574" spans="1:7">
      <c r="A574" s="21"/>
      <c r="B574" s="15"/>
      <c r="C574" s="15"/>
      <c r="D574" s="17"/>
      <c r="E574" s="22">
        <f>IF($A574="","",YEAR($A574))</f>
        <v/>
      </c>
      <c r="F574" s="22">
        <f>IF($A574="","",MONTH($A574))</f>
        <v/>
      </c>
      <c r="G574" s="22">
        <f>IF($B574="","",IFERROR(INDEX(ContaComp,MATCH($B574,ContaNome,0)),"Conta inválida"))</f>
        <v/>
      </c>
    </row>
    <row r="575" spans="1:7">
      <c r="A575" s="21"/>
      <c r="B575" s="15"/>
      <c r="C575" s="15"/>
      <c r="D575" s="17"/>
      <c r="E575" s="22">
        <f>IF($A575="","",YEAR($A575))</f>
        <v/>
      </c>
      <c r="F575" s="22">
        <f>IF($A575="","",MONTH($A575))</f>
        <v/>
      </c>
      <c r="G575" s="22">
        <f>IF($B575="","",IFERROR(INDEX(ContaComp,MATCH($B575,ContaNome,0)),"Conta inválida"))</f>
        <v/>
      </c>
    </row>
    <row r="576" spans="1:7">
      <c r="A576" s="21"/>
      <c r="B576" s="15"/>
      <c r="C576" s="15"/>
      <c r="D576" s="17"/>
      <c r="E576" s="22">
        <f>IF($A576="","",YEAR($A576))</f>
        <v/>
      </c>
      <c r="F576" s="22">
        <f>IF($A576="","",MONTH($A576))</f>
        <v/>
      </c>
      <c r="G576" s="22">
        <f>IF($B576="","",IFERROR(INDEX(ContaComp,MATCH($B576,ContaNome,0)),"Conta inválida"))</f>
        <v/>
      </c>
    </row>
    <row r="577" spans="1:7">
      <c r="A577" s="21"/>
      <c r="B577" s="15"/>
      <c r="C577" s="15"/>
      <c r="D577" s="17"/>
      <c r="E577" s="22">
        <f>IF($A577="","",YEAR($A577))</f>
        <v/>
      </c>
      <c r="F577" s="22">
        <f>IF($A577="","",MONTH($A577))</f>
        <v/>
      </c>
      <c r="G577" s="22">
        <f>IF($B577="","",IFERROR(INDEX(ContaComp,MATCH($B577,ContaNome,0)),"Conta inválida"))</f>
        <v/>
      </c>
    </row>
    <row r="578" spans="1:7">
      <c r="A578" s="21"/>
      <c r="B578" s="15"/>
      <c r="C578" s="15"/>
      <c r="D578" s="17"/>
      <c r="E578" s="22">
        <f>IF($A578="","",YEAR($A578))</f>
        <v/>
      </c>
      <c r="F578" s="22">
        <f>IF($A578="","",MONTH($A578))</f>
        <v/>
      </c>
      <c r="G578" s="22">
        <f>IF($B578="","",IFERROR(INDEX(ContaComp,MATCH($B578,ContaNome,0)),"Conta inválida"))</f>
        <v/>
      </c>
    </row>
    <row r="579" spans="1:7">
      <c r="A579" s="21"/>
      <c r="B579" s="15"/>
      <c r="C579" s="15"/>
      <c r="D579" s="17"/>
      <c r="E579" s="22">
        <f>IF($A579="","",YEAR($A579))</f>
        <v/>
      </c>
      <c r="F579" s="22">
        <f>IF($A579="","",MONTH($A579))</f>
        <v/>
      </c>
      <c r="G579" s="22">
        <f>IF($B579="","",IFERROR(INDEX(ContaComp,MATCH($B579,ContaNome,0)),"Conta inválida"))</f>
        <v/>
      </c>
    </row>
    <row r="580" spans="1:7">
      <c r="A580" s="21"/>
      <c r="B580" s="15"/>
      <c r="C580" s="15"/>
      <c r="D580" s="17"/>
      <c r="E580" s="22">
        <f>IF($A580="","",YEAR($A580))</f>
        <v/>
      </c>
      <c r="F580" s="22">
        <f>IF($A580="","",MONTH($A580))</f>
        <v/>
      </c>
      <c r="G580" s="22">
        <f>IF($B580="","",IFERROR(INDEX(ContaComp,MATCH($B580,ContaNome,0)),"Conta inválida"))</f>
        <v/>
      </c>
    </row>
    <row r="581" spans="1:7">
      <c r="A581" s="21"/>
      <c r="B581" s="15"/>
      <c r="C581" s="15"/>
      <c r="D581" s="17"/>
      <c r="E581" s="22">
        <f>IF($A581="","",YEAR($A581))</f>
        <v/>
      </c>
      <c r="F581" s="22">
        <f>IF($A581="","",MONTH($A581))</f>
        <v/>
      </c>
      <c r="G581" s="22">
        <f>IF($B581="","",IFERROR(INDEX(ContaComp,MATCH($B581,ContaNome,0)),"Conta inválida"))</f>
        <v/>
      </c>
    </row>
    <row r="582" spans="1:7">
      <c r="A582" s="21"/>
      <c r="B582" s="15"/>
      <c r="C582" s="15"/>
      <c r="D582" s="17"/>
      <c r="E582" s="22">
        <f>IF($A582="","",YEAR($A582))</f>
        <v/>
      </c>
      <c r="F582" s="22">
        <f>IF($A582="","",MONTH($A582))</f>
        <v/>
      </c>
      <c r="G582" s="22">
        <f>IF($B582="","",IFERROR(INDEX(ContaComp,MATCH($B582,ContaNome,0)),"Conta inválida"))</f>
        <v/>
      </c>
    </row>
    <row r="583" spans="1:7">
      <c r="A583" s="21"/>
      <c r="B583" s="15"/>
      <c r="C583" s="15"/>
      <c r="D583" s="17"/>
      <c r="E583" s="22">
        <f>IF($A583="","",YEAR($A583))</f>
        <v/>
      </c>
      <c r="F583" s="22">
        <f>IF($A583="","",MONTH($A583))</f>
        <v/>
      </c>
      <c r="G583" s="22">
        <f>IF($B583="","",IFERROR(INDEX(ContaComp,MATCH($B583,ContaNome,0)),"Conta inválida"))</f>
        <v/>
      </c>
    </row>
    <row r="584" spans="1:7">
      <c r="A584" s="21"/>
      <c r="B584" s="15"/>
      <c r="C584" s="15"/>
      <c r="D584" s="17"/>
      <c r="E584" s="22">
        <f>IF($A584="","",YEAR($A584))</f>
        <v/>
      </c>
      <c r="F584" s="22">
        <f>IF($A584="","",MONTH($A584))</f>
        <v/>
      </c>
      <c r="G584" s="22">
        <f>IF($B584="","",IFERROR(INDEX(ContaComp,MATCH($B584,ContaNome,0)),"Conta inválida"))</f>
        <v/>
      </c>
    </row>
    <row r="585" spans="1:7">
      <c r="A585" s="21"/>
      <c r="B585" s="15"/>
      <c r="C585" s="15"/>
      <c r="D585" s="17"/>
      <c r="E585" s="22">
        <f>IF($A585="","",YEAR($A585))</f>
        <v/>
      </c>
      <c r="F585" s="22">
        <f>IF($A585="","",MONTH($A585))</f>
        <v/>
      </c>
      <c r="G585" s="22">
        <f>IF($B585="","",IFERROR(INDEX(ContaComp,MATCH($B585,ContaNome,0)),"Conta inválida"))</f>
        <v/>
      </c>
    </row>
    <row r="586" spans="1:7">
      <c r="A586" s="21"/>
      <c r="B586" s="15"/>
      <c r="C586" s="15"/>
      <c r="D586" s="17"/>
      <c r="E586" s="22">
        <f>IF($A586="","",YEAR($A586))</f>
        <v/>
      </c>
      <c r="F586" s="22">
        <f>IF($A586="","",MONTH($A586))</f>
        <v/>
      </c>
      <c r="G586" s="22">
        <f>IF($B586="","",IFERROR(INDEX(ContaComp,MATCH($B586,ContaNome,0)),"Conta inválida"))</f>
        <v/>
      </c>
    </row>
    <row r="587" spans="1:7">
      <c r="A587" s="21"/>
      <c r="B587" s="15"/>
      <c r="C587" s="15"/>
      <c r="D587" s="17"/>
      <c r="E587" s="22">
        <f>IF($A587="","",YEAR($A587))</f>
        <v/>
      </c>
      <c r="F587" s="22">
        <f>IF($A587="","",MONTH($A587))</f>
        <v/>
      </c>
      <c r="G587" s="22">
        <f>IF($B587="","",IFERROR(INDEX(ContaComp,MATCH($B587,ContaNome,0)),"Conta inválida"))</f>
        <v/>
      </c>
    </row>
    <row r="588" spans="1:7">
      <c r="A588" s="21"/>
      <c r="B588" s="15"/>
      <c r="C588" s="15"/>
      <c r="D588" s="17"/>
      <c r="E588" s="22">
        <f>IF($A588="","",YEAR($A588))</f>
        <v/>
      </c>
      <c r="F588" s="22">
        <f>IF($A588="","",MONTH($A588))</f>
        <v/>
      </c>
      <c r="G588" s="22">
        <f>IF($B588="","",IFERROR(INDEX(ContaComp,MATCH($B588,ContaNome,0)),"Conta inválida"))</f>
        <v/>
      </c>
    </row>
    <row r="589" spans="1:7">
      <c r="A589" s="21"/>
      <c r="B589" s="15"/>
      <c r="C589" s="15"/>
      <c r="D589" s="17"/>
      <c r="E589" s="22">
        <f>IF($A589="","",YEAR($A589))</f>
        <v/>
      </c>
      <c r="F589" s="22">
        <f>IF($A589="","",MONTH($A589))</f>
        <v/>
      </c>
      <c r="G589" s="22">
        <f>IF($B589="","",IFERROR(INDEX(ContaComp,MATCH($B589,ContaNome,0)),"Conta inválida"))</f>
        <v/>
      </c>
    </row>
    <row r="590" spans="1:7">
      <c r="A590" s="21"/>
      <c r="B590" s="15"/>
      <c r="C590" s="15"/>
      <c r="D590" s="17"/>
      <c r="E590" s="22">
        <f>IF($A590="","",YEAR($A590))</f>
        <v/>
      </c>
      <c r="F590" s="22">
        <f>IF($A590="","",MONTH($A590))</f>
        <v/>
      </c>
      <c r="G590" s="22">
        <f>IF($B590="","",IFERROR(INDEX(ContaComp,MATCH($B590,ContaNome,0)),"Conta inválida"))</f>
        <v/>
      </c>
    </row>
    <row r="591" spans="1:7">
      <c r="A591" s="21"/>
      <c r="B591" s="15"/>
      <c r="C591" s="15"/>
      <c r="D591" s="17"/>
      <c r="E591" s="22">
        <f>IF($A591="","",YEAR($A591))</f>
        <v/>
      </c>
      <c r="F591" s="22">
        <f>IF($A591="","",MONTH($A591))</f>
        <v/>
      </c>
      <c r="G591" s="22">
        <f>IF($B591="","",IFERROR(INDEX(ContaComp,MATCH($B591,ContaNome,0)),"Conta inválida"))</f>
        <v/>
      </c>
    </row>
    <row r="592" spans="1:7">
      <c r="A592" s="21"/>
      <c r="B592" s="15"/>
      <c r="C592" s="15"/>
      <c r="D592" s="17"/>
      <c r="E592" s="22">
        <f>IF($A592="","",YEAR($A592))</f>
        <v/>
      </c>
      <c r="F592" s="22">
        <f>IF($A592="","",MONTH($A592))</f>
        <v/>
      </c>
      <c r="G592" s="22">
        <f>IF($B592="","",IFERROR(INDEX(ContaComp,MATCH($B592,ContaNome,0)),"Conta inválida"))</f>
        <v/>
      </c>
    </row>
    <row r="593" spans="1:7">
      <c r="A593" s="21"/>
      <c r="B593" s="15"/>
      <c r="C593" s="15"/>
      <c r="D593" s="17"/>
      <c r="E593" s="22">
        <f>IF($A593="","",YEAR($A593))</f>
        <v/>
      </c>
      <c r="F593" s="22">
        <f>IF($A593="","",MONTH($A593))</f>
        <v/>
      </c>
      <c r="G593" s="22">
        <f>IF($B593="","",IFERROR(INDEX(ContaComp,MATCH($B593,ContaNome,0)),"Conta inválida"))</f>
        <v/>
      </c>
    </row>
    <row r="594" spans="1:7">
      <c r="A594" s="21"/>
      <c r="B594" s="15"/>
      <c r="C594" s="15"/>
      <c r="D594" s="17"/>
      <c r="E594" s="22">
        <f>IF($A594="","",YEAR($A594))</f>
        <v/>
      </c>
      <c r="F594" s="22">
        <f>IF($A594="","",MONTH($A594))</f>
        <v/>
      </c>
      <c r="G594" s="22">
        <f>IF($B594="","",IFERROR(INDEX(ContaComp,MATCH($B594,ContaNome,0)),"Conta inválida"))</f>
        <v/>
      </c>
    </row>
    <row r="595" spans="1:7">
      <c r="A595" s="21"/>
      <c r="B595" s="15"/>
      <c r="C595" s="15"/>
      <c r="D595" s="17"/>
      <c r="E595" s="22">
        <f>IF($A595="","",YEAR($A595))</f>
        <v/>
      </c>
      <c r="F595" s="22">
        <f>IF($A595="","",MONTH($A595))</f>
        <v/>
      </c>
      <c r="G595" s="22">
        <f>IF($B595="","",IFERROR(INDEX(ContaComp,MATCH($B595,ContaNome,0)),"Conta inválida"))</f>
        <v/>
      </c>
    </row>
    <row r="596" spans="1:7">
      <c r="A596" s="21"/>
      <c r="B596" s="15"/>
      <c r="C596" s="15"/>
      <c r="D596" s="17"/>
      <c r="E596" s="22">
        <f>IF($A596="","",YEAR($A596))</f>
        <v/>
      </c>
      <c r="F596" s="22">
        <f>IF($A596="","",MONTH($A596))</f>
        <v/>
      </c>
      <c r="G596" s="22">
        <f>IF($B596="","",IFERROR(INDEX(ContaComp,MATCH($B596,ContaNome,0)),"Conta inválida"))</f>
        <v/>
      </c>
    </row>
    <row r="597" spans="1:7">
      <c r="A597" s="21"/>
      <c r="B597" s="15"/>
      <c r="C597" s="15"/>
      <c r="D597" s="17"/>
      <c r="E597" s="22">
        <f>IF($A597="","",YEAR($A597))</f>
        <v/>
      </c>
      <c r="F597" s="22">
        <f>IF($A597="","",MONTH($A597))</f>
        <v/>
      </c>
      <c r="G597" s="22">
        <f>IF($B597="","",IFERROR(INDEX(ContaComp,MATCH($B597,ContaNome,0)),"Conta inválida"))</f>
        <v/>
      </c>
    </row>
    <row r="598" spans="1:7">
      <c r="A598" s="21"/>
      <c r="B598" s="15"/>
      <c r="C598" s="15"/>
      <c r="D598" s="17"/>
      <c r="E598" s="22">
        <f>IF($A598="","",YEAR($A598))</f>
        <v/>
      </c>
      <c r="F598" s="22">
        <f>IF($A598="","",MONTH($A598))</f>
        <v/>
      </c>
      <c r="G598" s="22">
        <f>IF($B598="","",IFERROR(INDEX(ContaComp,MATCH($B598,ContaNome,0)),"Conta inválida"))</f>
        <v/>
      </c>
    </row>
    <row r="599" spans="1:7">
      <c r="A599" s="21"/>
      <c r="B599" s="15"/>
      <c r="C599" s="15"/>
      <c r="D599" s="17"/>
      <c r="E599" s="22">
        <f>IF($A599="","",YEAR($A599))</f>
        <v/>
      </c>
      <c r="F599" s="22">
        <f>IF($A599="","",MONTH($A599))</f>
        <v/>
      </c>
      <c r="G599" s="22">
        <f>IF($B599="","",IFERROR(INDEX(ContaComp,MATCH($B599,ContaNome,0)),"Conta inválida"))</f>
        <v/>
      </c>
    </row>
    <row r="600" spans="1:7">
      <c r="A600" s="21"/>
      <c r="B600" s="15"/>
      <c r="C600" s="15"/>
      <c r="D600" s="17"/>
      <c r="E600" s="22">
        <f>IF($A600="","",YEAR($A600))</f>
        <v/>
      </c>
      <c r="F600" s="22">
        <f>IF($A600="","",MONTH($A600))</f>
        <v/>
      </c>
      <c r="G600" s="22">
        <f>IF($B600="","",IFERROR(INDEX(ContaComp,MATCH($B600,ContaNome,0)),"Conta inválida"))</f>
        <v/>
      </c>
    </row>
    <row r="601" spans="1:7">
      <c r="A601" s="21"/>
      <c r="B601" s="15"/>
      <c r="C601" s="15"/>
      <c r="D601" s="17"/>
      <c r="E601" s="22">
        <f>IF($A601="","",YEAR($A601))</f>
        <v/>
      </c>
      <c r="F601" s="22">
        <f>IF($A601="","",MONTH($A601))</f>
        <v/>
      </c>
      <c r="G601" s="22">
        <f>IF($B601="","",IFERROR(INDEX(ContaComp,MATCH($B601,ContaNome,0)),"Conta inválida"))</f>
        <v/>
      </c>
    </row>
    <row r="602" spans="1:7">
      <c r="A602" s="21"/>
      <c r="B602" s="15"/>
      <c r="C602" s="15"/>
      <c r="D602" s="17"/>
      <c r="E602" s="22">
        <f>IF($A602="","",YEAR($A602))</f>
        <v/>
      </c>
      <c r="F602" s="22">
        <f>IF($A602="","",MONTH($A602))</f>
        <v/>
      </c>
      <c r="G602" s="22">
        <f>IF($B602="","",IFERROR(INDEX(ContaComp,MATCH($B602,ContaNome,0)),"Conta inválida"))</f>
        <v/>
      </c>
    </row>
    <row r="603" spans="1:7">
      <c r="A603" s="21"/>
      <c r="B603" s="15"/>
      <c r="C603" s="15"/>
      <c r="D603" s="17"/>
      <c r="E603" s="22">
        <f>IF($A603="","",YEAR($A603))</f>
        <v/>
      </c>
      <c r="F603" s="22">
        <f>IF($A603="","",MONTH($A603))</f>
        <v/>
      </c>
      <c r="G603" s="22">
        <f>IF($B603="","",IFERROR(INDEX(ContaComp,MATCH($B603,ContaNome,0)),"Conta inválida"))</f>
        <v/>
      </c>
    </row>
    <row r="604" spans="1:7">
      <c r="A604" s="21"/>
      <c r="B604" s="15"/>
      <c r="C604" s="15"/>
      <c r="D604" s="17"/>
      <c r="E604" s="22">
        <f>IF($A604="","",YEAR($A604))</f>
        <v/>
      </c>
      <c r="F604" s="22">
        <f>IF($A604="","",MONTH($A604))</f>
        <v/>
      </c>
      <c r="G604" s="22">
        <f>IF($B604="","",IFERROR(INDEX(ContaComp,MATCH($B604,ContaNome,0)),"Conta inválida"))</f>
        <v/>
      </c>
    </row>
    <row r="605" spans="1:7">
      <c r="A605" s="21"/>
      <c r="B605" s="15"/>
      <c r="C605" s="15"/>
      <c r="D605" s="17"/>
      <c r="E605" s="22">
        <f>IF($A605="","",YEAR($A605))</f>
        <v/>
      </c>
      <c r="F605" s="22">
        <f>IF($A605="","",MONTH($A605))</f>
        <v/>
      </c>
      <c r="G605" s="22">
        <f>IF($B605="","",IFERROR(INDEX(ContaComp,MATCH($B605,ContaNome,0)),"Conta inválida"))</f>
        <v/>
      </c>
    </row>
    <row r="606" spans="1:7">
      <c r="A606" s="21"/>
      <c r="B606" s="15"/>
      <c r="C606" s="15"/>
      <c r="D606" s="17"/>
      <c r="E606" s="22">
        <f>IF($A606="","",YEAR($A606))</f>
        <v/>
      </c>
      <c r="F606" s="22">
        <f>IF($A606="","",MONTH($A606))</f>
        <v/>
      </c>
      <c r="G606" s="22">
        <f>IF($B606="","",IFERROR(INDEX(ContaComp,MATCH($B606,ContaNome,0)),"Conta inválida"))</f>
        <v/>
      </c>
    </row>
    <row r="607" spans="1:7">
      <c r="A607" s="21"/>
      <c r="B607" s="15"/>
      <c r="C607" s="15"/>
      <c r="D607" s="17"/>
      <c r="E607" s="22">
        <f>IF($A607="","",YEAR($A607))</f>
        <v/>
      </c>
      <c r="F607" s="22">
        <f>IF($A607="","",MONTH($A607))</f>
        <v/>
      </c>
      <c r="G607" s="22">
        <f>IF($B607="","",IFERROR(INDEX(ContaComp,MATCH($B607,ContaNome,0)),"Conta inválida"))</f>
        <v/>
      </c>
    </row>
    <row r="608" spans="1:7">
      <c r="A608" s="21"/>
      <c r="B608" s="15"/>
      <c r="C608" s="15"/>
      <c r="D608" s="17"/>
      <c r="E608" s="22">
        <f>IF($A608="","",YEAR($A608))</f>
        <v/>
      </c>
      <c r="F608" s="22">
        <f>IF($A608="","",MONTH($A608))</f>
        <v/>
      </c>
      <c r="G608" s="22">
        <f>IF($B608="","",IFERROR(INDEX(ContaComp,MATCH($B608,ContaNome,0)),"Conta inválida"))</f>
        <v/>
      </c>
    </row>
    <row r="609" spans="1:7">
      <c r="A609" s="21"/>
      <c r="B609" s="15"/>
      <c r="C609" s="15"/>
      <c r="D609" s="17"/>
      <c r="E609" s="22">
        <f>IF($A609="","",YEAR($A609))</f>
        <v/>
      </c>
      <c r="F609" s="22">
        <f>IF($A609="","",MONTH($A609))</f>
        <v/>
      </c>
      <c r="G609" s="22">
        <f>IF($B609="","",IFERROR(INDEX(ContaComp,MATCH($B609,ContaNome,0)),"Conta inválida"))</f>
        <v/>
      </c>
    </row>
    <row r="610" spans="1:7">
      <c r="A610" s="21"/>
      <c r="B610" s="15"/>
      <c r="C610" s="15"/>
      <c r="D610" s="17"/>
      <c r="E610" s="22">
        <f>IF($A610="","",YEAR($A610))</f>
        <v/>
      </c>
      <c r="F610" s="22">
        <f>IF($A610="","",MONTH($A610))</f>
        <v/>
      </c>
      <c r="G610" s="22">
        <f>IF($B610="","",IFERROR(INDEX(ContaComp,MATCH($B610,ContaNome,0)),"Conta inválida"))</f>
        <v/>
      </c>
    </row>
    <row r="611" spans="1:7">
      <c r="A611" s="21"/>
      <c r="B611" s="15"/>
      <c r="C611" s="15"/>
      <c r="D611" s="17"/>
      <c r="E611" s="22">
        <f>IF($A611="","",YEAR($A611))</f>
        <v/>
      </c>
      <c r="F611" s="22">
        <f>IF($A611="","",MONTH($A611))</f>
        <v/>
      </c>
      <c r="G611" s="22">
        <f>IF($B611="","",IFERROR(INDEX(ContaComp,MATCH($B611,ContaNome,0)),"Conta inválida"))</f>
        <v/>
      </c>
    </row>
    <row r="612" spans="1:7">
      <c r="A612" s="21"/>
      <c r="B612" s="15"/>
      <c r="C612" s="15"/>
      <c r="D612" s="17"/>
      <c r="E612" s="22">
        <f>IF($A612="","",YEAR($A612))</f>
        <v/>
      </c>
      <c r="F612" s="22">
        <f>IF($A612="","",MONTH($A612))</f>
        <v/>
      </c>
      <c r="G612" s="22">
        <f>IF($B612="","",IFERROR(INDEX(ContaComp,MATCH($B612,ContaNome,0)),"Conta inválida"))</f>
        <v/>
      </c>
    </row>
    <row r="613" spans="1:7">
      <c r="A613" s="21"/>
      <c r="B613" s="15"/>
      <c r="C613" s="15"/>
      <c r="D613" s="17"/>
      <c r="E613" s="22">
        <f>IF($A613="","",YEAR($A613))</f>
        <v/>
      </c>
      <c r="F613" s="22">
        <f>IF($A613="","",MONTH($A613))</f>
        <v/>
      </c>
      <c r="G613" s="22">
        <f>IF($B613="","",IFERROR(INDEX(ContaComp,MATCH($B613,ContaNome,0)),"Conta inválida"))</f>
        <v/>
      </c>
    </row>
    <row r="614" spans="1:7">
      <c r="A614" s="21"/>
      <c r="B614" s="15"/>
      <c r="C614" s="15"/>
      <c r="D614" s="17"/>
      <c r="E614" s="22">
        <f>IF($A614="","",YEAR($A614))</f>
        <v/>
      </c>
      <c r="F614" s="22">
        <f>IF($A614="","",MONTH($A614))</f>
        <v/>
      </c>
      <c r="G614" s="22">
        <f>IF($B614="","",IFERROR(INDEX(ContaComp,MATCH($B614,ContaNome,0)),"Conta inválida"))</f>
        <v/>
      </c>
    </row>
    <row r="615" spans="1:7">
      <c r="A615" s="21"/>
      <c r="B615" s="15"/>
      <c r="C615" s="15"/>
      <c r="D615" s="17"/>
      <c r="E615" s="22">
        <f>IF($A615="","",YEAR($A615))</f>
        <v/>
      </c>
      <c r="F615" s="22">
        <f>IF($A615="","",MONTH($A615))</f>
        <v/>
      </c>
      <c r="G615" s="22">
        <f>IF($B615="","",IFERROR(INDEX(ContaComp,MATCH($B615,ContaNome,0)),"Conta inválida"))</f>
        <v/>
      </c>
    </row>
    <row r="616" spans="1:7">
      <c r="A616" s="21"/>
      <c r="B616" s="15"/>
      <c r="C616" s="15"/>
      <c r="D616" s="17"/>
      <c r="E616" s="22">
        <f>IF($A616="","",YEAR($A616))</f>
        <v/>
      </c>
      <c r="F616" s="22">
        <f>IF($A616="","",MONTH($A616))</f>
        <v/>
      </c>
      <c r="G616" s="22">
        <f>IF($B616="","",IFERROR(INDEX(ContaComp,MATCH($B616,ContaNome,0)),"Conta inválida"))</f>
        <v/>
      </c>
    </row>
    <row r="617" spans="1:7">
      <c r="A617" s="21"/>
      <c r="B617" s="15"/>
      <c r="C617" s="15"/>
      <c r="D617" s="17"/>
      <c r="E617" s="22">
        <f>IF($A617="","",YEAR($A617))</f>
        <v/>
      </c>
      <c r="F617" s="22">
        <f>IF($A617="","",MONTH($A617))</f>
        <v/>
      </c>
      <c r="G617" s="22">
        <f>IF($B617="","",IFERROR(INDEX(ContaComp,MATCH($B617,ContaNome,0)),"Conta inválida"))</f>
        <v/>
      </c>
    </row>
    <row r="618" spans="1:7">
      <c r="A618" s="21"/>
      <c r="B618" s="15"/>
      <c r="C618" s="15"/>
      <c r="D618" s="17"/>
      <c r="E618" s="22">
        <f>IF($A618="","",YEAR($A618))</f>
        <v/>
      </c>
      <c r="F618" s="22">
        <f>IF($A618="","",MONTH($A618))</f>
        <v/>
      </c>
      <c r="G618" s="22">
        <f>IF($B618="","",IFERROR(INDEX(ContaComp,MATCH($B618,ContaNome,0)),"Conta inválida"))</f>
        <v/>
      </c>
    </row>
    <row r="619" spans="1:7">
      <c r="A619" s="21"/>
      <c r="B619" s="15"/>
      <c r="C619" s="15"/>
      <c r="D619" s="17"/>
      <c r="E619" s="22">
        <f>IF($A619="","",YEAR($A619))</f>
        <v/>
      </c>
      <c r="F619" s="22">
        <f>IF($A619="","",MONTH($A619))</f>
        <v/>
      </c>
      <c r="G619" s="22">
        <f>IF($B619="","",IFERROR(INDEX(ContaComp,MATCH($B619,ContaNome,0)),"Conta inválida"))</f>
        <v/>
      </c>
    </row>
    <row r="620" spans="1:7">
      <c r="A620" s="21"/>
      <c r="B620" s="15"/>
      <c r="C620" s="15"/>
      <c r="D620" s="17"/>
      <c r="E620" s="22">
        <f>IF($A620="","",YEAR($A620))</f>
        <v/>
      </c>
      <c r="F620" s="22">
        <f>IF($A620="","",MONTH($A620))</f>
        <v/>
      </c>
      <c r="G620" s="22">
        <f>IF($B620="","",IFERROR(INDEX(ContaComp,MATCH($B620,ContaNome,0)),"Conta inválida"))</f>
        <v/>
      </c>
    </row>
    <row r="621" spans="1:7">
      <c r="A621" s="21"/>
      <c r="B621" s="15"/>
      <c r="C621" s="15"/>
      <c r="D621" s="17"/>
      <c r="E621" s="22">
        <f>IF($A621="","",YEAR($A621))</f>
        <v/>
      </c>
      <c r="F621" s="22">
        <f>IF($A621="","",MONTH($A621))</f>
        <v/>
      </c>
      <c r="G621" s="22">
        <f>IF($B621="","",IFERROR(INDEX(ContaComp,MATCH($B621,ContaNome,0)),"Conta inválida"))</f>
        <v/>
      </c>
    </row>
    <row r="622" spans="1:7">
      <c r="A622" s="21"/>
      <c r="B622" s="15"/>
      <c r="C622" s="15"/>
      <c r="D622" s="17"/>
      <c r="E622" s="22">
        <f>IF($A622="","",YEAR($A622))</f>
        <v/>
      </c>
      <c r="F622" s="22">
        <f>IF($A622="","",MONTH($A622))</f>
        <v/>
      </c>
      <c r="G622" s="22">
        <f>IF($B622="","",IFERROR(INDEX(ContaComp,MATCH($B622,ContaNome,0)),"Conta inválida"))</f>
        <v/>
      </c>
    </row>
    <row r="623" spans="1:7">
      <c r="A623" s="21"/>
      <c r="B623" s="15"/>
      <c r="C623" s="15"/>
      <c r="D623" s="17"/>
      <c r="E623" s="22">
        <f>IF($A623="","",YEAR($A623))</f>
        <v/>
      </c>
      <c r="F623" s="22">
        <f>IF($A623="","",MONTH($A623))</f>
        <v/>
      </c>
      <c r="G623" s="22">
        <f>IF($B623="","",IFERROR(INDEX(ContaComp,MATCH($B623,ContaNome,0)),"Conta inválida"))</f>
        <v/>
      </c>
    </row>
    <row r="624" spans="1:7">
      <c r="A624" s="21"/>
      <c r="B624" s="15"/>
      <c r="C624" s="15"/>
      <c r="D624" s="17"/>
      <c r="E624" s="22">
        <f>IF($A624="","",YEAR($A624))</f>
        <v/>
      </c>
      <c r="F624" s="22">
        <f>IF($A624="","",MONTH($A624))</f>
        <v/>
      </c>
      <c r="G624" s="22">
        <f>IF($B624="","",IFERROR(INDEX(ContaComp,MATCH($B624,ContaNome,0)),"Conta inválida"))</f>
        <v/>
      </c>
    </row>
    <row r="625" spans="1:7">
      <c r="A625" s="21"/>
      <c r="B625" s="15"/>
      <c r="C625" s="15"/>
      <c r="D625" s="17"/>
      <c r="E625" s="22">
        <f>IF($A625="","",YEAR($A625))</f>
        <v/>
      </c>
      <c r="F625" s="22">
        <f>IF($A625="","",MONTH($A625))</f>
        <v/>
      </c>
      <c r="G625" s="22">
        <f>IF($B625="","",IFERROR(INDEX(ContaComp,MATCH($B625,ContaNome,0)),"Conta inválida"))</f>
        <v/>
      </c>
    </row>
    <row r="626" spans="1:7">
      <c r="A626" s="21"/>
      <c r="B626" s="15"/>
      <c r="C626" s="15"/>
      <c r="D626" s="17"/>
      <c r="E626" s="22">
        <f>IF($A626="","",YEAR($A626))</f>
        <v/>
      </c>
      <c r="F626" s="22">
        <f>IF($A626="","",MONTH($A626))</f>
        <v/>
      </c>
      <c r="G626" s="22">
        <f>IF($B626="","",IFERROR(INDEX(ContaComp,MATCH($B626,ContaNome,0)),"Conta inválida"))</f>
        <v/>
      </c>
    </row>
    <row r="627" spans="1:7">
      <c r="A627" s="21"/>
      <c r="B627" s="15"/>
      <c r="C627" s="15"/>
      <c r="D627" s="17"/>
      <c r="E627" s="22">
        <f>IF($A627="","",YEAR($A627))</f>
        <v/>
      </c>
      <c r="F627" s="22">
        <f>IF($A627="","",MONTH($A627))</f>
        <v/>
      </c>
      <c r="G627" s="22">
        <f>IF($B627="","",IFERROR(INDEX(ContaComp,MATCH($B627,ContaNome,0)),"Conta inválida"))</f>
        <v/>
      </c>
    </row>
    <row r="628" spans="1:7">
      <c r="A628" s="21"/>
      <c r="B628" s="15"/>
      <c r="C628" s="15"/>
      <c r="D628" s="17"/>
      <c r="E628" s="22">
        <f>IF($A628="","",YEAR($A628))</f>
        <v/>
      </c>
      <c r="F628" s="22">
        <f>IF($A628="","",MONTH($A628))</f>
        <v/>
      </c>
      <c r="G628" s="22">
        <f>IF($B628="","",IFERROR(INDEX(ContaComp,MATCH($B628,ContaNome,0)),"Conta inválida"))</f>
        <v/>
      </c>
    </row>
    <row r="629" spans="1:7">
      <c r="A629" s="21"/>
      <c r="B629" s="15"/>
      <c r="C629" s="15"/>
      <c r="D629" s="17"/>
      <c r="E629" s="22">
        <f>IF($A629="","",YEAR($A629))</f>
        <v/>
      </c>
      <c r="F629" s="22">
        <f>IF($A629="","",MONTH($A629))</f>
        <v/>
      </c>
      <c r="G629" s="22">
        <f>IF($B629="","",IFERROR(INDEX(ContaComp,MATCH($B629,ContaNome,0)),"Conta inválida"))</f>
        <v/>
      </c>
    </row>
    <row r="630" spans="1:7">
      <c r="A630" s="21"/>
      <c r="B630" s="15"/>
      <c r="C630" s="15"/>
      <c r="D630" s="17"/>
      <c r="E630" s="22">
        <f>IF($A630="","",YEAR($A630))</f>
        <v/>
      </c>
      <c r="F630" s="22">
        <f>IF($A630="","",MONTH($A630))</f>
        <v/>
      </c>
      <c r="G630" s="22">
        <f>IF($B630="","",IFERROR(INDEX(ContaComp,MATCH($B630,ContaNome,0)),"Conta inválida"))</f>
        <v/>
      </c>
    </row>
    <row r="631" spans="1:7">
      <c r="A631" s="21"/>
      <c r="B631" s="15"/>
      <c r="C631" s="15"/>
      <c r="D631" s="17"/>
      <c r="E631" s="22">
        <f>IF($A631="","",YEAR($A631))</f>
        <v/>
      </c>
      <c r="F631" s="22">
        <f>IF($A631="","",MONTH($A631))</f>
        <v/>
      </c>
      <c r="G631" s="22">
        <f>IF($B631="","",IFERROR(INDEX(ContaComp,MATCH($B631,ContaNome,0)),"Conta inválida"))</f>
        <v/>
      </c>
    </row>
    <row r="632" spans="1:7">
      <c r="A632" s="21"/>
      <c r="B632" s="15"/>
      <c r="C632" s="15"/>
      <c r="D632" s="17"/>
      <c r="E632" s="22">
        <f>IF($A632="","",YEAR($A632))</f>
        <v/>
      </c>
      <c r="F632" s="22">
        <f>IF($A632="","",MONTH($A632))</f>
        <v/>
      </c>
      <c r="G632" s="22">
        <f>IF($B632="","",IFERROR(INDEX(ContaComp,MATCH($B632,ContaNome,0)),"Conta inválida"))</f>
        <v/>
      </c>
    </row>
    <row r="633" spans="1:7">
      <c r="A633" s="21"/>
      <c r="B633" s="15"/>
      <c r="C633" s="15"/>
      <c r="D633" s="17"/>
      <c r="E633" s="22">
        <f>IF($A633="","",YEAR($A633))</f>
        <v/>
      </c>
      <c r="F633" s="22">
        <f>IF($A633="","",MONTH($A633))</f>
        <v/>
      </c>
      <c r="G633" s="22">
        <f>IF($B633="","",IFERROR(INDEX(ContaComp,MATCH($B633,ContaNome,0)),"Conta inválida"))</f>
        <v/>
      </c>
    </row>
    <row r="634" spans="1:7">
      <c r="A634" s="21"/>
      <c r="B634" s="15"/>
      <c r="C634" s="15"/>
      <c r="D634" s="17"/>
      <c r="E634" s="22">
        <f>IF($A634="","",YEAR($A634))</f>
        <v/>
      </c>
      <c r="F634" s="22">
        <f>IF($A634="","",MONTH($A634))</f>
        <v/>
      </c>
      <c r="G634" s="22">
        <f>IF($B634="","",IFERROR(INDEX(ContaComp,MATCH($B634,ContaNome,0)),"Conta inválida"))</f>
        <v/>
      </c>
    </row>
    <row r="635" spans="1:7">
      <c r="A635" s="21"/>
      <c r="B635" s="15"/>
      <c r="C635" s="15"/>
      <c r="D635" s="17"/>
      <c r="E635" s="22">
        <f>IF($A635="","",YEAR($A635))</f>
        <v/>
      </c>
      <c r="F635" s="22">
        <f>IF($A635="","",MONTH($A635))</f>
        <v/>
      </c>
      <c r="G635" s="22">
        <f>IF($B635="","",IFERROR(INDEX(ContaComp,MATCH($B635,ContaNome,0)),"Conta inválida"))</f>
        <v/>
      </c>
    </row>
    <row r="636" spans="1:7">
      <c r="A636" s="21"/>
      <c r="B636" s="15"/>
      <c r="C636" s="15"/>
      <c r="D636" s="17"/>
      <c r="E636" s="22">
        <f>IF($A636="","",YEAR($A636))</f>
        <v/>
      </c>
      <c r="F636" s="22">
        <f>IF($A636="","",MONTH($A636))</f>
        <v/>
      </c>
      <c r="G636" s="22">
        <f>IF($B636="","",IFERROR(INDEX(ContaComp,MATCH($B636,ContaNome,0)),"Conta inválida"))</f>
        <v/>
      </c>
    </row>
    <row r="637" spans="1:7">
      <c r="A637" s="21"/>
      <c r="B637" s="15"/>
      <c r="C637" s="15"/>
      <c r="D637" s="17"/>
      <c r="E637" s="22">
        <f>IF($A637="","",YEAR($A637))</f>
        <v/>
      </c>
      <c r="F637" s="22">
        <f>IF($A637="","",MONTH($A637))</f>
        <v/>
      </c>
      <c r="G637" s="22">
        <f>IF($B637="","",IFERROR(INDEX(ContaComp,MATCH($B637,ContaNome,0)),"Conta inválida"))</f>
        <v/>
      </c>
    </row>
    <row r="638" spans="1:7">
      <c r="A638" s="21"/>
      <c r="B638" s="15"/>
      <c r="C638" s="15"/>
      <c r="D638" s="17"/>
      <c r="E638" s="22">
        <f>IF($A638="","",YEAR($A638))</f>
        <v/>
      </c>
      <c r="F638" s="22">
        <f>IF($A638="","",MONTH($A638))</f>
        <v/>
      </c>
      <c r="G638" s="22">
        <f>IF($B638="","",IFERROR(INDEX(ContaComp,MATCH($B638,ContaNome,0)),"Conta inválida"))</f>
        <v/>
      </c>
    </row>
    <row r="639" spans="1:7">
      <c r="A639" s="21"/>
      <c r="B639" s="15"/>
      <c r="C639" s="15"/>
      <c r="D639" s="17"/>
      <c r="E639" s="22">
        <f>IF($A639="","",YEAR($A639))</f>
        <v/>
      </c>
      <c r="F639" s="22">
        <f>IF($A639="","",MONTH($A639))</f>
        <v/>
      </c>
      <c r="G639" s="22">
        <f>IF($B639="","",IFERROR(INDEX(ContaComp,MATCH($B639,ContaNome,0)),"Conta inválida"))</f>
        <v/>
      </c>
    </row>
    <row r="640" spans="1:7">
      <c r="A640" s="21"/>
      <c r="B640" s="15"/>
      <c r="C640" s="15"/>
      <c r="D640" s="17"/>
      <c r="E640" s="22">
        <f>IF($A640="","",YEAR($A640))</f>
        <v/>
      </c>
      <c r="F640" s="22">
        <f>IF($A640="","",MONTH($A640))</f>
        <v/>
      </c>
      <c r="G640" s="22">
        <f>IF($B640="","",IFERROR(INDEX(ContaComp,MATCH($B640,ContaNome,0)),"Conta inválida"))</f>
        <v/>
      </c>
    </row>
    <row r="641" spans="1:7">
      <c r="A641" s="21"/>
      <c r="B641" s="15"/>
      <c r="C641" s="15"/>
      <c r="D641" s="17"/>
      <c r="E641" s="22">
        <f>IF($A641="","",YEAR($A641))</f>
        <v/>
      </c>
      <c r="F641" s="22">
        <f>IF($A641="","",MONTH($A641))</f>
        <v/>
      </c>
      <c r="G641" s="22">
        <f>IF($B641="","",IFERROR(INDEX(ContaComp,MATCH($B641,ContaNome,0)),"Conta inválida"))</f>
        <v/>
      </c>
    </row>
    <row r="642" spans="1:7">
      <c r="A642" s="21"/>
      <c r="B642" s="15"/>
      <c r="C642" s="15"/>
      <c r="D642" s="17"/>
      <c r="E642" s="22">
        <f>IF($A642="","",YEAR($A642))</f>
        <v/>
      </c>
      <c r="F642" s="22">
        <f>IF($A642="","",MONTH($A642))</f>
        <v/>
      </c>
      <c r="G642" s="22">
        <f>IF($B642="","",IFERROR(INDEX(ContaComp,MATCH($B642,ContaNome,0)),"Conta inválida"))</f>
        <v/>
      </c>
    </row>
    <row r="643" spans="1:7">
      <c r="A643" s="21"/>
      <c r="B643" s="15"/>
      <c r="C643" s="15"/>
      <c r="D643" s="17"/>
      <c r="E643" s="22">
        <f>IF($A643="","",YEAR($A643))</f>
        <v/>
      </c>
      <c r="F643" s="22">
        <f>IF($A643="","",MONTH($A643))</f>
        <v/>
      </c>
      <c r="G643" s="22">
        <f>IF($B643="","",IFERROR(INDEX(ContaComp,MATCH($B643,ContaNome,0)),"Conta inválida"))</f>
        <v/>
      </c>
    </row>
    <row r="644" spans="1:7">
      <c r="A644" s="21"/>
      <c r="B644" s="15"/>
      <c r="C644" s="15"/>
      <c r="D644" s="17"/>
      <c r="E644" s="22">
        <f>IF($A644="","",YEAR($A644))</f>
        <v/>
      </c>
      <c r="F644" s="22">
        <f>IF($A644="","",MONTH($A644))</f>
        <v/>
      </c>
      <c r="G644" s="22">
        <f>IF($B644="","",IFERROR(INDEX(ContaComp,MATCH($B644,ContaNome,0)),"Conta inválida"))</f>
        <v/>
      </c>
    </row>
    <row r="645" spans="1:7">
      <c r="A645" s="21"/>
      <c r="B645" s="15"/>
      <c r="C645" s="15"/>
      <c r="D645" s="17"/>
      <c r="E645" s="22">
        <f>IF($A645="","",YEAR($A645))</f>
        <v/>
      </c>
      <c r="F645" s="22">
        <f>IF($A645="","",MONTH($A645))</f>
        <v/>
      </c>
      <c r="G645" s="22">
        <f>IF($B645="","",IFERROR(INDEX(ContaComp,MATCH($B645,ContaNome,0)),"Conta inválida"))</f>
        <v/>
      </c>
    </row>
    <row r="646" spans="1:7">
      <c r="A646" s="21"/>
      <c r="B646" s="15"/>
      <c r="C646" s="15"/>
      <c r="D646" s="17"/>
      <c r="E646" s="22">
        <f>IF($A646="","",YEAR($A646))</f>
        <v/>
      </c>
      <c r="F646" s="22">
        <f>IF($A646="","",MONTH($A646))</f>
        <v/>
      </c>
      <c r="G646" s="22">
        <f>IF($B646="","",IFERROR(INDEX(ContaComp,MATCH($B646,ContaNome,0)),"Conta inválida"))</f>
        <v/>
      </c>
    </row>
    <row r="647" spans="1:7">
      <c r="A647" s="21"/>
      <c r="B647" s="15"/>
      <c r="C647" s="15"/>
      <c r="D647" s="17"/>
      <c r="E647" s="22">
        <f>IF($A647="","",YEAR($A647))</f>
        <v/>
      </c>
      <c r="F647" s="22">
        <f>IF($A647="","",MONTH($A647))</f>
        <v/>
      </c>
      <c r="G647" s="22">
        <f>IF($B647="","",IFERROR(INDEX(ContaComp,MATCH($B647,ContaNome,0)),"Conta inválida"))</f>
        <v/>
      </c>
    </row>
    <row r="648" spans="1:7">
      <c r="A648" s="21"/>
      <c r="B648" s="15"/>
      <c r="C648" s="15"/>
      <c r="D648" s="17"/>
      <c r="E648" s="22">
        <f>IF($A648="","",YEAR($A648))</f>
        <v/>
      </c>
      <c r="F648" s="22">
        <f>IF($A648="","",MONTH($A648))</f>
        <v/>
      </c>
      <c r="G648" s="22">
        <f>IF($B648="","",IFERROR(INDEX(ContaComp,MATCH($B648,ContaNome,0)),"Conta inválida"))</f>
        <v/>
      </c>
    </row>
    <row r="649" spans="1:7">
      <c r="A649" s="21"/>
      <c r="B649" s="15"/>
      <c r="C649" s="15"/>
      <c r="D649" s="17"/>
      <c r="E649" s="22">
        <f>IF($A649="","",YEAR($A649))</f>
        <v/>
      </c>
      <c r="F649" s="22">
        <f>IF($A649="","",MONTH($A649))</f>
        <v/>
      </c>
      <c r="G649" s="22">
        <f>IF($B649="","",IFERROR(INDEX(ContaComp,MATCH($B649,ContaNome,0)),"Conta inválida"))</f>
        <v/>
      </c>
    </row>
    <row r="650" spans="1:7">
      <c r="A650" s="21"/>
      <c r="B650" s="15"/>
      <c r="C650" s="15"/>
      <c r="D650" s="17"/>
      <c r="E650" s="22">
        <f>IF($A650="","",YEAR($A650))</f>
        <v/>
      </c>
      <c r="F650" s="22">
        <f>IF($A650="","",MONTH($A650))</f>
        <v/>
      </c>
      <c r="G650" s="22">
        <f>IF($B650="","",IFERROR(INDEX(ContaComp,MATCH($B650,ContaNome,0)),"Conta inválida"))</f>
        <v/>
      </c>
    </row>
    <row r="651" spans="1:7">
      <c r="A651" s="21"/>
      <c r="B651" s="15"/>
      <c r="C651" s="15"/>
      <c r="D651" s="17"/>
      <c r="E651" s="22">
        <f>IF($A651="","",YEAR($A651))</f>
        <v/>
      </c>
      <c r="F651" s="22">
        <f>IF($A651="","",MONTH($A651))</f>
        <v/>
      </c>
      <c r="G651" s="22">
        <f>IF($B651="","",IFERROR(INDEX(ContaComp,MATCH($B651,ContaNome,0)),"Conta inválida"))</f>
        <v/>
      </c>
    </row>
    <row r="652" spans="1:7">
      <c r="A652" s="21"/>
      <c r="B652" s="15"/>
      <c r="C652" s="15"/>
      <c r="D652" s="17"/>
      <c r="E652" s="22">
        <f>IF($A652="","",YEAR($A652))</f>
        <v/>
      </c>
      <c r="F652" s="22">
        <f>IF($A652="","",MONTH($A652))</f>
        <v/>
      </c>
      <c r="G652" s="22">
        <f>IF($B652="","",IFERROR(INDEX(ContaComp,MATCH($B652,ContaNome,0)),"Conta inválida"))</f>
        <v/>
      </c>
    </row>
    <row r="653" spans="1:7">
      <c r="A653" s="21"/>
      <c r="B653" s="15"/>
      <c r="C653" s="15"/>
      <c r="D653" s="17"/>
      <c r="E653" s="22">
        <f>IF($A653="","",YEAR($A653))</f>
        <v/>
      </c>
      <c r="F653" s="22">
        <f>IF($A653="","",MONTH($A653))</f>
        <v/>
      </c>
      <c r="G653" s="22">
        <f>IF($B653="","",IFERROR(INDEX(ContaComp,MATCH($B653,ContaNome,0)),"Conta inválida"))</f>
        <v/>
      </c>
    </row>
    <row r="654" spans="1:7">
      <c r="A654" s="21"/>
      <c r="B654" s="15"/>
      <c r="C654" s="15"/>
      <c r="D654" s="17"/>
      <c r="E654" s="22">
        <f>IF($A654="","",YEAR($A654))</f>
        <v/>
      </c>
      <c r="F654" s="22">
        <f>IF($A654="","",MONTH($A654))</f>
        <v/>
      </c>
      <c r="G654" s="22">
        <f>IF($B654="","",IFERROR(INDEX(ContaComp,MATCH($B654,ContaNome,0)),"Conta inválida"))</f>
        <v/>
      </c>
    </row>
    <row r="655" spans="1:7">
      <c r="A655" s="21"/>
      <c r="B655" s="15"/>
      <c r="C655" s="15"/>
      <c r="D655" s="17"/>
      <c r="E655" s="22">
        <f>IF($A655="","",YEAR($A655))</f>
        <v/>
      </c>
      <c r="F655" s="22">
        <f>IF($A655="","",MONTH($A655))</f>
        <v/>
      </c>
      <c r="G655" s="22">
        <f>IF($B655="","",IFERROR(INDEX(ContaComp,MATCH($B655,ContaNome,0)),"Conta inválida"))</f>
        <v/>
      </c>
    </row>
    <row r="656" spans="1:7">
      <c r="A656" s="21"/>
      <c r="B656" s="15"/>
      <c r="C656" s="15"/>
      <c r="D656" s="17"/>
      <c r="E656" s="22">
        <f>IF($A656="","",YEAR($A656))</f>
        <v/>
      </c>
      <c r="F656" s="22">
        <f>IF($A656="","",MONTH($A656))</f>
        <v/>
      </c>
      <c r="G656" s="22">
        <f>IF($B656="","",IFERROR(INDEX(ContaComp,MATCH($B656,ContaNome,0)),"Conta inválida"))</f>
        <v/>
      </c>
    </row>
    <row r="657" spans="1:7">
      <c r="A657" s="21"/>
      <c r="B657" s="15"/>
      <c r="C657" s="15"/>
      <c r="D657" s="17"/>
      <c r="E657" s="22">
        <f>IF($A657="","",YEAR($A657))</f>
        <v/>
      </c>
      <c r="F657" s="22">
        <f>IF($A657="","",MONTH($A657))</f>
        <v/>
      </c>
      <c r="G657" s="22">
        <f>IF($B657="","",IFERROR(INDEX(ContaComp,MATCH($B657,ContaNome,0)),"Conta inválida"))</f>
        <v/>
      </c>
    </row>
    <row r="658" spans="1:7">
      <c r="A658" s="21"/>
      <c r="B658" s="15"/>
      <c r="C658" s="15"/>
      <c r="D658" s="17"/>
      <c r="E658" s="22">
        <f>IF($A658="","",YEAR($A658))</f>
        <v/>
      </c>
      <c r="F658" s="22">
        <f>IF($A658="","",MONTH($A658))</f>
        <v/>
      </c>
      <c r="G658" s="22">
        <f>IF($B658="","",IFERROR(INDEX(ContaComp,MATCH($B658,ContaNome,0)),"Conta inválida"))</f>
        <v/>
      </c>
    </row>
    <row r="659" spans="1:7">
      <c r="A659" s="21"/>
      <c r="B659" s="15"/>
      <c r="C659" s="15"/>
      <c r="D659" s="17"/>
      <c r="E659" s="22">
        <f>IF($A659="","",YEAR($A659))</f>
        <v/>
      </c>
      <c r="F659" s="22">
        <f>IF($A659="","",MONTH($A659))</f>
        <v/>
      </c>
      <c r="G659" s="22">
        <f>IF($B659="","",IFERROR(INDEX(ContaComp,MATCH($B659,ContaNome,0)),"Conta inválida"))</f>
        <v/>
      </c>
    </row>
    <row r="660" spans="1:7">
      <c r="A660" s="21"/>
      <c r="B660" s="15"/>
      <c r="C660" s="15"/>
      <c r="D660" s="17"/>
      <c r="E660" s="22">
        <f>IF($A660="","",YEAR($A660))</f>
        <v/>
      </c>
      <c r="F660" s="22">
        <f>IF($A660="","",MONTH($A660))</f>
        <v/>
      </c>
      <c r="G660" s="22">
        <f>IF($B660="","",IFERROR(INDEX(ContaComp,MATCH($B660,ContaNome,0)),"Conta inválida"))</f>
        <v/>
      </c>
    </row>
    <row r="661" spans="1:7">
      <c r="A661" s="21"/>
      <c r="B661" s="15"/>
      <c r="C661" s="15"/>
      <c r="D661" s="17"/>
      <c r="E661" s="22">
        <f>IF($A661="","",YEAR($A661))</f>
        <v/>
      </c>
      <c r="F661" s="22">
        <f>IF($A661="","",MONTH($A661))</f>
        <v/>
      </c>
      <c r="G661" s="22">
        <f>IF($B661="","",IFERROR(INDEX(ContaComp,MATCH($B661,ContaNome,0)),"Conta inválida"))</f>
        <v/>
      </c>
    </row>
    <row r="662" spans="1:7">
      <c r="A662" s="21"/>
      <c r="B662" s="15"/>
      <c r="C662" s="15"/>
      <c r="D662" s="17"/>
      <c r="E662" s="22">
        <f>IF($A662="","",YEAR($A662))</f>
        <v/>
      </c>
      <c r="F662" s="22">
        <f>IF($A662="","",MONTH($A662))</f>
        <v/>
      </c>
      <c r="G662" s="22">
        <f>IF($B662="","",IFERROR(INDEX(ContaComp,MATCH($B662,ContaNome,0)),"Conta inválida"))</f>
        <v/>
      </c>
    </row>
    <row r="663" spans="1:7">
      <c r="A663" s="21"/>
      <c r="B663" s="15"/>
      <c r="C663" s="15"/>
      <c r="D663" s="17"/>
      <c r="E663" s="22">
        <f>IF($A663="","",YEAR($A663))</f>
        <v/>
      </c>
      <c r="F663" s="22">
        <f>IF($A663="","",MONTH($A663))</f>
        <v/>
      </c>
      <c r="G663" s="22">
        <f>IF($B663="","",IFERROR(INDEX(ContaComp,MATCH($B663,ContaNome,0)),"Conta inválida"))</f>
        <v/>
      </c>
    </row>
    <row r="664" spans="1:7">
      <c r="A664" s="21"/>
      <c r="B664" s="15"/>
      <c r="C664" s="15"/>
      <c r="D664" s="17"/>
      <c r="E664" s="22">
        <f>IF($A664="","",YEAR($A664))</f>
        <v/>
      </c>
      <c r="F664" s="22">
        <f>IF($A664="","",MONTH($A664))</f>
        <v/>
      </c>
      <c r="G664" s="22">
        <f>IF($B664="","",IFERROR(INDEX(ContaComp,MATCH($B664,ContaNome,0)),"Conta inválida"))</f>
        <v/>
      </c>
    </row>
    <row r="665" spans="1:7">
      <c r="A665" s="21"/>
      <c r="B665" s="15"/>
      <c r="C665" s="15"/>
      <c r="D665" s="17"/>
      <c r="E665" s="22">
        <f>IF($A665="","",YEAR($A665))</f>
        <v/>
      </c>
      <c r="F665" s="22">
        <f>IF($A665="","",MONTH($A665))</f>
        <v/>
      </c>
      <c r="G665" s="22">
        <f>IF($B665="","",IFERROR(INDEX(ContaComp,MATCH($B665,ContaNome,0)),"Conta inválida"))</f>
        <v/>
      </c>
    </row>
    <row r="666" spans="1:7">
      <c r="A666" s="21"/>
      <c r="B666" s="15"/>
      <c r="C666" s="15"/>
      <c r="D666" s="17"/>
      <c r="E666" s="22">
        <f>IF($A666="","",YEAR($A666))</f>
        <v/>
      </c>
      <c r="F666" s="22">
        <f>IF($A666="","",MONTH($A666))</f>
        <v/>
      </c>
      <c r="G666" s="22">
        <f>IF($B666="","",IFERROR(INDEX(ContaComp,MATCH($B666,ContaNome,0)),"Conta inválida"))</f>
        <v/>
      </c>
    </row>
    <row r="667" spans="1:7">
      <c r="A667" s="21"/>
      <c r="B667" s="15"/>
      <c r="C667" s="15"/>
      <c r="D667" s="17"/>
      <c r="E667" s="22">
        <f>IF($A667="","",YEAR($A667))</f>
        <v/>
      </c>
      <c r="F667" s="22">
        <f>IF($A667="","",MONTH($A667))</f>
        <v/>
      </c>
      <c r="G667" s="22">
        <f>IF($B667="","",IFERROR(INDEX(ContaComp,MATCH($B667,ContaNome,0)),"Conta inválida"))</f>
        <v/>
      </c>
    </row>
    <row r="668" spans="1:7">
      <c r="A668" s="21"/>
      <c r="B668" s="15"/>
      <c r="C668" s="15"/>
      <c r="D668" s="17"/>
      <c r="E668" s="22">
        <f>IF($A668="","",YEAR($A668))</f>
        <v/>
      </c>
      <c r="F668" s="22">
        <f>IF($A668="","",MONTH($A668))</f>
        <v/>
      </c>
      <c r="G668" s="22">
        <f>IF($B668="","",IFERROR(INDEX(ContaComp,MATCH($B668,ContaNome,0)),"Conta inválida"))</f>
        <v/>
      </c>
    </row>
    <row r="669" spans="1:7">
      <c r="A669" s="21"/>
      <c r="B669" s="15"/>
      <c r="C669" s="15"/>
      <c r="D669" s="17"/>
      <c r="E669" s="22">
        <f>IF($A669="","",YEAR($A669))</f>
        <v/>
      </c>
      <c r="F669" s="22">
        <f>IF($A669="","",MONTH($A669))</f>
        <v/>
      </c>
      <c r="G669" s="22">
        <f>IF($B669="","",IFERROR(INDEX(ContaComp,MATCH($B669,ContaNome,0)),"Conta inválida"))</f>
        <v/>
      </c>
    </row>
    <row r="670" spans="1:7">
      <c r="A670" s="21"/>
      <c r="B670" s="15"/>
      <c r="C670" s="15"/>
      <c r="D670" s="17"/>
      <c r="E670" s="22">
        <f>IF($A670="","",YEAR($A670))</f>
        <v/>
      </c>
      <c r="F670" s="22">
        <f>IF($A670="","",MONTH($A670))</f>
        <v/>
      </c>
      <c r="G670" s="22">
        <f>IF($B670="","",IFERROR(INDEX(ContaComp,MATCH($B670,ContaNome,0)),"Conta inválida"))</f>
        <v/>
      </c>
    </row>
    <row r="671" spans="1:7">
      <c r="A671" s="21"/>
      <c r="B671" s="15"/>
      <c r="C671" s="15"/>
      <c r="D671" s="17"/>
      <c r="E671" s="22">
        <f>IF($A671="","",YEAR($A671))</f>
        <v/>
      </c>
      <c r="F671" s="22">
        <f>IF($A671="","",MONTH($A671))</f>
        <v/>
      </c>
      <c r="G671" s="22">
        <f>IF($B671="","",IFERROR(INDEX(ContaComp,MATCH($B671,ContaNome,0)),"Conta inválida"))</f>
        <v/>
      </c>
    </row>
    <row r="672" spans="1:7">
      <c r="A672" s="21"/>
      <c r="B672" s="15"/>
      <c r="C672" s="15"/>
      <c r="D672" s="17"/>
      <c r="E672" s="22">
        <f>IF($A672="","",YEAR($A672))</f>
        <v/>
      </c>
      <c r="F672" s="22">
        <f>IF($A672="","",MONTH($A672))</f>
        <v/>
      </c>
      <c r="G672" s="22">
        <f>IF($B672="","",IFERROR(INDEX(ContaComp,MATCH($B672,ContaNome,0)),"Conta inválida"))</f>
        <v/>
      </c>
    </row>
    <row r="673" spans="1:7">
      <c r="A673" s="21"/>
      <c r="B673" s="15"/>
      <c r="C673" s="15"/>
      <c r="D673" s="17"/>
      <c r="E673" s="22">
        <f>IF($A673="","",YEAR($A673))</f>
        <v/>
      </c>
      <c r="F673" s="22">
        <f>IF($A673="","",MONTH($A673))</f>
        <v/>
      </c>
      <c r="G673" s="22">
        <f>IF($B673="","",IFERROR(INDEX(ContaComp,MATCH($B673,ContaNome,0)),"Conta inválida"))</f>
        <v/>
      </c>
    </row>
    <row r="674" spans="1:7">
      <c r="A674" s="21"/>
      <c r="B674" s="15"/>
      <c r="C674" s="15"/>
      <c r="D674" s="17"/>
      <c r="E674" s="22">
        <f>IF($A674="","",YEAR($A674))</f>
        <v/>
      </c>
      <c r="F674" s="22">
        <f>IF($A674="","",MONTH($A674))</f>
        <v/>
      </c>
      <c r="G674" s="22">
        <f>IF($B674="","",IFERROR(INDEX(ContaComp,MATCH($B674,ContaNome,0)),"Conta inválida"))</f>
        <v/>
      </c>
    </row>
    <row r="675" spans="1:7">
      <c r="A675" s="21"/>
      <c r="B675" s="15"/>
      <c r="C675" s="15"/>
      <c r="D675" s="17"/>
      <c r="E675" s="22">
        <f>IF($A675="","",YEAR($A675))</f>
        <v/>
      </c>
      <c r="F675" s="22">
        <f>IF($A675="","",MONTH($A675))</f>
        <v/>
      </c>
      <c r="G675" s="22">
        <f>IF($B675="","",IFERROR(INDEX(ContaComp,MATCH($B675,ContaNome,0)),"Conta inválida"))</f>
        <v/>
      </c>
    </row>
    <row r="676" spans="1:7">
      <c r="A676" s="21"/>
      <c r="B676" s="15"/>
      <c r="C676" s="15"/>
      <c r="D676" s="17"/>
      <c r="E676" s="22">
        <f>IF($A676="","",YEAR($A676))</f>
        <v/>
      </c>
      <c r="F676" s="22">
        <f>IF($A676="","",MONTH($A676))</f>
        <v/>
      </c>
      <c r="G676" s="22">
        <f>IF($B676="","",IFERROR(INDEX(ContaComp,MATCH($B676,ContaNome,0)),"Conta inválida"))</f>
        <v/>
      </c>
    </row>
    <row r="677" spans="1:7">
      <c r="A677" s="21"/>
      <c r="B677" s="15"/>
      <c r="C677" s="15"/>
      <c r="D677" s="17"/>
      <c r="E677" s="22">
        <f>IF($A677="","",YEAR($A677))</f>
        <v/>
      </c>
      <c r="F677" s="22">
        <f>IF($A677="","",MONTH($A677))</f>
        <v/>
      </c>
      <c r="G677" s="22">
        <f>IF($B677="","",IFERROR(INDEX(ContaComp,MATCH($B677,ContaNome,0)),"Conta inválida"))</f>
        <v/>
      </c>
    </row>
    <row r="678" spans="1:7">
      <c r="A678" s="21"/>
      <c r="B678" s="15"/>
      <c r="C678" s="15"/>
      <c r="D678" s="17"/>
      <c r="E678" s="22">
        <f>IF($A678="","",YEAR($A678))</f>
        <v/>
      </c>
      <c r="F678" s="22">
        <f>IF($A678="","",MONTH($A678))</f>
        <v/>
      </c>
      <c r="G678" s="22">
        <f>IF($B678="","",IFERROR(INDEX(ContaComp,MATCH($B678,ContaNome,0)),"Conta inválida"))</f>
        <v/>
      </c>
    </row>
    <row r="679" spans="1:7">
      <c r="A679" s="21"/>
      <c r="B679" s="15"/>
      <c r="C679" s="15"/>
      <c r="D679" s="17"/>
      <c r="E679" s="22">
        <f>IF($A679="","",YEAR($A679))</f>
        <v/>
      </c>
      <c r="F679" s="22">
        <f>IF($A679="","",MONTH($A679))</f>
        <v/>
      </c>
      <c r="G679" s="22">
        <f>IF($B679="","",IFERROR(INDEX(ContaComp,MATCH($B679,ContaNome,0)),"Conta inválida"))</f>
        <v/>
      </c>
    </row>
    <row r="680" spans="1:7">
      <c r="A680" s="21"/>
      <c r="B680" s="15"/>
      <c r="C680" s="15"/>
      <c r="D680" s="17"/>
      <c r="E680" s="22">
        <f>IF($A680="","",YEAR($A680))</f>
        <v/>
      </c>
      <c r="F680" s="22">
        <f>IF($A680="","",MONTH($A680))</f>
        <v/>
      </c>
      <c r="G680" s="22">
        <f>IF($B680="","",IFERROR(INDEX(ContaComp,MATCH($B680,ContaNome,0)),"Conta inválida"))</f>
        <v/>
      </c>
    </row>
    <row r="681" spans="1:7">
      <c r="A681" s="21"/>
      <c r="B681" s="15"/>
      <c r="C681" s="15"/>
      <c r="D681" s="17"/>
      <c r="E681" s="22">
        <f>IF($A681="","",YEAR($A681))</f>
        <v/>
      </c>
      <c r="F681" s="22">
        <f>IF($A681="","",MONTH($A681))</f>
        <v/>
      </c>
      <c r="G681" s="22">
        <f>IF($B681="","",IFERROR(INDEX(ContaComp,MATCH($B681,ContaNome,0)),"Conta inválida"))</f>
        <v/>
      </c>
    </row>
    <row r="682" spans="1:7">
      <c r="A682" s="21"/>
      <c r="B682" s="15"/>
      <c r="C682" s="15"/>
      <c r="D682" s="17"/>
      <c r="E682" s="22">
        <f>IF($A682="","",YEAR($A682))</f>
        <v/>
      </c>
      <c r="F682" s="22">
        <f>IF($A682="","",MONTH($A682))</f>
        <v/>
      </c>
      <c r="G682" s="22">
        <f>IF($B682="","",IFERROR(INDEX(ContaComp,MATCH($B682,ContaNome,0)),"Conta inválida"))</f>
        <v/>
      </c>
    </row>
    <row r="683" spans="1:7">
      <c r="A683" s="21"/>
      <c r="B683" s="15"/>
      <c r="C683" s="15"/>
      <c r="D683" s="17"/>
      <c r="E683" s="22">
        <f>IF($A683="","",YEAR($A683))</f>
        <v/>
      </c>
      <c r="F683" s="22">
        <f>IF($A683="","",MONTH($A683))</f>
        <v/>
      </c>
      <c r="G683" s="22">
        <f>IF($B683="","",IFERROR(INDEX(ContaComp,MATCH($B683,ContaNome,0)),"Conta inválida"))</f>
        <v/>
      </c>
    </row>
    <row r="684" spans="1:7">
      <c r="A684" s="21"/>
      <c r="B684" s="15"/>
      <c r="C684" s="15"/>
      <c r="D684" s="17"/>
      <c r="E684" s="22">
        <f>IF($A684="","",YEAR($A684))</f>
        <v/>
      </c>
      <c r="F684" s="22">
        <f>IF($A684="","",MONTH($A684))</f>
        <v/>
      </c>
      <c r="G684" s="22">
        <f>IF($B684="","",IFERROR(INDEX(ContaComp,MATCH($B684,ContaNome,0)),"Conta inválida"))</f>
        <v/>
      </c>
    </row>
    <row r="685" spans="1:7">
      <c r="A685" s="21"/>
      <c r="B685" s="15"/>
      <c r="C685" s="15"/>
      <c r="D685" s="17"/>
      <c r="E685" s="22">
        <f>IF($A685="","",YEAR($A685))</f>
        <v/>
      </c>
      <c r="F685" s="22">
        <f>IF($A685="","",MONTH($A685))</f>
        <v/>
      </c>
      <c r="G685" s="22">
        <f>IF($B685="","",IFERROR(INDEX(ContaComp,MATCH($B685,ContaNome,0)),"Conta inválida"))</f>
        <v/>
      </c>
    </row>
    <row r="686" spans="1:7">
      <c r="A686" s="21"/>
      <c r="B686" s="15"/>
      <c r="C686" s="15"/>
      <c r="D686" s="17"/>
      <c r="E686" s="22">
        <f>IF($A686="","",YEAR($A686))</f>
        <v/>
      </c>
      <c r="F686" s="22">
        <f>IF($A686="","",MONTH($A686))</f>
        <v/>
      </c>
      <c r="G686" s="22">
        <f>IF($B686="","",IFERROR(INDEX(ContaComp,MATCH($B686,ContaNome,0)),"Conta inválida"))</f>
        <v/>
      </c>
    </row>
    <row r="687" spans="1:7">
      <c r="A687" s="21"/>
      <c r="B687" s="15"/>
      <c r="C687" s="15"/>
      <c r="D687" s="17"/>
      <c r="E687" s="22">
        <f>IF($A687="","",YEAR($A687))</f>
        <v/>
      </c>
      <c r="F687" s="22">
        <f>IF($A687="","",MONTH($A687))</f>
        <v/>
      </c>
      <c r="G687" s="22">
        <f>IF($B687="","",IFERROR(INDEX(ContaComp,MATCH($B687,ContaNome,0)),"Conta inválida"))</f>
        <v/>
      </c>
    </row>
    <row r="688" spans="1:7">
      <c r="A688" s="21"/>
      <c r="B688" s="15"/>
      <c r="C688" s="15"/>
      <c r="D688" s="17"/>
      <c r="E688" s="22">
        <f>IF($A688="","",YEAR($A688))</f>
        <v/>
      </c>
      <c r="F688" s="22">
        <f>IF($A688="","",MONTH($A688))</f>
        <v/>
      </c>
      <c r="G688" s="22">
        <f>IF($B688="","",IFERROR(INDEX(ContaComp,MATCH($B688,ContaNome,0)),"Conta inválida"))</f>
        <v/>
      </c>
    </row>
    <row r="689" spans="1:7">
      <c r="A689" s="21"/>
      <c r="B689" s="15"/>
      <c r="C689" s="15"/>
      <c r="D689" s="17"/>
      <c r="E689" s="22">
        <f>IF($A689="","",YEAR($A689))</f>
        <v/>
      </c>
      <c r="F689" s="22">
        <f>IF($A689="","",MONTH($A689))</f>
        <v/>
      </c>
      <c r="G689" s="22">
        <f>IF($B689="","",IFERROR(INDEX(ContaComp,MATCH($B689,ContaNome,0)),"Conta inválida"))</f>
        <v/>
      </c>
    </row>
    <row r="690" spans="1:7">
      <c r="A690" s="21"/>
      <c r="B690" s="15"/>
      <c r="C690" s="15"/>
      <c r="D690" s="17"/>
      <c r="E690" s="22">
        <f>IF($A690="","",YEAR($A690))</f>
        <v/>
      </c>
      <c r="F690" s="22">
        <f>IF($A690="","",MONTH($A690))</f>
        <v/>
      </c>
      <c r="G690" s="22">
        <f>IF($B690="","",IFERROR(INDEX(ContaComp,MATCH($B690,ContaNome,0)),"Conta inválida"))</f>
        <v/>
      </c>
    </row>
    <row r="691" spans="1:7">
      <c r="A691" s="21"/>
      <c r="B691" s="15"/>
      <c r="C691" s="15"/>
      <c r="D691" s="17"/>
      <c r="E691" s="22">
        <f>IF($A691="","",YEAR($A691))</f>
        <v/>
      </c>
      <c r="F691" s="22">
        <f>IF($A691="","",MONTH($A691))</f>
        <v/>
      </c>
      <c r="G691" s="22">
        <f>IF($B691="","",IFERROR(INDEX(ContaComp,MATCH($B691,ContaNome,0)),"Conta inválida"))</f>
        <v/>
      </c>
    </row>
    <row r="692" spans="1:7">
      <c r="A692" s="21"/>
      <c r="B692" s="15"/>
      <c r="C692" s="15"/>
      <c r="D692" s="17"/>
      <c r="E692" s="22">
        <f>IF($A692="","",YEAR($A692))</f>
        <v/>
      </c>
      <c r="F692" s="22">
        <f>IF($A692="","",MONTH($A692))</f>
        <v/>
      </c>
      <c r="G692" s="22">
        <f>IF($B692="","",IFERROR(INDEX(ContaComp,MATCH($B692,ContaNome,0)),"Conta inválida"))</f>
        <v/>
      </c>
    </row>
    <row r="693" spans="1:7">
      <c r="A693" s="21"/>
      <c r="B693" s="15"/>
      <c r="C693" s="15"/>
      <c r="D693" s="17"/>
      <c r="E693" s="22">
        <f>IF($A693="","",YEAR($A693))</f>
        <v/>
      </c>
      <c r="F693" s="22">
        <f>IF($A693="","",MONTH($A693))</f>
        <v/>
      </c>
      <c r="G693" s="22">
        <f>IF($B693="","",IFERROR(INDEX(ContaComp,MATCH($B693,ContaNome,0)),"Conta inválida"))</f>
        <v/>
      </c>
    </row>
    <row r="694" spans="1:7">
      <c r="A694" s="21"/>
      <c r="B694" s="15"/>
      <c r="C694" s="15"/>
      <c r="D694" s="17"/>
      <c r="E694" s="22">
        <f>IF($A694="","",YEAR($A694))</f>
        <v/>
      </c>
      <c r="F694" s="22">
        <f>IF($A694="","",MONTH($A694))</f>
        <v/>
      </c>
      <c r="G694" s="22">
        <f>IF($B694="","",IFERROR(INDEX(ContaComp,MATCH($B694,ContaNome,0)),"Conta inválida"))</f>
        <v/>
      </c>
    </row>
    <row r="695" spans="1:7">
      <c r="A695" s="21"/>
      <c r="B695" s="15"/>
      <c r="C695" s="15"/>
      <c r="D695" s="17"/>
      <c r="E695" s="22">
        <f>IF($A695="","",YEAR($A695))</f>
        <v/>
      </c>
      <c r="F695" s="22">
        <f>IF($A695="","",MONTH($A695))</f>
        <v/>
      </c>
      <c r="G695" s="22">
        <f>IF($B695="","",IFERROR(INDEX(ContaComp,MATCH($B695,ContaNome,0)),"Conta inválida"))</f>
        <v/>
      </c>
    </row>
    <row r="696" spans="1:7">
      <c r="A696" s="21"/>
      <c r="B696" s="15"/>
      <c r="C696" s="15"/>
      <c r="D696" s="17"/>
      <c r="E696" s="22">
        <f>IF($A696="","",YEAR($A696))</f>
        <v/>
      </c>
      <c r="F696" s="22">
        <f>IF($A696="","",MONTH($A696))</f>
        <v/>
      </c>
      <c r="G696" s="22">
        <f>IF($B696="","",IFERROR(INDEX(ContaComp,MATCH($B696,ContaNome,0)),"Conta inválida"))</f>
        <v/>
      </c>
    </row>
    <row r="697" spans="1:7">
      <c r="A697" s="21"/>
      <c r="B697" s="15"/>
      <c r="C697" s="15"/>
      <c r="D697" s="17"/>
      <c r="E697" s="22">
        <f>IF($A697="","",YEAR($A697))</f>
        <v/>
      </c>
      <c r="F697" s="22">
        <f>IF($A697="","",MONTH($A697))</f>
        <v/>
      </c>
      <c r="G697" s="22">
        <f>IF($B697="","",IFERROR(INDEX(ContaComp,MATCH($B697,ContaNome,0)),"Conta inválida"))</f>
        <v/>
      </c>
    </row>
    <row r="698" spans="1:7">
      <c r="A698" s="21"/>
      <c r="B698" s="15"/>
      <c r="C698" s="15"/>
      <c r="D698" s="17"/>
      <c r="E698" s="22">
        <f>IF($A698="","",YEAR($A698))</f>
        <v/>
      </c>
      <c r="F698" s="22">
        <f>IF($A698="","",MONTH($A698))</f>
        <v/>
      </c>
      <c r="G698" s="22">
        <f>IF($B698="","",IFERROR(INDEX(ContaComp,MATCH($B698,ContaNome,0)),"Conta inválida"))</f>
        <v/>
      </c>
    </row>
    <row r="699" spans="1:7">
      <c r="A699" s="21"/>
      <c r="B699" s="15"/>
      <c r="C699" s="15"/>
      <c r="D699" s="17"/>
      <c r="E699" s="22">
        <f>IF($A699="","",YEAR($A699))</f>
        <v/>
      </c>
      <c r="F699" s="22">
        <f>IF($A699="","",MONTH($A699))</f>
        <v/>
      </c>
      <c r="G699" s="22">
        <f>IF($B699="","",IFERROR(INDEX(ContaComp,MATCH($B699,ContaNome,0)),"Conta inválida"))</f>
        <v/>
      </c>
    </row>
    <row r="700" spans="1:7">
      <c r="A700" s="21"/>
      <c r="B700" s="15"/>
      <c r="C700" s="15"/>
      <c r="D700" s="17"/>
      <c r="E700" s="22">
        <f>IF($A700="","",YEAR($A700))</f>
        <v/>
      </c>
      <c r="F700" s="22">
        <f>IF($A700="","",MONTH($A700))</f>
        <v/>
      </c>
      <c r="G700" s="22">
        <f>IF($B700="","",IFERROR(INDEX(ContaComp,MATCH($B700,ContaNome,0)),"Conta inválida"))</f>
        <v/>
      </c>
    </row>
    <row r="701" spans="1:7">
      <c r="A701" s="21"/>
      <c r="B701" s="15"/>
      <c r="C701" s="15"/>
      <c r="D701" s="17"/>
      <c r="E701" s="22">
        <f>IF($A701="","",YEAR($A701))</f>
        <v/>
      </c>
      <c r="F701" s="22">
        <f>IF($A701="","",MONTH($A701))</f>
        <v/>
      </c>
      <c r="G701" s="22">
        <f>IF($B701="","",IFERROR(INDEX(ContaComp,MATCH($B701,ContaNome,0)),"Conta inválida"))</f>
        <v/>
      </c>
    </row>
    <row r="702" spans="1:7">
      <c r="A702" s="21"/>
      <c r="B702" s="15"/>
      <c r="C702" s="15"/>
      <c r="D702" s="17"/>
      <c r="E702" s="22">
        <f>IF($A702="","",YEAR($A702))</f>
        <v/>
      </c>
      <c r="F702" s="22">
        <f>IF($A702="","",MONTH($A702))</f>
        <v/>
      </c>
      <c r="G702" s="22">
        <f>IF($B702="","",IFERROR(INDEX(ContaComp,MATCH($B702,ContaNome,0)),"Conta inválida"))</f>
        <v/>
      </c>
    </row>
    <row r="703" spans="1:7">
      <c r="A703" s="21"/>
      <c r="B703" s="15"/>
      <c r="C703" s="15"/>
      <c r="D703" s="17"/>
      <c r="E703" s="22">
        <f>IF($A703="","",YEAR($A703))</f>
        <v/>
      </c>
      <c r="F703" s="22">
        <f>IF($A703="","",MONTH($A703))</f>
        <v/>
      </c>
      <c r="G703" s="22">
        <f>IF($B703="","",IFERROR(INDEX(ContaComp,MATCH($B703,ContaNome,0)),"Conta inválida"))</f>
        <v/>
      </c>
    </row>
    <row r="704" spans="1:7">
      <c r="A704" s="21"/>
      <c r="B704" s="15"/>
      <c r="C704" s="15"/>
      <c r="D704" s="17"/>
      <c r="E704" s="22">
        <f>IF($A704="","",YEAR($A704))</f>
        <v/>
      </c>
      <c r="F704" s="22">
        <f>IF($A704="","",MONTH($A704))</f>
        <v/>
      </c>
      <c r="G704" s="22">
        <f>IF($B704="","",IFERROR(INDEX(ContaComp,MATCH($B704,ContaNome,0)),"Conta inválida"))</f>
        <v/>
      </c>
    </row>
    <row r="705" spans="1:7">
      <c r="A705" s="21"/>
      <c r="B705" s="15"/>
      <c r="C705" s="15"/>
      <c r="D705" s="17"/>
      <c r="E705" s="22">
        <f>IF($A705="","",YEAR($A705))</f>
        <v/>
      </c>
      <c r="F705" s="22">
        <f>IF($A705="","",MONTH($A705))</f>
        <v/>
      </c>
      <c r="G705" s="22">
        <f>IF($B705="","",IFERROR(INDEX(ContaComp,MATCH($B705,ContaNome,0)),"Conta inválida"))</f>
        <v/>
      </c>
    </row>
    <row r="706" spans="1:7">
      <c r="A706" s="21"/>
      <c r="B706" s="15"/>
      <c r="C706" s="15"/>
      <c r="D706" s="17"/>
      <c r="E706" s="22">
        <f>IF($A706="","",YEAR($A706))</f>
        <v/>
      </c>
      <c r="F706" s="22">
        <f>IF($A706="","",MONTH($A706))</f>
        <v/>
      </c>
      <c r="G706" s="22">
        <f>IF($B706="","",IFERROR(INDEX(ContaComp,MATCH($B706,ContaNome,0)),"Conta inválida"))</f>
        <v/>
      </c>
    </row>
    <row r="707" spans="1:7">
      <c r="A707" s="21"/>
      <c r="B707" s="15"/>
      <c r="C707" s="15"/>
      <c r="D707" s="17"/>
      <c r="E707" s="22">
        <f>IF($A707="","",YEAR($A707))</f>
        <v/>
      </c>
      <c r="F707" s="22">
        <f>IF($A707="","",MONTH($A707))</f>
        <v/>
      </c>
      <c r="G707" s="22">
        <f>IF($B707="","",IFERROR(INDEX(ContaComp,MATCH($B707,ContaNome,0)),"Conta inválida"))</f>
        <v/>
      </c>
    </row>
    <row r="708" spans="1:7">
      <c r="A708" s="21"/>
      <c r="B708" s="15"/>
      <c r="C708" s="15"/>
      <c r="D708" s="17"/>
      <c r="E708" s="22">
        <f>IF($A708="","",YEAR($A708))</f>
        <v/>
      </c>
      <c r="F708" s="22">
        <f>IF($A708="","",MONTH($A708))</f>
        <v/>
      </c>
      <c r="G708" s="22">
        <f>IF($B708="","",IFERROR(INDEX(ContaComp,MATCH($B708,ContaNome,0)),"Conta inválida"))</f>
        <v/>
      </c>
    </row>
    <row r="709" spans="1:7">
      <c r="A709" s="21"/>
      <c r="B709" s="15"/>
      <c r="C709" s="15"/>
      <c r="D709" s="17"/>
      <c r="E709" s="22">
        <f>IF($A709="","",YEAR($A709))</f>
        <v/>
      </c>
      <c r="F709" s="22">
        <f>IF($A709="","",MONTH($A709))</f>
        <v/>
      </c>
      <c r="G709" s="22">
        <f>IF($B709="","",IFERROR(INDEX(ContaComp,MATCH($B709,ContaNome,0)),"Conta inválida"))</f>
        <v/>
      </c>
    </row>
    <row r="710" spans="1:7">
      <c r="A710" s="21"/>
      <c r="B710" s="15"/>
      <c r="C710" s="15"/>
      <c r="D710" s="17"/>
      <c r="E710" s="22">
        <f>IF($A710="","",YEAR($A710))</f>
        <v/>
      </c>
      <c r="F710" s="22">
        <f>IF($A710="","",MONTH($A710))</f>
        <v/>
      </c>
      <c r="G710" s="22">
        <f>IF($B710="","",IFERROR(INDEX(ContaComp,MATCH($B710,ContaNome,0)),"Conta inválida"))</f>
        <v/>
      </c>
    </row>
    <row r="711" spans="1:7">
      <c r="A711" s="21"/>
      <c r="B711" s="15"/>
      <c r="C711" s="15"/>
      <c r="D711" s="17"/>
      <c r="E711" s="22">
        <f>IF($A711="","",YEAR($A711))</f>
        <v/>
      </c>
      <c r="F711" s="22">
        <f>IF($A711="","",MONTH($A711))</f>
        <v/>
      </c>
      <c r="G711" s="22">
        <f>IF($B711="","",IFERROR(INDEX(ContaComp,MATCH($B711,ContaNome,0)),"Conta inválida"))</f>
        <v/>
      </c>
    </row>
    <row r="712" spans="1:7">
      <c r="A712" s="21"/>
      <c r="B712" s="15"/>
      <c r="C712" s="15"/>
      <c r="D712" s="17"/>
      <c r="E712" s="22">
        <f>IF($A712="","",YEAR($A712))</f>
        <v/>
      </c>
      <c r="F712" s="22">
        <f>IF($A712="","",MONTH($A712))</f>
        <v/>
      </c>
      <c r="G712" s="22">
        <f>IF($B712="","",IFERROR(INDEX(ContaComp,MATCH($B712,ContaNome,0)),"Conta inválida"))</f>
        <v/>
      </c>
    </row>
    <row r="713" spans="1:7">
      <c r="A713" s="21"/>
      <c r="B713" s="15"/>
      <c r="C713" s="15"/>
      <c r="D713" s="17"/>
      <c r="E713" s="22">
        <f>IF($A713="","",YEAR($A713))</f>
        <v/>
      </c>
      <c r="F713" s="22">
        <f>IF($A713="","",MONTH($A713))</f>
        <v/>
      </c>
      <c r="G713" s="22">
        <f>IF($B713="","",IFERROR(INDEX(ContaComp,MATCH($B713,ContaNome,0)),"Conta inválida"))</f>
        <v/>
      </c>
    </row>
    <row r="714" spans="1:7">
      <c r="A714" s="21"/>
      <c r="B714" s="15"/>
      <c r="C714" s="15"/>
      <c r="D714" s="17"/>
      <c r="E714" s="22">
        <f>IF($A714="","",YEAR($A714))</f>
        <v/>
      </c>
      <c r="F714" s="22">
        <f>IF($A714="","",MONTH($A714))</f>
        <v/>
      </c>
      <c r="G714" s="22">
        <f>IF($B714="","",IFERROR(INDEX(ContaComp,MATCH($B714,ContaNome,0)),"Conta inválida"))</f>
        <v/>
      </c>
    </row>
    <row r="715" spans="1:7">
      <c r="A715" s="21"/>
      <c r="B715" s="15"/>
      <c r="C715" s="15"/>
      <c r="D715" s="17"/>
      <c r="E715" s="22">
        <f>IF($A715="","",YEAR($A715))</f>
        <v/>
      </c>
      <c r="F715" s="22">
        <f>IF($A715="","",MONTH($A715))</f>
        <v/>
      </c>
      <c r="G715" s="22">
        <f>IF($B715="","",IFERROR(INDEX(ContaComp,MATCH($B715,ContaNome,0)),"Conta inválida"))</f>
        <v/>
      </c>
    </row>
    <row r="716" spans="1:7">
      <c r="A716" s="21"/>
      <c r="B716" s="15"/>
      <c r="C716" s="15"/>
      <c r="D716" s="17"/>
      <c r="E716" s="22">
        <f>IF($A716="","",YEAR($A716))</f>
        <v/>
      </c>
      <c r="F716" s="22">
        <f>IF($A716="","",MONTH($A716))</f>
        <v/>
      </c>
      <c r="G716" s="22">
        <f>IF($B716="","",IFERROR(INDEX(ContaComp,MATCH($B716,ContaNome,0)),"Conta inválida"))</f>
        <v/>
      </c>
    </row>
    <row r="717" spans="1:7">
      <c r="A717" s="21"/>
      <c r="B717" s="15"/>
      <c r="C717" s="15"/>
      <c r="D717" s="17"/>
      <c r="E717" s="22">
        <f>IF($A717="","",YEAR($A717))</f>
        <v/>
      </c>
      <c r="F717" s="22">
        <f>IF($A717="","",MONTH($A717))</f>
        <v/>
      </c>
      <c r="G717" s="22">
        <f>IF($B717="","",IFERROR(INDEX(ContaComp,MATCH($B717,ContaNome,0)),"Conta inválida"))</f>
        <v/>
      </c>
    </row>
    <row r="718" spans="1:7">
      <c r="A718" s="21"/>
      <c r="B718" s="15"/>
      <c r="C718" s="15"/>
      <c r="D718" s="17"/>
      <c r="E718" s="22">
        <f>IF($A718="","",YEAR($A718))</f>
        <v/>
      </c>
      <c r="F718" s="22">
        <f>IF($A718="","",MONTH($A718))</f>
        <v/>
      </c>
      <c r="G718" s="22">
        <f>IF($B718="","",IFERROR(INDEX(ContaComp,MATCH($B718,ContaNome,0)),"Conta inválida"))</f>
        <v/>
      </c>
    </row>
    <row r="719" spans="1:7">
      <c r="A719" s="21"/>
      <c r="B719" s="15"/>
      <c r="C719" s="15"/>
      <c r="D719" s="17"/>
      <c r="E719" s="22">
        <f>IF($A719="","",YEAR($A719))</f>
        <v/>
      </c>
      <c r="F719" s="22">
        <f>IF($A719="","",MONTH($A719))</f>
        <v/>
      </c>
      <c r="G719" s="22">
        <f>IF($B719="","",IFERROR(INDEX(ContaComp,MATCH($B719,ContaNome,0)),"Conta inválida"))</f>
        <v/>
      </c>
    </row>
    <row r="720" spans="1:7">
      <c r="A720" s="21"/>
      <c r="B720" s="15"/>
      <c r="C720" s="15"/>
      <c r="D720" s="17"/>
      <c r="E720" s="22">
        <f>IF($A720="","",YEAR($A720))</f>
        <v/>
      </c>
      <c r="F720" s="22">
        <f>IF($A720="","",MONTH($A720))</f>
        <v/>
      </c>
      <c r="G720" s="22">
        <f>IF($B720="","",IFERROR(INDEX(ContaComp,MATCH($B720,ContaNome,0)),"Conta inválida"))</f>
        <v/>
      </c>
    </row>
    <row r="721" spans="1:7">
      <c r="A721" s="21"/>
      <c r="B721" s="15"/>
      <c r="C721" s="15"/>
      <c r="D721" s="17"/>
      <c r="E721" s="22">
        <f>IF($A721="","",YEAR($A721))</f>
        <v/>
      </c>
      <c r="F721" s="22">
        <f>IF($A721="","",MONTH($A721))</f>
        <v/>
      </c>
      <c r="G721" s="22">
        <f>IF($B721="","",IFERROR(INDEX(ContaComp,MATCH($B721,ContaNome,0)),"Conta inválida"))</f>
        <v/>
      </c>
    </row>
    <row r="722" spans="1:7">
      <c r="A722" s="21"/>
      <c r="B722" s="15"/>
      <c r="C722" s="15"/>
      <c r="D722" s="17"/>
      <c r="E722" s="22">
        <f>IF($A722="","",YEAR($A722))</f>
        <v/>
      </c>
      <c r="F722" s="22">
        <f>IF($A722="","",MONTH($A722))</f>
        <v/>
      </c>
      <c r="G722" s="22">
        <f>IF($B722="","",IFERROR(INDEX(ContaComp,MATCH($B722,ContaNome,0)),"Conta inválida"))</f>
        <v/>
      </c>
    </row>
    <row r="723" spans="1:7">
      <c r="A723" s="21"/>
      <c r="B723" s="15"/>
      <c r="C723" s="15"/>
      <c r="D723" s="17"/>
      <c r="E723" s="22">
        <f>IF($A723="","",YEAR($A723))</f>
        <v/>
      </c>
      <c r="F723" s="22">
        <f>IF($A723="","",MONTH($A723))</f>
        <v/>
      </c>
      <c r="G723" s="22">
        <f>IF($B723="","",IFERROR(INDEX(ContaComp,MATCH($B723,ContaNome,0)),"Conta inválida"))</f>
        <v/>
      </c>
    </row>
    <row r="724" spans="1:7">
      <c r="A724" s="21"/>
      <c r="B724" s="15"/>
      <c r="C724" s="15"/>
      <c r="D724" s="17"/>
      <c r="E724" s="22">
        <f>IF($A724="","",YEAR($A724))</f>
        <v/>
      </c>
      <c r="F724" s="22">
        <f>IF($A724="","",MONTH($A724))</f>
        <v/>
      </c>
      <c r="G724" s="22">
        <f>IF($B724="","",IFERROR(INDEX(ContaComp,MATCH($B724,ContaNome,0)),"Conta inválida"))</f>
        <v/>
      </c>
    </row>
    <row r="725" spans="1:7">
      <c r="A725" s="21"/>
      <c r="B725" s="15"/>
      <c r="C725" s="15"/>
      <c r="D725" s="17"/>
      <c r="E725" s="22">
        <f>IF($A725="","",YEAR($A725))</f>
        <v/>
      </c>
      <c r="F725" s="22">
        <f>IF($A725="","",MONTH($A725))</f>
        <v/>
      </c>
      <c r="G725" s="22">
        <f>IF($B725="","",IFERROR(INDEX(ContaComp,MATCH($B725,ContaNome,0)),"Conta inválida"))</f>
        <v/>
      </c>
    </row>
    <row r="726" spans="1:7">
      <c r="A726" s="21"/>
      <c r="B726" s="15"/>
      <c r="C726" s="15"/>
      <c r="D726" s="17"/>
      <c r="E726" s="22">
        <f>IF($A726="","",YEAR($A726))</f>
        <v/>
      </c>
      <c r="F726" s="22">
        <f>IF($A726="","",MONTH($A726))</f>
        <v/>
      </c>
      <c r="G726" s="22">
        <f>IF($B726="","",IFERROR(INDEX(ContaComp,MATCH($B726,ContaNome,0)),"Conta inválida"))</f>
        <v/>
      </c>
    </row>
    <row r="727" spans="1:7">
      <c r="A727" s="21"/>
      <c r="B727" s="15"/>
      <c r="C727" s="15"/>
      <c r="D727" s="17"/>
      <c r="E727" s="22">
        <f>IF($A727="","",YEAR($A727))</f>
        <v/>
      </c>
      <c r="F727" s="22">
        <f>IF($A727="","",MONTH($A727))</f>
        <v/>
      </c>
      <c r="G727" s="22">
        <f>IF($B727="","",IFERROR(INDEX(ContaComp,MATCH($B727,ContaNome,0)),"Conta inválida"))</f>
        <v/>
      </c>
    </row>
    <row r="728" spans="1:7">
      <c r="A728" s="21"/>
      <c r="B728" s="15"/>
      <c r="C728" s="15"/>
      <c r="D728" s="17"/>
      <c r="E728" s="22">
        <f>IF($A728="","",YEAR($A728))</f>
        <v/>
      </c>
      <c r="F728" s="22">
        <f>IF($A728="","",MONTH($A728))</f>
        <v/>
      </c>
      <c r="G728" s="22">
        <f>IF($B728="","",IFERROR(INDEX(ContaComp,MATCH($B728,ContaNome,0)),"Conta inválida"))</f>
        <v/>
      </c>
    </row>
    <row r="729" spans="1:7">
      <c r="A729" s="21"/>
      <c r="B729" s="15"/>
      <c r="C729" s="15"/>
      <c r="D729" s="17"/>
      <c r="E729" s="22">
        <f>IF($A729="","",YEAR($A729))</f>
        <v/>
      </c>
      <c r="F729" s="22">
        <f>IF($A729="","",MONTH($A729))</f>
        <v/>
      </c>
      <c r="G729" s="22">
        <f>IF($B729="","",IFERROR(INDEX(ContaComp,MATCH($B729,ContaNome,0)),"Conta inválida"))</f>
        <v/>
      </c>
    </row>
    <row r="730" spans="1:7">
      <c r="A730" s="21"/>
      <c r="B730" s="15"/>
      <c r="C730" s="15"/>
      <c r="D730" s="17"/>
      <c r="E730" s="22">
        <f>IF($A730="","",YEAR($A730))</f>
        <v/>
      </c>
      <c r="F730" s="22">
        <f>IF($A730="","",MONTH($A730))</f>
        <v/>
      </c>
      <c r="G730" s="22">
        <f>IF($B730="","",IFERROR(INDEX(ContaComp,MATCH($B730,ContaNome,0)),"Conta inválida"))</f>
        <v/>
      </c>
    </row>
    <row r="731" spans="1:7">
      <c r="A731" s="21"/>
      <c r="B731" s="15"/>
      <c r="C731" s="15"/>
      <c r="D731" s="17"/>
      <c r="E731" s="22">
        <f>IF($A731="","",YEAR($A731))</f>
        <v/>
      </c>
      <c r="F731" s="22">
        <f>IF($A731="","",MONTH($A731))</f>
        <v/>
      </c>
      <c r="G731" s="22">
        <f>IF($B731="","",IFERROR(INDEX(ContaComp,MATCH($B731,ContaNome,0)),"Conta inválida"))</f>
        <v/>
      </c>
    </row>
    <row r="732" spans="1:7">
      <c r="A732" s="21"/>
      <c r="B732" s="15"/>
      <c r="C732" s="15"/>
      <c r="D732" s="17"/>
      <c r="E732" s="22">
        <f>IF($A732="","",YEAR($A732))</f>
        <v/>
      </c>
      <c r="F732" s="22">
        <f>IF($A732="","",MONTH($A732))</f>
        <v/>
      </c>
      <c r="G732" s="22">
        <f>IF($B732="","",IFERROR(INDEX(ContaComp,MATCH($B732,ContaNome,0)),"Conta inválida"))</f>
        <v/>
      </c>
    </row>
    <row r="733" spans="1:7">
      <c r="A733" s="21"/>
      <c r="B733" s="15"/>
      <c r="C733" s="15"/>
      <c r="D733" s="17"/>
      <c r="E733" s="22">
        <f>IF($A733="","",YEAR($A733))</f>
        <v/>
      </c>
      <c r="F733" s="22">
        <f>IF($A733="","",MONTH($A733))</f>
        <v/>
      </c>
      <c r="G733" s="22">
        <f>IF($B733="","",IFERROR(INDEX(ContaComp,MATCH($B733,ContaNome,0)),"Conta inválida"))</f>
        <v/>
      </c>
    </row>
    <row r="734" spans="1:7">
      <c r="A734" s="21"/>
      <c r="B734" s="15"/>
      <c r="C734" s="15"/>
      <c r="D734" s="17"/>
      <c r="E734" s="22">
        <f>IF($A734="","",YEAR($A734))</f>
        <v/>
      </c>
      <c r="F734" s="22">
        <f>IF($A734="","",MONTH($A734))</f>
        <v/>
      </c>
      <c r="G734" s="22">
        <f>IF($B734="","",IFERROR(INDEX(ContaComp,MATCH($B734,ContaNome,0)),"Conta inválida"))</f>
        <v/>
      </c>
    </row>
    <row r="735" spans="1:7">
      <c r="A735" s="21"/>
      <c r="B735" s="15"/>
      <c r="C735" s="15"/>
      <c r="D735" s="17"/>
      <c r="E735" s="22">
        <f>IF($A735="","",YEAR($A735))</f>
        <v/>
      </c>
      <c r="F735" s="22">
        <f>IF($A735="","",MONTH($A735))</f>
        <v/>
      </c>
      <c r="G735" s="22">
        <f>IF($B735="","",IFERROR(INDEX(ContaComp,MATCH($B735,ContaNome,0)),"Conta inválida"))</f>
        <v/>
      </c>
    </row>
    <row r="736" spans="1:7">
      <c r="A736" s="21"/>
      <c r="B736" s="15"/>
      <c r="C736" s="15"/>
      <c r="D736" s="17"/>
      <c r="E736" s="22">
        <f>IF($A736="","",YEAR($A736))</f>
        <v/>
      </c>
      <c r="F736" s="22">
        <f>IF($A736="","",MONTH($A736))</f>
        <v/>
      </c>
      <c r="G736" s="22">
        <f>IF($B736="","",IFERROR(INDEX(ContaComp,MATCH($B736,ContaNome,0)),"Conta inválida"))</f>
        <v/>
      </c>
    </row>
    <row r="737" spans="1:7">
      <c r="A737" s="21"/>
      <c r="B737" s="15"/>
      <c r="C737" s="15"/>
      <c r="D737" s="17"/>
      <c r="E737" s="22">
        <f>IF($A737="","",YEAR($A737))</f>
        <v/>
      </c>
      <c r="F737" s="22">
        <f>IF($A737="","",MONTH($A737))</f>
        <v/>
      </c>
      <c r="G737" s="22">
        <f>IF($B737="","",IFERROR(INDEX(ContaComp,MATCH($B737,ContaNome,0)),"Conta inválida"))</f>
        <v/>
      </c>
    </row>
    <row r="738" spans="1:7">
      <c r="A738" s="21"/>
      <c r="B738" s="15"/>
      <c r="C738" s="15"/>
      <c r="D738" s="17"/>
      <c r="E738" s="22">
        <f>IF($A738="","",YEAR($A738))</f>
        <v/>
      </c>
      <c r="F738" s="22">
        <f>IF($A738="","",MONTH($A738))</f>
        <v/>
      </c>
      <c r="G738" s="22">
        <f>IF($B738="","",IFERROR(INDEX(ContaComp,MATCH($B738,ContaNome,0)),"Conta inválida"))</f>
        <v/>
      </c>
    </row>
    <row r="739" spans="1:7">
      <c r="A739" s="21"/>
      <c r="B739" s="15"/>
      <c r="C739" s="15"/>
      <c r="D739" s="17"/>
      <c r="E739" s="22">
        <f>IF($A739="","",YEAR($A739))</f>
        <v/>
      </c>
      <c r="F739" s="22">
        <f>IF($A739="","",MONTH($A739))</f>
        <v/>
      </c>
      <c r="G739" s="22">
        <f>IF($B739="","",IFERROR(INDEX(ContaComp,MATCH($B739,ContaNome,0)),"Conta inválida"))</f>
        <v/>
      </c>
    </row>
    <row r="740" spans="1:7">
      <c r="A740" s="21"/>
      <c r="B740" s="15"/>
      <c r="C740" s="15"/>
      <c r="D740" s="17"/>
      <c r="E740" s="22">
        <f>IF($A740="","",YEAR($A740))</f>
        <v/>
      </c>
      <c r="F740" s="22">
        <f>IF($A740="","",MONTH($A740))</f>
        <v/>
      </c>
      <c r="G740" s="22">
        <f>IF($B740="","",IFERROR(INDEX(ContaComp,MATCH($B740,ContaNome,0)),"Conta inválida"))</f>
        <v/>
      </c>
    </row>
    <row r="741" spans="1:7">
      <c r="A741" s="21"/>
      <c r="B741" s="15"/>
      <c r="C741" s="15"/>
      <c r="D741" s="17"/>
      <c r="E741" s="22">
        <f>IF($A741="","",YEAR($A741))</f>
        <v/>
      </c>
      <c r="F741" s="22">
        <f>IF($A741="","",MONTH($A741))</f>
        <v/>
      </c>
      <c r="G741" s="22">
        <f>IF($B741="","",IFERROR(INDEX(ContaComp,MATCH($B741,ContaNome,0)),"Conta inválida"))</f>
        <v/>
      </c>
    </row>
    <row r="742" spans="1:7">
      <c r="A742" s="21"/>
      <c r="B742" s="15"/>
      <c r="C742" s="15"/>
      <c r="D742" s="17"/>
      <c r="E742" s="22">
        <f>IF($A742="","",YEAR($A742))</f>
        <v/>
      </c>
      <c r="F742" s="22">
        <f>IF($A742="","",MONTH($A742))</f>
        <v/>
      </c>
      <c r="G742" s="22">
        <f>IF($B742="","",IFERROR(INDEX(ContaComp,MATCH($B742,ContaNome,0)),"Conta inválida"))</f>
        <v/>
      </c>
    </row>
    <row r="743" spans="1:7">
      <c r="A743" s="21"/>
      <c r="B743" s="15"/>
      <c r="C743" s="15"/>
      <c r="D743" s="17"/>
      <c r="E743" s="22">
        <f>IF($A743="","",YEAR($A743))</f>
        <v/>
      </c>
      <c r="F743" s="22">
        <f>IF($A743="","",MONTH($A743))</f>
        <v/>
      </c>
      <c r="G743" s="22">
        <f>IF($B743="","",IFERROR(INDEX(ContaComp,MATCH($B743,ContaNome,0)),"Conta inválida"))</f>
        <v/>
      </c>
    </row>
    <row r="744" spans="1:7">
      <c r="A744" s="21"/>
      <c r="B744" s="15"/>
      <c r="C744" s="15"/>
      <c r="D744" s="17"/>
      <c r="E744" s="22">
        <f>IF($A744="","",YEAR($A744))</f>
        <v/>
      </c>
      <c r="F744" s="22">
        <f>IF($A744="","",MONTH($A744))</f>
        <v/>
      </c>
      <c r="G744" s="22">
        <f>IF($B744="","",IFERROR(INDEX(ContaComp,MATCH($B744,ContaNome,0)),"Conta inválida"))</f>
        <v/>
      </c>
    </row>
    <row r="745" spans="1:7">
      <c r="A745" s="21"/>
      <c r="B745" s="15"/>
      <c r="C745" s="15"/>
      <c r="D745" s="17"/>
      <c r="E745" s="22">
        <f>IF($A745="","",YEAR($A745))</f>
        <v/>
      </c>
      <c r="F745" s="22">
        <f>IF($A745="","",MONTH($A745))</f>
        <v/>
      </c>
      <c r="G745" s="22">
        <f>IF($B745="","",IFERROR(INDEX(ContaComp,MATCH($B745,ContaNome,0)),"Conta inválida"))</f>
        <v/>
      </c>
    </row>
    <row r="746" spans="1:7">
      <c r="A746" s="21"/>
      <c r="B746" s="15"/>
      <c r="C746" s="15"/>
      <c r="D746" s="17"/>
      <c r="E746" s="22">
        <f>IF($A746="","",YEAR($A746))</f>
        <v/>
      </c>
      <c r="F746" s="22">
        <f>IF($A746="","",MONTH($A746))</f>
        <v/>
      </c>
      <c r="G746" s="22">
        <f>IF($B746="","",IFERROR(INDEX(ContaComp,MATCH($B746,ContaNome,0)),"Conta inválida"))</f>
        <v/>
      </c>
    </row>
    <row r="747" spans="1:7">
      <c r="A747" s="21"/>
      <c r="B747" s="15"/>
      <c r="C747" s="15"/>
      <c r="D747" s="17"/>
      <c r="E747" s="22">
        <f>IF($A747="","",YEAR($A747))</f>
        <v/>
      </c>
      <c r="F747" s="22">
        <f>IF($A747="","",MONTH($A747))</f>
        <v/>
      </c>
      <c r="G747" s="22">
        <f>IF($B747="","",IFERROR(INDEX(ContaComp,MATCH($B747,ContaNome,0)),"Conta inválida"))</f>
        <v/>
      </c>
    </row>
    <row r="748" spans="1:7">
      <c r="A748" s="21"/>
      <c r="B748" s="15"/>
      <c r="C748" s="15"/>
      <c r="D748" s="17"/>
      <c r="E748" s="22">
        <f>IF($A748="","",YEAR($A748))</f>
        <v/>
      </c>
      <c r="F748" s="22">
        <f>IF($A748="","",MONTH($A748))</f>
        <v/>
      </c>
      <c r="G748" s="22">
        <f>IF($B748="","",IFERROR(INDEX(ContaComp,MATCH($B748,ContaNome,0)),"Conta inválida"))</f>
        <v/>
      </c>
    </row>
    <row r="749" spans="1:7">
      <c r="A749" s="21"/>
      <c r="B749" s="15"/>
      <c r="C749" s="15"/>
      <c r="D749" s="17"/>
      <c r="E749" s="22">
        <f>IF($A749="","",YEAR($A749))</f>
        <v/>
      </c>
      <c r="F749" s="22">
        <f>IF($A749="","",MONTH($A749))</f>
        <v/>
      </c>
      <c r="G749" s="22">
        <f>IF($B749="","",IFERROR(INDEX(ContaComp,MATCH($B749,ContaNome,0)),"Conta inválida"))</f>
        <v/>
      </c>
    </row>
    <row r="750" spans="1:7">
      <c r="A750" s="21"/>
      <c r="B750" s="15"/>
      <c r="C750" s="15"/>
      <c r="D750" s="17"/>
      <c r="E750" s="22">
        <f>IF($A750="","",YEAR($A750))</f>
        <v/>
      </c>
      <c r="F750" s="22">
        <f>IF($A750="","",MONTH($A750))</f>
        <v/>
      </c>
      <c r="G750" s="22">
        <f>IF($B750="","",IFERROR(INDEX(ContaComp,MATCH($B750,ContaNome,0)),"Conta inválida"))</f>
        <v/>
      </c>
    </row>
    <row r="751" spans="1:7">
      <c r="A751" s="21"/>
      <c r="B751" s="15"/>
      <c r="C751" s="15"/>
      <c r="D751" s="17"/>
      <c r="E751" s="22">
        <f>IF($A751="","",YEAR($A751))</f>
        <v/>
      </c>
      <c r="F751" s="22">
        <f>IF($A751="","",MONTH($A751))</f>
        <v/>
      </c>
      <c r="G751" s="22">
        <f>IF($B751="","",IFERROR(INDEX(ContaComp,MATCH($B751,ContaNome,0)),"Conta inválida"))</f>
        <v/>
      </c>
    </row>
    <row r="752" spans="1:7">
      <c r="A752" s="21"/>
      <c r="B752" s="15"/>
      <c r="C752" s="15"/>
      <c r="D752" s="17"/>
      <c r="E752" s="22">
        <f>IF($A752="","",YEAR($A752))</f>
        <v/>
      </c>
      <c r="F752" s="22">
        <f>IF($A752="","",MONTH($A752))</f>
        <v/>
      </c>
      <c r="G752" s="22">
        <f>IF($B752="","",IFERROR(INDEX(ContaComp,MATCH($B752,ContaNome,0)),"Conta inválida"))</f>
        <v/>
      </c>
    </row>
    <row r="753" spans="1:7">
      <c r="A753" s="21"/>
      <c r="B753" s="15"/>
      <c r="C753" s="15"/>
      <c r="D753" s="17"/>
      <c r="E753" s="22">
        <f>IF($A753="","",YEAR($A753))</f>
        <v/>
      </c>
      <c r="F753" s="22">
        <f>IF($A753="","",MONTH($A753))</f>
        <v/>
      </c>
      <c r="G753" s="22">
        <f>IF($B753="","",IFERROR(INDEX(ContaComp,MATCH($B753,ContaNome,0)),"Conta inválida"))</f>
        <v/>
      </c>
    </row>
    <row r="754" spans="1:7">
      <c r="A754" s="21"/>
      <c r="B754" s="15"/>
      <c r="C754" s="15"/>
      <c r="D754" s="17"/>
      <c r="E754" s="22">
        <f>IF($A754="","",YEAR($A754))</f>
        <v/>
      </c>
      <c r="F754" s="22">
        <f>IF($A754="","",MONTH($A754))</f>
        <v/>
      </c>
      <c r="G754" s="22">
        <f>IF($B754="","",IFERROR(INDEX(ContaComp,MATCH($B754,ContaNome,0)),"Conta inválida"))</f>
        <v/>
      </c>
    </row>
    <row r="755" spans="1:7">
      <c r="A755" s="21"/>
      <c r="B755" s="15"/>
      <c r="C755" s="15"/>
      <c r="D755" s="17"/>
      <c r="E755" s="22">
        <f>IF($A755="","",YEAR($A755))</f>
        <v/>
      </c>
      <c r="F755" s="22">
        <f>IF($A755="","",MONTH($A755))</f>
        <v/>
      </c>
      <c r="G755" s="22">
        <f>IF($B755="","",IFERROR(INDEX(ContaComp,MATCH($B755,ContaNome,0)),"Conta inválida"))</f>
        <v/>
      </c>
    </row>
    <row r="756" spans="1:7">
      <c r="A756" s="21"/>
      <c r="B756" s="15"/>
      <c r="C756" s="15"/>
      <c r="D756" s="17"/>
      <c r="E756" s="22">
        <f>IF($A756="","",YEAR($A756))</f>
        <v/>
      </c>
      <c r="F756" s="22">
        <f>IF($A756="","",MONTH($A756))</f>
        <v/>
      </c>
      <c r="G756" s="22">
        <f>IF($B756="","",IFERROR(INDEX(ContaComp,MATCH($B756,ContaNome,0)),"Conta inválida"))</f>
        <v/>
      </c>
    </row>
    <row r="757" spans="1:7">
      <c r="A757" s="21"/>
      <c r="B757" s="15"/>
      <c r="C757" s="15"/>
      <c r="D757" s="17"/>
      <c r="E757" s="22">
        <f>IF($A757="","",YEAR($A757))</f>
        <v/>
      </c>
      <c r="F757" s="22">
        <f>IF($A757="","",MONTH($A757))</f>
        <v/>
      </c>
      <c r="G757" s="22">
        <f>IF($B757="","",IFERROR(INDEX(ContaComp,MATCH($B757,ContaNome,0)),"Conta inválida"))</f>
        <v/>
      </c>
    </row>
    <row r="758" spans="1:7">
      <c r="A758" s="21"/>
      <c r="B758" s="15"/>
      <c r="C758" s="15"/>
      <c r="D758" s="17"/>
      <c r="E758" s="22">
        <f>IF($A758="","",YEAR($A758))</f>
        <v/>
      </c>
      <c r="F758" s="22">
        <f>IF($A758="","",MONTH($A758))</f>
        <v/>
      </c>
      <c r="G758" s="22">
        <f>IF($B758="","",IFERROR(INDEX(ContaComp,MATCH($B758,ContaNome,0)),"Conta inválida"))</f>
        <v/>
      </c>
    </row>
    <row r="759" spans="1:7">
      <c r="A759" s="21"/>
      <c r="B759" s="15"/>
      <c r="C759" s="15"/>
      <c r="D759" s="17"/>
      <c r="E759" s="22">
        <f>IF($A759="","",YEAR($A759))</f>
        <v/>
      </c>
      <c r="F759" s="22">
        <f>IF($A759="","",MONTH($A759))</f>
        <v/>
      </c>
      <c r="G759" s="22">
        <f>IF($B759="","",IFERROR(INDEX(ContaComp,MATCH($B759,ContaNome,0)),"Conta inválida"))</f>
        <v/>
      </c>
    </row>
    <row r="760" spans="1:7">
      <c r="A760" s="21"/>
      <c r="B760" s="15"/>
      <c r="C760" s="15"/>
      <c r="D760" s="17"/>
      <c r="E760" s="22">
        <f>IF($A760="","",YEAR($A760))</f>
        <v/>
      </c>
      <c r="F760" s="22">
        <f>IF($A760="","",MONTH($A760))</f>
        <v/>
      </c>
      <c r="G760" s="22">
        <f>IF($B760="","",IFERROR(INDEX(ContaComp,MATCH($B760,ContaNome,0)),"Conta inválida"))</f>
        <v/>
      </c>
    </row>
    <row r="761" spans="1:7">
      <c r="A761" s="21"/>
      <c r="B761" s="15"/>
      <c r="C761" s="15"/>
      <c r="D761" s="17"/>
      <c r="E761" s="22">
        <f>IF($A761="","",YEAR($A761))</f>
        <v/>
      </c>
      <c r="F761" s="22">
        <f>IF($A761="","",MONTH($A761))</f>
        <v/>
      </c>
      <c r="G761" s="22">
        <f>IF($B761="","",IFERROR(INDEX(ContaComp,MATCH($B761,ContaNome,0)),"Conta inválida"))</f>
        <v/>
      </c>
    </row>
    <row r="762" spans="1:7">
      <c r="A762" s="21"/>
      <c r="B762" s="15"/>
      <c r="C762" s="15"/>
      <c r="D762" s="17"/>
      <c r="E762" s="22">
        <f>IF($A762="","",YEAR($A762))</f>
        <v/>
      </c>
      <c r="F762" s="22">
        <f>IF($A762="","",MONTH($A762))</f>
        <v/>
      </c>
      <c r="G762" s="22">
        <f>IF($B762="","",IFERROR(INDEX(ContaComp,MATCH($B762,ContaNome,0)),"Conta inválida"))</f>
        <v/>
      </c>
    </row>
    <row r="763" spans="1:7">
      <c r="A763" s="21"/>
      <c r="B763" s="15"/>
      <c r="C763" s="15"/>
      <c r="D763" s="17"/>
      <c r="E763" s="22">
        <f>IF($A763="","",YEAR($A763))</f>
        <v/>
      </c>
      <c r="F763" s="22">
        <f>IF($A763="","",MONTH($A763))</f>
        <v/>
      </c>
      <c r="G763" s="22">
        <f>IF($B763="","",IFERROR(INDEX(ContaComp,MATCH($B763,ContaNome,0)),"Conta inválida"))</f>
        <v/>
      </c>
    </row>
    <row r="764" spans="1:7">
      <c r="A764" s="21"/>
      <c r="B764" s="15"/>
      <c r="C764" s="15"/>
      <c r="D764" s="17"/>
      <c r="E764" s="22">
        <f>IF($A764="","",YEAR($A764))</f>
        <v/>
      </c>
      <c r="F764" s="22">
        <f>IF($A764="","",MONTH($A764))</f>
        <v/>
      </c>
      <c r="G764" s="22">
        <f>IF($B764="","",IFERROR(INDEX(ContaComp,MATCH($B764,ContaNome,0)),"Conta inválida"))</f>
        <v/>
      </c>
    </row>
    <row r="765" spans="1:7">
      <c r="A765" s="21"/>
      <c r="B765" s="15"/>
      <c r="C765" s="15"/>
      <c r="D765" s="17"/>
      <c r="E765" s="22">
        <f>IF($A765="","",YEAR($A765))</f>
        <v/>
      </c>
      <c r="F765" s="22">
        <f>IF($A765="","",MONTH($A765))</f>
        <v/>
      </c>
      <c r="G765" s="22">
        <f>IF($B765="","",IFERROR(INDEX(ContaComp,MATCH($B765,ContaNome,0)),"Conta inválida"))</f>
        <v/>
      </c>
    </row>
    <row r="766" spans="1:7">
      <c r="A766" s="21"/>
      <c r="B766" s="15"/>
      <c r="C766" s="15"/>
      <c r="D766" s="17"/>
      <c r="E766" s="22">
        <f>IF($A766="","",YEAR($A766))</f>
        <v/>
      </c>
      <c r="F766" s="22">
        <f>IF($A766="","",MONTH($A766))</f>
        <v/>
      </c>
      <c r="G766" s="22">
        <f>IF($B766="","",IFERROR(INDEX(ContaComp,MATCH($B766,ContaNome,0)),"Conta inválida"))</f>
        <v/>
      </c>
    </row>
    <row r="767" spans="1:7">
      <c r="A767" s="21"/>
      <c r="B767" s="15"/>
      <c r="C767" s="15"/>
      <c r="D767" s="17"/>
      <c r="E767" s="22">
        <f>IF($A767="","",YEAR($A767))</f>
        <v/>
      </c>
      <c r="F767" s="22">
        <f>IF($A767="","",MONTH($A767))</f>
        <v/>
      </c>
      <c r="G767" s="22">
        <f>IF($B767="","",IFERROR(INDEX(ContaComp,MATCH($B767,ContaNome,0)),"Conta inválida"))</f>
        <v/>
      </c>
    </row>
    <row r="768" spans="1:7">
      <c r="A768" s="21"/>
      <c r="B768" s="15"/>
      <c r="C768" s="15"/>
      <c r="D768" s="17"/>
      <c r="E768" s="22">
        <f>IF($A768="","",YEAR($A768))</f>
        <v/>
      </c>
      <c r="F768" s="22">
        <f>IF($A768="","",MONTH($A768))</f>
        <v/>
      </c>
      <c r="G768" s="22">
        <f>IF($B768="","",IFERROR(INDEX(ContaComp,MATCH($B768,ContaNome,0)),"Conta inválida"))</f>
        <v/>
      </c>
    </row>
    <row r="769" spans="1:7">
      <c r="A769" s="21"/>
      <c r="B769" s="15"/>
      <c r="C769" s="15"/>
      <c r="D769" s="17"/>
      <c r="E769" s="22">
        <f>IF($A769="","",YEAR($A769))</f>
        <v/>
      </c>
      <c r="F769" s="22">
        <f>IF($A769="","",MONTH($A769))</f>
        <v/>
      </c>
      <c r="G769" s="22">
        <f>IF($B769="","",IFERROR(INDEX(ContaComp,MATCH($B769,ContaNome,0)),"Conta inválida"))</f>
        <v/>
      </c>
    </row>
    <row r="770" spans="1:7">
      <c r="A770" s="21"/>
      <c r="B770" s="15"/>
      <c r="C770" s="15"/>
      <c r="D770" s="17"/>
      <c r="E770" s="22">
        <f>IF($A770="","",YEAR($A770))</f>
        <v/>
      </c>
      <c r="F770" s="22">
        <f>IF($A770="","",MONTH($A770))</f>
        <v/>
      </c>
      <c r="G770" s="22">
        <f>IF($B770="","",IFERROR(INDEX(ContaComp,MATCH($B770,ContaNome,0)),"Conta inválida"))</f>
        <v/>
      </c>
    </row>
    <row r="771" spans="1:7">
      <c r="A771" s="21"/>
      <c r="B771" s="15"/>
      <c r="C771" s="15"/>
      <c r="D771" s="17"/>
      <c r="E771" s="22">
        <f>IF($A771="","",YEAR($A771))</f>
        <v/>
      </c>
      <c r="F771" s="22">
        <f>IF($A771="","",MONTH($A771))</f>
        <v/>
      </c>
      <c r="G771" s="22">
        <f>IF($B771="","",IFERROR(INDEX(ContaComp,MATCH($B771,ContaNome,0)),"Conta inválida"))</f>
        <v/>
      </c>
    </row>
    <row r="772" spans="1:7">
      <c r="A772" s="21"/>
      <c r="B772" s="15"/>
      <c r="C772" s="15"/>
      <c r="D772" s="17"/>
      <c r="E772" s="22">
        <f>IF($A772="","",YEAR($A772))</f>
        <v/>
      </c>
      <c r="F772" s="22">
        <f>IF($A772="","",MONTH($A772))</f>
        <v/>
      </c>
      <c r="G772" s="22">
        <f>IF($B772="","",IFERROR(INDEX(ContaComp,MATCH($B772,ContaNome,0)),"Conta inválida"))</f>
        <v/>
      </c>
    </row>
    <row r="773" spans="1:7">
      <c r="A773" s="21"/>
      <c r="B773" s="15"/>
      <c r="C773" s="15"/>
      <c r="D773" s="17"/>
      <c r="E773" s="22">
        <f>IF($A773="","",YEAR($A773))</f>
        <v/>
      </c>
      <c r="F773" s="22">
        <f>IF($A773="","",MONTH($A773))</f>
        <v/>
      </c>
      <c r="G773" s="22">
        <f>IF($B773="","",IFERROR(INDEX(ContaComp,MATCH($B773,ContaNome,0)),"Conta inválida"))</f>
        <v/>
      </c>
    </row>
    <row r="774" spans="1:7">
      <c r="A774" s="21"/>
      <c r="B774" s="15"/>
      <c r="C774" s="15"/>
      <c r="D774" s="17"/>
      <c r="E774" s="22">
        <f>IF($A774="","",YEAR($A774))</f>
        <v/>
      </c>
      <c r="F774" s="22">
        <f>IF($A774="","",MONTH($A774))</f>
        <v/>
      </c>
      <c r="G774" s="22">
        <f>IF($B774="","",IFERROR(INDEX(ContaComp,MATCH($B774,ContaNome,0)),"Conta inválida"))</f>
        <v/>
      </c>
    </row>
    <row r="775" spans="1:7">
      <c r="A775" s="21"/>
      <c r="B775" s="15"/>
      <c r="C775" s="15"/>
      <c r="D775" s="17"/>
      <c r="E775" s="22">
        <f>IF($A775="","",YEAR($A775))</f>
        <v/>
      </c>
      <c r="F775" s="22">
        <f>IF($A775="","",MONTH($A775))</f>
        <v/>
      </c>
      <c r="G775" s="22">
        <f>IF($B775="","",IFERROR(INDEX(ContaComp,MATCH($B775,ContaNome,0)),"Conta inválida"))</f>
        <v/>
      </c>
    </row>
    <row r="776" spans="1:7">
      <c r="A776" s="21"/>
      <c r="B776" s="15"/>
      <c r="C776" s="15"/>
      <c r="D776" s="17"/>
      <c r="E776" s="22">
        <f>IF($A776="","",YEAR($A776))</f>
        <v/>
      </c>
      <c r="F776" s="22">
        <f>IF($A776="","",MONTH($A776))</f>
        <v/>
      </c>
      <c r="G776" s="22">
        <f>IF($B776="","",IFERROR(INDEX(ContaComp,MATCH($B776,ContaNome,0)),"Conta inválida"))</f>
        <v/>
      </c>
    </row>
    <row r="777" spans="1:7">
      <c r="A777" s="21"/>
      <c r="B777" s="15"/>
      <c r="C777" s="15"/>
      <c r="D777" s="17"/>
      <c r="E777" s="22">
        <f>IF($A777="","",YEAR($A777))</f>
        <v/>
      </c>
      <c r="F777" s="22">
        <f>IF($A777="","",MONTH($A777))</f>
        <v/>
      </c>
      <c r="G777" s="22">
        <f>IF($B777="","",IFERROR(INDEX(ContaComp,MATCH($B777,ContaNome,0)),"Conta inválida"))</f>
        <v/>
      </c>
    </row>
    <row r="778" spans="1:7">
      <c r="A778" s="21"/>
      <c r="B778" s="15"/>
      <c r="C778" s="15"/>
      <c r="D778" s="17"/>
      <c r="E778" s="22">
        <f>IF($A778="","",YEAR($A778))</f>
        <v/>
      </c>
      <c r="F778" s="22">
        <f>IF($A778="","",MONTH($A778))</f>
        <v/>
      </c>
      <c r="G778" s="22">
        <f>IF($B778="","",IFERROR(INDEX(ContaComp,MATCH($B778,ContaNome,0)),"Conta inválida"))</f>
        <v/>
      </c>
    </row>
    <row r="779" spans="1:7">
      <c r="A779" s="21"/>
      <c r="B779" s="15"/>
      <c r="C779" s="15"/>
      <c r="D779" s="17"/>
      <c r="E779" s="22">
        <f>IF($A779="","",YEAR($A779))</f>
        <v/>
      </c>
      <c r="F779" s="22">
        <f>IF($A779="","",MONTH($A779))</f>
        <v/>
      </c>
      <c r="G779" s="22">
        <f>IF($B779="","",IFERROR(INDEX(ContaComp,MATCH($B779,ContaNome,0)),"Conta inválida"))</f>
        <v/>
      </c>
    </row>
    <row r="780" spans="1:7">
      <c r="A780" s="21"/>
      <c r="B780" s="15"/>
      <c r="C780" s="15"/>
      <c r="D780" s="17"/>
      <c r="E780" s="22">
        <f>IF($A780="","",YEAR($A780))</f>
        <v/>
      </c>
      <c r="F780" s="22">
        <f>IF($A780="","",MONTH($A780))</f>
        <v/>
      </c>
      <c r="G780" s="22">
        <f>IF($B780="","",IFERROR(INDEX(ContaComp,MATCH($B780,ContaNome,0)),"Conta inválida"))</f>
        <v/>
      </c>
    </row>
    <row r="781" spans="1:7">
      <c r="A781" s="21"/>
      <c r="B781" s="15"/>
      <c r="C781" s="15"/>
      <c r="D781" s="17"/>
      <c r="E781" s="22">
        <f>IF($A781="","",YEAR($A781))</f>
        <v/>
      </c>
      <c r="F781" s="22">
        <f>IF($A781="","",MONTH($A781))</f>
        <v/>
      </c>
      <c r="G781" s="22">
        <f>IF($B781="","",IFERROR(INDEX(ContaComp,MATCH($B781,ContaNome,0)),"Conta inválida"))</f>
        <v/>
      </c>
    </row>
    <row r="782" spans="1:7">
      <c r="A782" s="21"/>
      <c r="B782" s="15"/>
      <c r="C782" s="15"/>
      <c r="D782" s="17"/>
      <c r="E782" s="22">
        <f>IF($A782="","",YEAR($A782))</f>
        <v/>
      </c>
      <c r="F782" s="22">
        <f>IF($A782="","",MONTH($A782))</f>
        <v/>
      </c>
      <c r="G782" s="22">
        <f>IF($B782="","",IFERROR(INDEX(ContaComp,MATCH($B782,ContaNome,0)),"Conta inválida"))</f>
        <v/>
      </c>
    </row>
    <row r="783" spans="1:7">
      <c r="A783" s="21"/>
      <c r="B783" s="15"/>
      <c r="C783" s="15"/>
      <c r="D783" s="17"/>
      <c r="E783" s="22">
        <f>IF($A783="","",YEAR($A783))</f>
        <v/>
      </c>
      <c r="F783" s="22">
        <f>IF($A783="","",MONTH($A783))</f>
        <v/>
      </c>
      <c r="G783" s="22">
        <f>IF($B783="","",IFERROR(INDEX(ContaComp,MATCH($B783,ContaNome,0)),"Conta inválida"))</f>
        <v/>
      </c>
    </row>
    <row r="784" spans="1:7">
      <c r="A784" s="21"/>
      <c r="B784" s="15"/>
      <c r="C784" s="15"/>
      <c r="D784" s="17"/>
      <c r="E784" s="22">
        <f>IF($A784="","",YEAR($A784))</f>
        <v/>
      </c>
      <c r="F784" s="22">
        <f>IF($A784="","",MONTH($A784))</f>
        <v/>
      </c>
      <c r="G784" s="22">
        <f>IF($B784="","",IFERROR(INDEX(ContaComp,MATCH($B784,ContaNome,0)),"Conta inválida"))</f>
        <v/>
      </c>
    </row>
    <row r="785" spans="1:7">
      <c r="A785" s="21"/>
      <c r="B785" s="15"/>
      <c r="C785" s="15"/>
      <c r="D785" s="17"/>
      <c r="E785" s="22">
        <f>IF($A785="","",YEAR($A785))</f>
        <v/>
      </c>
      <c r="F785" s="22">
        <f>IF($A785="","",MONTH($A785))</f>
        <v/>
      </c>
      <c r="G785" s="22">
        <f>IF($B785="","",IFERROR(INDEX(ContaComp,MATCH($B785,ContaNome,0)),"Conta inválida"))</f>
        <v/>
      </c>
    </row>
    <row r="786" spans="1:7">
      <c r="A786" s="21"/>
      <c r="B786" s="15"/>
      <c r="C786" s="15"/>
      <c r="D786" s="17"/>
      <c r="E786" s="22">
        <f>IF($A786="","",YEAR($A786))</f>
        <v/>
      </c>
      <c r="F786" s="22">
        <f>IF($A786="","",MONTH($A786))</f>
        <v/>
      </c>
      <c r="G786" s="22">
        <f>IF($B786="","",IFERROR(INDEX(ContaComp,MATCH($B786,ContaNome,0)),"Conta inválida"))</f>
        <v/>
      </c>
    </row>
    <row r="787" spans="1:7">
      <c r="A787" s="21"/>
      <c r="B787" s="15"/>
      <c r="C787" s="15"/>
      <c r="D787" s="17"/>
      <c r="E787" s="22">
        <f>IF($A787="","",YEAR($A787))</f>
        <v/>
      </c>
      <c r="F787" s="22">
        <f>IF($A787="","",MONTH($A787))</f>
        <v/>
      </c>
      <c r="G787" s="22">
        <f>IF($B787="","",IFERROR(INDEX(ContaComp,MATCH($B787,ContaNome,0)),"Conta inválida"))</f>
        <v/>
      </c>
    </row>
    <row r="788" spans="1:7">
      <c r="A788" s="21"/>
      <c r="B788" s="15"/>
      <c r="C788" s="15"/>
      <c r="D788" s="17"/>
      <c r="E788" s="22">
        <f>IF($A788="","",YEAR($A788))</f>
        <v/>
      </c>
      <c r="F788" s="22">
        <f>IF($A788="","",MONTH($A788))</f>
        <v/>
      </c>
      <c r="G788" s="22">
        <f>IF($B788="","",IFERROR(INDEX(ContaComp,MATCH($B788,ContaNome,0)),"Conta inválida"))</f>
        <v/>
      </c>
    </row>
    <row r="789" spans="1:7">
      <c r="A789" s="21"/>
      <c r="B789" s="15"/>
      <c r="C789" s="15"/>
      <c r="D789" s="17"/>
      <c r="E789" s="22">
        <f>IF($A789="","",YEAR($A789))</f>
        <v/>
      </c>
      <c r="F789" s="22">
        <f>IF($A789="","",MONTH($A789))</f>
        <v/>
      </c>
      <c r="G789" s="22">
        <f>IF($B789="","",IFERROR(INDEX(ContaComp,MATCH($B789,ContaNome,0)),"Conta inválida"))</f>
        <v/>
      </c>
    </row>
    <row r="790" spans="1:7">
      <c r="A790" s="21"/>
      <c r="B790" s="15"/>
      <c r="C790" s="15"/>
      <c r="D790" s="17"/>
      <c r="E790" s="22">
        <f>IF($A790="","",YEAR($A790))</f>
        <v/>
      </c>
      <c r="F790" s="22">
        <f>IF($A790="","",MONTH($A790))</f>
        <v/>
      </c>
      <c r="G790" s="22">
        <f>IF($B790="","",IFERROR(INDEX(ContaComp,MATCH($B790,ContaNome,0)),"Conta inválida"))</f>
        <v/>
      </c>
    </row>
    <row r="791" spans="1:7">
      <c r="A791" s="21"/>
      <c r="B791" s="15"/>
      <c r="C791" s="15"/>
      <c r="D791" s="17"/>
      <c r="E791" s="22">
        <f>IF($A791="","",YEAR($A791))</f>
        <v/>
      </c>
      <c r="F791" s="22">
        <f>IF($A791="","",MONTH($A791))</f>
        <v/>
      </c>
      <c r="G791" s="22">
        <f>IF($B791="","",IFERROR(INDEX(ContaComp,MATCH($B791,ContaNome,0)),"Conta inválida"))</f>
        <v/>
      </c>
    </row>
    <row r="792" spans="1:7">
      <c r="A792" s="21"/>
      <c r="B792" s="15"/>
      <c r="C792" s="15"/>
      <c r="D792" s="17"/>
      <c r="E792" s="22">
        <f>IF($A792="","",YEAR($A792))</f>
        <v/>
      </c>
      <c r="F792" s="22">
        <f>IF($A792="","",MONTH($A792))</f>
        <v/>
      </c>
      <c r="G792" s="22">
        <f>IF($B792="","",IFERROR(INDEX(ContaComp,MATCH($B792,ContaNome,0)),"Conta inválida"))</f>
        <v/>
      </c>
    </row>
    <row r="793" spans="1:7">
      <c r="A793" s="21"/>
      <c r="B793" s="15"/>
      <c r="C793" s="15"/>
      <c r="D793" s="17"/>
      <c r="E793" s="22">
        <f>IF($A793="","",YEAR($A793))</f>
        <v/>
      </c>
      <c r="F793" s="22">
        <f>IF($A793="","",MONTH($A793))</f>
        <v/>
      </c>
      <c r="G793" s="22">
        <f>IF($B793="","",IFERROR(INDEX(ContaComp,MATCH($B793,ContaNome,0)),"Conta inválida"))</f>
        <v/>
      </c>
    </row>
    <row r="794" spans="1:7">
      <c r="A794" s="21"/>
      <c r="B794" s="15"/>
      <c r="C794" s="15"/>
      <c r="D794" s="17"/>
      <c r="E794" s="22">
        <f>IF($A794="","",YEAR($A794))</f>
        <v/>
      </c>
      <c r="F794" s="22">
        <f>IF($A794="","",MONTH($A794))</f>
        <v/>
      </c>
      <c r="G794" s="22">
        <f>IF($B794="","",IFERROR(INDEX(ContaComp,MATCH($B794,ContaNome,0)),"Conta inválida"))</f>
        <v/>
      </c>
    </row>
    <row r="795" spans="1:7">
      <c r="A795" s="21"/>
      <c r="B795" s="15"/>
      <c r="C795" s="15"/>
      <c r="D795" s="17"/>
      <c r="E795" s="22">
        <f>IF($A795="","",YEAR($A795))</f>
        <v/>
      </c>
      <c r="F795" s="22">
        <f>IF($A795="","",MONTH($A795))</f>
        <v/>
      </c>
      <c r="G795" s="22">
        <f>IF($B795="","",IFERROR(INDEX(ContaComp,MATCH($B795,ContaNome,0)),"Conta inválida"))</f>
        <v/>
      </c>
    </row>
    <row r="796" spans="1:7">
      <c r="A796" s="21"/>
      <c r="B796" s="15"/>
      <c r="C796" s="15"/>
      <c r="D796" s="17"/>
      <c r="E796" s="22">
        <f>IF($A796="","",YEAR($A796))</f>
        <v/>
      </c>
      <c r="F796" s="22">
        <f>IF($A796="","",MONTH($A796))</f>
        <v/>
      </c>
      <c r="G796" s="22">
        <f>IF($B796="","",IFERROR(INDEX(ContaComp,MATCH($B796,ContaNome,0)),"Conta inválida"))</f>
        <v/>
      </c>
    </row>
    <row r="797" spans="1:7">
      <c r="A797" s="21"/>
      <c r="B797" s="15"/>
      <c r="C797" s="15"/>
      <c r="D797" s="17"/>
      <c r="E797" s="22">
        <f>IF($A797="","",YEAR($A797))</f>
        <v/>
      </c>
      <c r="F797" s="22">
        <f>IF($A797="","",MONTH($A797))</f>
        <v/>
      </c>
      <c r="G797" s="22">
        <f>IF($B797="","",IFERROR(INDEX(ContaComp,MATCH($B797,ContaNome,0)),"Conta inválida"))</f>
        <v/>
      </c>
    </row>
    <row r="798" spans="1:7">
      <c r="A798" s="21"/>
      <c r="B798" s="15"/>
      <c r="C798" s="15"/>
      <c r="D798" s="17"/>
      <c r="E798" s="22">
        <f>IF($A798="","",YEAR($A798))</f>
        <v/>
      </c>
      <c r="F798" s="22">
        <f>IF($A798="","",MONTH($A798))</f>
        <v/>
      </c>
      <c r="G798" s="22">
        <f>IF($B798="","",IFERROR(INDEX(ContaComp,MATCH($B798,ContaNome,0)),"Conta inválida"))</f>
        <v/>
      </c>
    </row>
    <row r="799" spans="1:7">
      <c r="A799" s="21"/>
      <c r="B799" s="15"/>
      <c r="C799" s="15"/>
      <c r="D799" s="17"/>
      <c r="E799" s="22">
        <f>IF($A799="","",YEAR($A799))</f>
        <v/>
      </c>
      <c r="F799" s="22">
        <f>IF($A799="","",MONTH($A799))</f>
        <v/>
      </c>
      <c r="G799" s="22">
        <f>IF($B799="","",IFERROR(INDEX(ContaComp,MATCH($B799,ContaNome,0)),"Conta inválida"))</f>
        <v/>
      </c>
    </row>
    <row r="800" spans="1:7">
      <c r="A800" s="21"/>
      <c r="B800" s="15"/>
      <c r="C800" s="15"/>
      <c r="D800" s="17"/>
      <c r="E800" s="22">
        <f>IF($A800="","",YEAR($A800))</f>
        <v/>
      </c>
      <c r="F800" s="22">
        <f>IF($A800="","",MONTH($A800))</f>
        <v/>
      </c>
      <c r="G800" s="22">
        <f>IF($B800="","",IFERROR(INDEX(ContaComp,MATCH($B800,ContaNome,0)),"Conta inválida"))</f>
        <v/>
      </c>
    </row>
    <row r="801" spans="1:7">
      <c r="A801" s="21"/>
      <c r="B801" s="15"/>
      <c r="C801" s="15"/>
      <c r="D801" s="17"/>
      <c r="E801" s="22">
        <f>IF($A801="","",YEAR($A801))</f>
        <v/>
      </c>
      <c r="F801" s="22">
        <f>IF($A801="","",MONTH($A801))</f>
        <v/>
      </c>
      <c r="G801" s="22">
        <f>IF($B801="","",IFERROR(INDEX(ContaComp,MATCH($B801,ContaNome,0)),"Conta inválida"))</f>
        <v/>
      </c>
    </row>
    <row r="802" spans="1:7">
      <c r="A802" s="21"/>
      <c r="B802" s="15"/>
      <c r="C802" s="15"/>
      <c r="D802" s="17"/>
      <c r="E802" s="22">
        <f>IF($A802="","",YEAR($A802))</f>
        <v/>
      </c>
      <c r="F802" s="22">
        <f>IF($A802="","",MONTH($A802))</f>
        <v/>
      </c>
      <c r="G802" s="22">
        <f>IF($B802="","",IFERROR(INDEX(ContaComp,MATCH($B802,ContaNome,0)),"Conta inválida"))</f>
        <v/>
      </c>
    </row>
    <row r="803" spans="1:7">
      <c r="A803" s="21"/>
      <c r="B803" s="15"/>
      <c r="C803" s="15"/>
      <c r="D803" s="17"/>
      <c r="E803" s="22">
        <f>IF($A803="","",YEAR($A803))</f>
        <v/>
      </c>
      <c r="F803" s="22">
        <f>IF($A803="","",MONTH($A803))</f>
        <v/>
      </c>
      <c r="G803" s="22">
        <f>IF($B803="","",IFERROR(INDEX(ContaComp,MATCH($B803,ContaNome,0)),"Conta inválida"))</f>
        <v/>
      </c>
    </row>
    <row r="804" spans="1:7">
      <c r="A804" s="21"/>
      <c r="B804" s="15"/>
      <c r="C804" s="15"/>
      <c r="D804" s="17"/>
      <c r="E804" s="22">
        <f>IF($A804="","",YEAR($A804))</f>
        <v/>
      </c>
      <c r="F804" s="22">
        <f>IF($A804="","",MONTH($A804))</f>
        <v/>
      </c>
      <c r="G804" s="22">
        <f>IF($B804="","",IFERROR(INDEX(ContaComp,MATCH($B804,ContaNome,0)),"Conta inválida"))</f>
        <v/>
      </c>
    </row>
    <row r="805" spans="1:7">
      <c r="A805" s="21"/>
      <c r="B805" s="15"/>
      <c r="C805" s="15"/>
      <c r="D805" s="17"/>
      <c r="E805" s="22">
        <f>IF($A805="","",YEAR($A805))</f>
        <v/>
      </c>
      <c r="F805" s="22">
        <f>IF($A805="","",MONTH($A805))</f>
        <v/>
      </c>
      <c r="G805" s="22">
        <f>IF($B805="","",IFERROR(INDEX(ContaComp,MATCH($B805,ContaNome,0)),"Conta inválida"))</f>
        <v/>
      </c>
    </row>
    <row r="806" spans="1:7">
      <c r="A806" s="21"/>
      <c r="B806" s="15"/>
      <c r="C806" s="15"/>
      <c r="D806" s="17"/>
      <c r="E806" s="22">
        <f>IF($A806="","",YEAR($A806))</f>
        <v/>
      </c>
      <c r="F806" s="22">
        <f>IF($A806="","",MONTH($A806))</f>
        <v/>
      </c>
      <c r="G806" s="22">
        <f>IF($B806="","",IFERROR(INDEX(ContaComp,MATCH($B806,ContaNome,0)),"Conta inválida"))</f>
        <v/>
      </c>
    </row>
    <row r="807" spans="1:7">
      <c r="A807" s="21"/>
      <c r="B807" s="15"/>
      <c r="C807" s="15"/>
      <c r="D807" s="17"/>
      <c r="E807" s="22">
        <f>IF($A807="","",YEAR($A807))</f>
        <v/>
      </c>
      <c r="F807" s="22">
        <f>IF($A807="","",MONTH($A807))</f>
        <v/>
      </c>
      <c r="G807" s="22">
        <f>IF($B807="","",IFERROR(INDEX(ContaComp,MATCH($B807,ContaNome,0)),"Conta inválida"))</f>
        <v/>
      </c>
    </row>
    <row r="808" spans="1:7">
      <c r="A808" s="21"/>
      <c r="B808" s="15"/>
      <c r="C808" s="15"/>
      <c r="D808" s="17"/>
      <c r="E808" s="22">
        <f>IF($A808="","",YEAR($A808))</f>
        <v/>
      </c>
      <c r="F808" s="22">
        <f>IF($A808="","",MONTH($A808))</f>
        <v/>
      </c>
      <c r="G808" s="22">
        <f>IF($B808="","",IFERROR(INDEX(ContaComp,MATCH($B808,ContaNome,0)),"Conta inválida"))</f>
        <v/>
      </c>
    </row>
    <row r="809" spans="1:7">
      <c r="A809" s="21"/>
      <c r="B809" s="15"/>
      <c r="C809" s="15"/>
      <c r="D809" s="17"/>
      <c r="E809" s="22">
        <f>IF($A809="","",YEAR($A809))</f>
        <v/>
      </c>
      <c r="F809" s="22">
        <f>IF($A809="","",MONTH($A809))</f>
        <v/>
      </c>
      <c r="G809" s="22">
        <f>IF($B809="","",IFERROR(INDEX(ContaComp,MATCH($B809,ContaNome,0)),"Conta inválida"))</f>
        <v/>
      </c>
    </row>
    <row r="810" spans="1:7">
      <c r="A810" s="21"/>
      <c r="B810" s="15"/>
      <c r="C810" s="15"/>
      <c r="D810" s="17"/>
      <c r="E810" s="22">
        <f>IF($A810="","",YEAR($A810))</f>
        <v/>
      </c>
      <c r="F810" s="22">
        <f>IF($A810="","",MONTH($A810))</f>
        <v/>
      </c>
      <c r="G810" s="22">
        <f>IF($B810="","",IFERROR(INDEX(ContaComp,MATCH($B810,ContaNome,0)),"Conta inválida"))</f>
        <v/>
      </c>
    </row>
    <row r="811" spans="1:7">
      <c r="A811" s="21"/>
      <c r="B811" s="15"/>
      <c r="C811" s="15"/>
      <c r="D811" s="17"/>
      <c r="E811" s="22">
        <f>IF($A811="","",YEAR($A811))</f>
        <v/>
      </c>
      <c r="F811" s="22">
        <f>IF($A811="","",MONTH($A811))</f>
        <v/>
      </c>
      <c r="G811" s="22">
        <f>IF($B811="","",IFERROR(INDEX(ContaComp,MATCH($B811,ContaNome,0)),"Conta inválida"))</f>
        <v/>
      </c>
    </row>
    <row r="812" spans="1:7">
      <c r="A812" s="21"/>
      <c r="B812" s="15"/>
      <c r="C812" s="15"/>
      <c r="D812" s="17"/>
      <c r="E812" s="22">
        <f>IF($A812="","",YEAR($A812))</f>
        <v/>
      </c>
      <c r="F812" s="22">
        <f>IF($A812="","",MONTH($A812))</f>
        <v/>
      </c>
      <c r="G812" s="22">
        <f>IF($B812="","",IFERROR(INDEX(ContaComp,MATCH($B812,ContaNome,0)),"Conta inválida"))</f>
        <v/>
      </c>
    </row>
    <row r="813" spans="1:7">
      <c r="A813" s="21"/>
      <c r="B813" s="15"/>
      <c r="C813" s="15"/>
      <c r="D813" s="17"/>
      <c r="E813" s="22">
        <f>IF($A813="","",YEAR($A813))</f>
        <v/>
      </c>
      <c r="F813" s="22">
        <f>IF($A813="","",MONTH($A813))</f>
        <v/>
      </c>
      <c r="G813" s="22">
        <f>IF($B813="","",IFERROR(INDEX(ContaComp,MATCH($B813,ContaNome,0)),"Conta inválida"))</f>
        <v/>
      </c>
    </row>
    <row r="814" spans="1:7">
      <c r="A814" s="21"/>
      <c r="B814" s="15"/>
      <c r="C814" s="15"/>
      <c r="D814" s="17"/>
      <c r="E814" s="22">
        <f>IF($A814="","",YEAR($A814))</f>
        <v/>
      </c>
      <c r="F814" s="22">
        <f>IF($A814="","",MONTH($A814))</f>
        <v/>
      </c>
      <c r="G814" s="22">
        <f>IF($B814="","",IFERROR(INDEX(ContaComp,MATCH($B814,ContaNome,0)),"Conta inválida"))</f>
        <v/>
      </c>
    </row>
    <row r="815" spans="1:7">
      <c r="A815" s="21"/>
      <c r="B815" s="15"/>
      <c r="C815" s="15"/>
      <c r="D815" s="17"/>
      <c r="E815" s="22">
        <f>IF($A815="","",YEAR($A815))</f>
        <v/>
      </c>
      <c r="F815" s="22">
        <f>IF($A815="","",MONTH($A815))</f>
        <v/>
      </c>
      <c r="G815" s="22">
        <f>IF($B815="","",IFERROR(INDEX(ContaComp,MATCH($B815,ContaNome,0)),"Conta inválida"))</f>
        <v/>
      </c>
    </row>
    <row r="816" spans="1:7">
      <c r="A816" s="21"/>
      <c r="B816" s="15"/>
      <c r="C816" s="15"/>
      <c r="D816" s="17"/>
      <c r="E816" s="22">
        <f>IF($A816="","",YEAR($A816))</f>
        <v/>
      </c>
      <c r="F816" s="22">
        <f>IF($A816="","",MONTH($A816))</f>
        <v/>
      </c>
      <c r="G816" s="22">
        <f>IF($B816="","",IFERROR(INDEX(ContaComp,MATCH($B816,ContaNome,0)),"Conta inválida"))</f>
        <v/>
      </c>
    </row>
    <row r="817" spans="1:7">
      <c r="A817" s="21"/>
      <c r="B817" s="15"/>
      <c r="C817" s="15"/>
      <c r="D817" s="17"/>
      <c r="E817" s="22">
        <f>IF($A817="","",YEAR($A817))</f>
        <v/>
      </c>
      <c r="F817" s="22">
        <f>IF($A817="","",MONTH($A817))</f>
        <v/>
      </c>
      <c r="G817" s="22">
        <f>IF($B817="","",IFERROR(INDEX(ContaComp,MATCH($B817,ContaNome,0)),"Conta inválida"))</f>
        <v/>
      </c>
    </row>
    <row r="818" spans="1:7">
      <c r="A818" s="21"/>
      <c r="B818" s="15"/>
      <c r="C818" s="15"/>
      <c r="D818" s="17"/>
      <c r="E818" s="22">
        <f>IF($A818="","",YEAR($A818))</f>
        <v/>
      </c>
      <c r="F818" s="22">
        <f>IF($A818="","",MONTH($A818))</f>
        <v/>
      </c>
      <c r="G818" s="22">
        <f>IF($B818="","",IFERROR(INDEX(ContaComp,MATCH($B818,ContaNome,0)),"Conta inválida"))</f>
        <v/>
      </c>
    </row>
    <row r="819" spans="1:7">
      <c r="A819" s="21"/>
      <c r="B819" s="15"/>
      <c r="C819" s="15"/>
      <c r="D819" s="17"/>
      <c r="E819" s="22">
        <f>IF($A819="","",YEAR($A819))</f>
        <v/>
      </c>
      <c r="F819" s="22">
        <f>IF($A819="","",MONTH($A819))</f>
        <v/>
      </c>
      <c r="G819" s="22">
        <f>IF($B819="","",IFERROR(INDEX(ContaComp,MATCH($B819,ContaNome,0)),"Conta inválida"))</f>
        <v/>
      </c>
    </row>
    <row r="820" spans="1:7">
      <c r="A820" s="21"/>
      <c r="B820" s="15"/>
      <c r="C820" s="15"/>
      <c r="D820" s="17"/>
      <c r="E820" s="22">
        <f>IF($A820="","",YEAR($A820))</f>
        <v/>
      </c>
      <c r="F820" s="22">
        <f>IF($A820="","",MONTH($A820))</f>
        <v/>
      </c>
      <c r="G820" s="22">
        <f>IF($B820="","",IFERROR(INDEX(ContaComp,MATCH($B820,ContaNome,0)),"Conta inválida"))</f>
        <v/>
      </c>
    </row>
    <row r="821" spans="1:7">
      <c r="A821" s="21"/>
      <c r="B821" s="15"/>
      <c r="C821" s="15"/>
      <c r="D821" s="17"/>
      <c r="E821" s="22">
        <f>IF($A821="","",YEAR($A821))</f>
        <v/>
      </c>
      <c r="F821" s="22">
        <f>IF($A821="","",MONTH($A821))</f>
        <v/>
      </c>
      <c r="G821" s="22">
        <f>IF($B821="","",IFERROR(INDEX(ContaComp,MATCH($B821,ContaNome,0)),"Conta inválida"))</f>
        <v/>
      </c>
    </row>
    <row r="822" spans="1:7">
      <c r="A822" s="21"/>
      <c r="B822" s="15"/>
      <c r="C822" s="15"/>
      <c r="D822" s="17"/>
      <c r="E822" s="22">
        <f>IF($A822="","",YEAR($A822))</f>
        <v/>
      </c>
      <c r="F822" s="22">
        <f>IF($A822="","",MONTH($A822))</f>
        <v/>
      </c>
      <c r="G822" s="22">
        <f>IF($B822="","",IFERROR(INDEX(ContaComp,MATCH($B822,ContaNome,0)),"Conta inválida"))</f>
        <v/>
      </c>
    </row>
    <row r="823" spans="1:7">
      <c r="A823" s="21"/>
      <c r="B823" s="15"/>
      <c r="C823" s="15"/>
      <c r="D823" s="17"/>
      <c r="E823" s="22">
        <f>IF($A823="","",YEAR($A823))</f>
        <v/>
      </c>
      <c r="F823" s="22">
        <f>IF($A823="","",MONTH($A823))</f>
        <v/>
      </c>
      <c r="G823" s="22">
        <f>IF($B823="","",IFERROR(INDEX(ContaComp,MATCH($B823,ContaNome,0)),"Conta inválida"))</f>
        <v/>
      </c>
    </row>
    <row r="824" spans="1:7">
      <c r="A824" s="21"/>
      <c r="B824" s="15"/>
      <c r="C824" s="15"/>
      <c r="D824" s="17"/>
      <c r="E824" s="22">
        <f>IF($A824="","",YEAR($A824))</f>
        <v/>
      </c>
      <c r="F824" s="22">
        <f>IF($A824="","",MONTH($A824))</f>
        <v/>
      </c>
      <c r="G824" s="22">
        <f>IF($B824="","",IFERROR(INDEX(ContaComp,MATCH($B824,ContaNome,0)),"Conta inválida"))</f>
        <v/>
      </c>
    </row>
    <row r="825" spans="1:7">
      <c r="A825" s="21"/>
      <c r="B825" s="15"/>
      <c r="C825" s="15"/>
      <c r="D825" s="17"/>
      <c r="E825" s="22">
        <f>IF($A825="","",YEAR($A825))</f>
        <v/>
      </c>
      <c r="F825" s="22">
        <f>IF($A825="","",MONTH($A825))</f>
        <v/>
      </c>
      <c r="G825" s="22">
        <f>IF($B825="","",IFERROR(INDEX(ContaComp,MATCH($B825,ContaNome,0)),"Conta inválida"))</f>
        <v/>
      </c>
    </row>
    <row r="826" spans="1:7">
      <c r="A826" s="21"/>
      <c r="B826" s="15"/>
      <c r="C826" s="15"/>
      <c r="D826" s="17"/>
      <c r="E826" s="22">
        <f>IF($A826="","",YEAR($A826))</f>
        <v/>
      </c>
      <c r="F826" s="22">
        <f>IF($A826="","",MONTH($A826))</f>
        <v/>
      </c>
      <c r="G826" s="22">
        <f>IF($B826="","",IFERROR(INDEX(ContaComp,MATCH($B826,ContaNome,0)),"Conta inválida"))</f>
        <v/>
      </c>
    </row>
    <row r="827" spans="1:7">
      <c r="A827" s="21"/>
      <c r="B827" s="15"/>
      <c r="C827" s="15"/>
      <c r="D827" s="17"/>
      <c r="E827" s="22">
        <f>IF($A827="","",YEAR($A827))</f>
        <v/>
      </c>
      <c r="F827" s="22">
        <f>IF($A827="","",MONTH($A827))</f>
        <v/>
      </c>
      <c r="G827" s="22">
        <f>IF($B827="","",IFERROR(INDEX(ContaComp,MATCH($B827,ContaNome,0)),"Conta inválida"))</f>
        <v/>
      </c>
    </row>
    <row r="828" spans="1:7">
      <c r="A828" s="21"/>
      <c r="B828" s="15"/>
      <c r="C828" s="15"/>
      <c r="D828" s="17"/>
      <c r="E828" s="22">
        <f>IF($A828="","",YEAR($A828))</f>
        <v/>
      </c>
      <c r="F828" s="22">
        <f>IF($A828="","",MONTH($A828))</f>
        <v/>
      </c>
      <c r="G828" s="22">
        <f>IF($B828="","",IFERROR(INDEX(ContaComp,MATCH($B828,ContaNome,0)),"Conta inválida"))</f>
        <v/>
      </c>
    </row>
    <row r="829" spans="1:7">
      <c r="A829" s="21"/>
      <c r="B829" s="15"/>
      <c r="C829" s="15"/>
      <c r="D829" s="17"/>
      <c r="E829" s="22">
        <f>IF($A829="","",YEAR($A829))</f>
        <v/>
      </c>
      <c r="F829" s="22">
        <f>IF($A829="","",MONTH($A829))</f>
        <v/>
      </c>
      <c r="G829" s="22">
        <f>IF($B829="","",IFERROR(INDEX(ContaComp,MATCH($B829,ContaNome,0)),"Conta inválida"))</f>
        <v/>
      </c>
    </row>
    <row r="830" spans="1:7">
      <c r="A830" s="21"/>
      <c r="B830" s="15"/>
      <c r="C830" s="15"/>
      <c r="D830" s="17"/>
      <c r="E830" s="22">
        <f>IF($A830="","",YEAR($A830))</f>
        <v/>
      </c>
      <c r="F830" s="22">
        <f>IF($A830="","",MONTH($A830))</f>
        <v/>
      </c>
      <c r="G830" s="22">
        <f>IF($B830="","",IFERROR(INDEX(ContaComp,MATCH($B830,ContaNome,0)),"Conta inválida"))</f>
        <v/>
      </c>
    </row>
    <row r="831" spans="1:7">
      <c r="A831" s="21"/>
      <c r="B831" s="15"/>
      <c r="C831" s="15"/>
      <c r="D831" s="17"/>
      <c r="E831" s="22">
        <f>IF($A831="","",YEAR($A831))</f>
        <v/>
      </c>
      <c r="F831" s="22">
        <f>IF($A831="","",MONTH($A831))</f>
        <v/>
      </c>
      <c r="G831" s="22">
        <f>IF($B831="","",IFERROR(INDEX(ContaComp,MATCH($B831,ContaNome,0)),"Conta inválida"))</f>
        <v/>
      </c>
    </row>
    <row r="832" spans="1:7">
      <c r="A832" s="21"/>
      <c r="B832" s="15"/>
      <c r="C832" s="15"/>
      <c r="D832" s="17"/>
      <c r="E832" s="22">
        <f>IF($A832="","",YEAR($A832))</f>
        <v/>
      </c>
      <c r="F832" s="22">
        <f>IF($A832="","",MONTH($A832))</f>
        <v/>
      </c>
      <c r="G832" s="22">
        <f>IF($B832="","",IFERROR(INDEX(ContaComp,MATCH($B832,ContaNome,0)),"Conta inválida"))</f>
        <v/>
      </c>
    </row>
    <row r="833" spans="1:7">
      <c r="A833" s="21"/>
      <c r="B833" s="15"/>
      <c r="C833" s="15"/>
      <c r="D833" s="17"/>
      <c r="E833" s="22">
        <f>IF($A833="","",YEAR($A833))</f>
        <v/>
      </c>
      <c r="F833" s="22">
        <f>IF($A833="","",MONTH($A833))</f>
        <v/>
      </c>
      <c r="G833" s="22">
        <f>IF($B833="","",IFERROR(INDEX(ContaComp,MATCH($B833,ContaNome,0)),"Conta inválida"))</f>
        <v/>
      </c>
    </row>
    <row r="834" spans="1:7">
      <c r="A834" s="21"/>
      <c r="B834" s="15"/>
      <c r="C834" s="15"/>
      <c r="D834" s="17"/>
      <c r="E834" s="22">
        <f>IF($A834="","",YEAR($A834))</f>
        <v/>
      </c>
      <c r="F834" s="22">
        <f>IF($A834="","",MONTH($A834))</f>
        <v/>
      </c>
      <c r="G834" s="22">
        <f>IF($B834="","",IFERROR(INDEX(ContaComp,MATCH($B834,ContaNome,0)),"Conta inválida"))</f>
        <v/>
      </c>
    </row>
    <row r="835" spans="1:7">
      <c r="A835" s="21"/>
      <c r="B835" s="15"/>
      <c r="C835" s="15"/>
      <c r="D835" s="17"/>
      <c r="E835" s="22">
        <f>IF($A835="","",YEAR($A835))</f>
        <v/>
      </c>
      <c r="F835" s="22">
        <f>IF($A835="","",MONTH($A835))</f>
        <v/>
      </c>
      <c r="G835" s="22">
        <f>IF($B835="","",IFERROR(INDEX(ContaComp,MATCH($B835,ContaNome,0)),"Conta inválida"))</f>
        <v/>
      </c>
    </row>
    <row r="836" spans="1:7">
      <c r="A836" s="21"/>
      <c r="B836" s="15"/>
      <c r="C836" s="15"/>
      <c r="D836" s="17"/>
      <c r="E836" s="22">
        <f>IF($A836="","",YEAR($A836))</f>
        <v/>
      </c>
      <c r="F836" s="22">
        <f>IF($A836="","",MONTH($A836))</f>
        <v/>
      </c>
      <c r="G836" s="22">
        <f>IF($B836="","",IFERROR(INDEX(ContaComp,MATCH($B836,ContaNome,0)),"Conta inválida"))</f>
        <v/>
      </c>
    </row>
    <row r="837" spans="1:7">
      <c r="A837" s="21"/>
      <c r="B837" s="15"/>
      <c r="C837" s="15"/>
      <c r="D837" s="17"/>
      <c r="E837" s="22">
        <f>IF($A837="","",YEAR($A837))</f>
        <v/>
      </c>
      <c r="F837" s="22">
        <f>IF($A837="","",MONTH($A837))</f>
        <v/>
      </c>
      <c r="G837" s="22">
        <f>IF($B837="","",IFERROR(INDEX(ContaComp,MATCH($B837,ContaNome,0)),"Conta inválida"))</f>
        <v/>
      </c>
    </row>
    <row r="838" spans="1:7">
      <c r="A838" s="21"/>
      <c r="B838" s="15"/>
      <c r="C838" s="15"/>
      <c r="D838" s="17"/>
      <c r="E838" s="22">
        <f>IF($A838="","",YEAR($A838))</f>
        <v/>
      </c>
      <c r="F838" s="22">
        <f>IF($A838="","",MONTH($A838))</f>
        <v/>
      </c>
      <c r="G838" s="22">
        <f>IF($B838="","",IFERROR(INDEX(ContaComp,MATCH($B838,ContaNome,0)),"Conta inválida"))</f>
        <v/>
      </c>
    </row>
    <row r="839" spans="1:7">
      <c r="A839" s="21"/>
      <c r="B839" s="15"/>
      <c r="C839" s="15"/>
      <c r="D839" s="17"/>
      <c r="E839" s="22">
        <f>IF($A839="","",YEAR($A839))</f>
        <v/>
      </c>
      <c r="F839" s="22">
        <f>IF($A839="","",MONTH($A839))</f>
        <v/>
      </c>
      <c r="G839" s="22">
        <f>IF($B839="","",IFERROR(INDEX(ContaComp,MATCH($B839,ContaNome,0)),"Conta inválida"))</f>
        <v/>
      </c>
    </row>
    <row r="840" spans="1:7">
      <c r="A840" s="21"/>
      <c r="B840" s="15"/>
      <c r="C840" s="15"/>
      <c r="D840" s="17"/>
      <c r="E840" s="22">
        <f>IF($A840="","",YEAR($A840))</f>
        <v/>
      </c>
      <c r="F840" s="22">
        <f>IF($A840="","",MONTH($A840))</f>
        <v/>
      </c>
      <c r="G840" s="22">
        <f>IF($B840="","",IFERROR(INDEX(ContaComp,MATCH($B840,ContaNome,0)),"Conta inválida"))</f>
        <v/>
      </c>
    </row>
    <row r="841" spans="1:7">
      <c r="A841" s="21"/>
      <c r="B841" s="15"/>
      <c r="C841" s="15"/>
      <c r="D841" s="17"/>
      <c r="E841" s="22">
        <f>IF($A841="","",YEAR($A841))</f>
        <v/>
      </c>
      <c r="F841" s="22">
        <f>IF($A841="","",MONTH($A841))</f>
        <v/>
      </c>
      <c r="G841" s="22">
        <f>IF($B841="","",IFERROR(INDEX(ContaComp,MATCH($B841,ContaNome,0)),"Conta inválida"))</f>
        <v/>
      </c>
    </row>
    <row r="842" spans="1:7">
      <c r="A842" s="21"/>
      <c r="B842" s="15"/>
      <c r="C842" s="15"/>
      <c r="D842" s="17"/>
      <c r="E842" s="22">
        <f>IF($A842="","",YEAR($A842))</f>
        <v/>
      </c>
      <c r="F842" s="22">
        <f>IF($A842="","",MONTH($A842))</f>
        <v/>
      </c>
      <c r="G842" s="22">
        <f>IF($B842="","",IFERROR(INDEX(ContaComp,MATCH($B842,ContaNome,0)),"Conta inválida"))</f>
        <v/>
      </c>
    </row>
    <row r="843" spans="1:7">
      <c r="A843" s="21"/>
      <c r="B843" s="15"/>
      <c r="C843" s="15"/>
      <c r="D843" s="17"/>
      <c r="E843" s="22">
        <f>IF($A843="","",YEAR($A843))</f>
        <v/>
      </c>
      <c r="F843" s="22">
        <f>IF($A843="","",MONTH($A843))</f>
        <v/>
      </c>
      <c r="G843" s="22">
        <f>IF($B843="","",IFERROR(INDEX(ContaComp,MATCH($B843,ContaNome,0)),"Conta inválida"))</f>
        <v/>
      </c>
    </row>
    <row r="844" spans="1:7">
      <c r="A844" s="21"/>
      <c r="B844" s="15"/>
      <c r="C844" s="15"/>
      <c r="D844" s="17"/>
      <c r="E844" s="22">
        <f>IF($A844="","",YEAR($A844))</f>
        <v/>
      </c>
      <c r="F844" s="22">
        <f>IF($A844="","",MONTH($A844))</f>
        <v/>
      </c>
      <c r="G844" s="22">
        <f>IF($B844="","",IFERROR(INDEX(ContaComp,MATCH($B844,ContaNome,0)),"Conta inválida"))</f>
        <v/>
      </c>
    </row>
    <row r="845" spans="1:7">
      <c r="A845" s="21"/>
      <c r="B845" s="15"/>
      <c r="C845" s="15"/>
      <c r="D845" s="17"/>
      <c r="E845" s="22">
        <f>IF($A845="","",YEAR($A845))</f>
        <v/>
      </c>
      <c r="F845" s="22">
        <f>IF($A845="","",MONTH($A845))</f>
        <v/>
      </c>
      <c r="G845" s="22">
        <f>IF($B845="","",IFERROR(INDEX(ContaComp,MATCH($B845,ContaNome,0)),"Conta inválida"))</f>
        <v/>
      </c>
    </row>
    <row r="846" spans="1:7">
      <c r="A846" s="21"/>
      <c r="B846" s="15"/>
      <c r="C846" s="15"/>
      <c r="D846" s="17"/>
      <c r="E846" s="22">
        <f>IF($A846="","",YEAR($A846))</f>
        <v/>
      </c>
      <c r="F846" s="22">
        <f>IF($A846="","",MONTH($A846))</f>
        <v/>
      </c>
      <c r="G846" s="22">
        <f>IF($B846="","",IFERROR(INDEX(ContaComp,MATCH($B846,ContaNome,0)),"Conta inválida"))</f>
        <v/>
      </c>
    </row>
    <row r="847" spans="1:7">
      <c r="A847" s="21"/>
      <c r="B847" s="15"/>
      <c r="C847" s="15"/>
      <c r="D847" s="17"/>
      <c r="E847" s="22">
        <f>IF($A847="","",YEAR($A847))</f>
        <v/>
      </c>
      <c r="F847" s="22">
        <f>IF($A847="","",MONTH($A847))</f>
        <v/>
      </c>
      <c r="G847" s="22">
        <f>IF($B847="","",IFERROR(INDEX(ContaComp,MATCH($B847,ContaNome,0)),"Conta inválida"))</f>
        <v/>
      </c>
    </row>
    <row r="848" spans="1:7">
      <c r="A848" s="21"/>
      <c r="B848" s="15"/>
      <c r="C848" s="15"/>
      <c r="D848" s="17"/>
      <c r="E848" s="22">
        <f>IF($A848="","",YEAR($A848))</f>
        <v/>
      </c>
      <c r="F848" s="22">
        <f>IF($A848="","",MONTH($A848))</f>
        <v/>
      </c>
      <c r="G848" s="22">
        <f>IF($B848="","",IFERROR(INDEX(ContaComp,MATCH($B848,ContaNome,0)),"Conta inválida"))</f>
        <v/>
      </c>
    </row>
    <row r="849" spans="1:7">
      <c r="A849" s="21"/>
      <c r="B849" s="15"/>
      <c r="C849" s="15"/>
      <c r="D849" s="17"/>
      <c r="E849" s="22">
        <f>IF($A849="","",YEAR($A849))</f>
        <v/>
      </c>
      <c r="F849" s="22">
        <f>IF($A849="","",MONTH($A849))</f>
        <v/>
      </c>
      <c r="G849" s="22">
        <f>IF($B849="","",IFERROR(INDEX(ContaComp,MATCH($B849,ContaNome,0)),"Conta inválida"))</f>
        <v/>
      </c>
    </row>
    <row r="850" spans="1:7">
      <c r="A850" s="21"/>
      <c r="B850" s="15"/>
      <c r="C850" s="15"/>
      <c r="D850" s="17"/>
      <c r="E850" s="22">
        <f>IF($A850="","",YEAR($A850))</f>
        <v/>
      </c>
      <c r="F850" s="22">
        <f>IF($A850="","",MONTH($A850))</f>
        <v/>
      </c>
      <c r="G850" s="22">
        <f>IF($B850="","",IFERROR(INDEX(ContaComp,MATCH($B850,ContaNome,0)),"Conta inválida"))</f>
        <v/>
      </c>
    </row>
    <row r="851" spans="1:7">
      <c r="A851" s="21"/>
      <c r="B851" s="15"/>
      <c r="C851" s="15"/>
      <c r="D851" s="17"/>
      <c r="E851" s="22">
        <f>IF($A851="","",YEAR($A851))</f>
        <v/>
      </c>
      <c r="F851" s="22">
        <f>IF($A851="","",MONTH($A851))</f>
        <v/>
      </c>
      <c r="G851" s="22">
        <f>IF($B851="","",IFERROR(INDEX(ContaComp,MATCH($B851,ContaNome,0)),"Conta inválida"))</f>
        <v/>
      </c>
    </row>
    <row r="852" spans="1:7">
      <c r="A852" s="21"/>
      <c r="B852" s="15"/>
      <c r="C852" s="15"/>
      <c r="D852" s="17"/>
      <c r="E852" s="22">
        <f>IF($A852="","",YEAR($A852))</f>
        <v/>
      </c>
      <c r="F852" s="22">
        <f>IF($A852="","",MONTH($A852))</f>
        <v/>
      </c>
      <c r="G852" s="22">
        <f>IF($B852="","",IFERROR(INDEX(ContaComp,MATCH($B852,ContaNome,0)),"Conta inválida"))</f>
        <v/>
      </c>
    </row>
    <row r="853" spans="1:7">
      <c r="A853" s="21"/>
      <c r="B853" s="15"/>
      <c r="C853" s="15"/>
      <c r="D853" s="17"/>
      <c r="E853" s="22">
        <f>IF($A853="","",YEAR($A853))</f>
        <v/>
      </c>
      <c r="F853" s="22">
        <f>IF($A853="","",MONTH($A853))</f>
        <v/>
      </c>
      <c r="G853" s="22">
        <f>IF($B853="","",IFERROR(INDEX(ContaComp,MATCH($B853,ContaNome,0)),"Conta inválida"))</f>
        <v/>
      </c>
    </row>
    <row r="854" spans="1:7">
      <c r="A854" s="21"/>
      <c r="B854" s="15"/>
      <c r="C854" s="15"/>
      <c r="D854" s="17"/>
      <c r="E854" s="22">
        <f>IF($A854="","",YEAR($A854))</f>
        <v/>
      </c>
      <c r="F854" s="22">
        <f>IF($A854="","",MONTH($A854))</f>
        <v/>
      </c>
      <c r="G854" s="22">
        <f>IF($B854="","",IFERROR(INDEX(ContaComp,MATCH($B854,ContaNome,0)),"Conta inválida"))</f>
        <v/>
      </c>
    </row>
    <row r="855" spans="1:7">
      <c r="A855" s="21"/>
      <c r="B855" s="15"/>
      <c r="C855" s="15"/>
      <c r="D855" s="17"/>
      <c r="E855" s="22">
        <f>IF($A855="","",YEAR($A855))</f>
        <v/>
      </c>
      <c r="F855" s="22">
        <f>IF($A855="","",MONTH($A855))</f>
        <v/>
      </c>
      <c r="G855" s="22">
        <f>IF($B855="","",IFERROR(INDEX(ContaComp,MATCH($B855,ContaNome,0)),"Conta inválida"))</f>
        <v/>
      </c>
    </row>
    <row r="856" spans="1:7">
      <c r="A856" s="21"/>
      <c r="B856" s="15"/>
      <c r="C856" s="15"/>
      <c r="D856" s="17"/>
      <c r="E856" s="22">
        <f>IF($A856="","",YEAR($A856))</f>
        <v/>
      </c>
      <c r="F856" s="22">
        <f>IF($A856="","",MONTH($A856))</f>
        <v/>
      </c>
      <c r="G856" s="22">
        <f>IF($B856="","",IFERROR(INDEX(ContaComp,MATCH($B856,ContaNome,0)),"Conta inválida"))</f>
        <v/>
      </c>
    </row>
    <row r="857" spans="1:7">
      <c r="A857" s="21"/>
      <c r="B857" s="15"/>
      <c r="C857" s="15"/>
      <c r="D857" s="17"/>
      <c r="E857" s="22">
        <f>IF($A857="","",YEAR($A857))</f>
        <v/>
      </c>
      <c r="F857" s="22">
        <f>IF($A857="","",MONTH($A857))</f>
        <v/>
      </c>
      <c r="G857" s="22">
        <f>IF($B857="","",IFERROR(INDEX(ContaComp,MATCH($B857,ContaNome,0)),"Conta inválida"))</f>
        <v/>
      </c>
    </row>
    <row r="858" spans="1:7">
      <c r="A858" s="21"/>
      <c r="B858" s="15"/>
      <c r="C858" s="15"/>
      <c r="D858" s="17"/>
      <c r="E858" s="22">
        <f>IF($A858="","",YEAR($A858))</f>
        <v/>
      </c>
      <c r="F858" s="22">
        <f>IF($A858="","",MONTH($A858))</f>
        <v/>
      </c>
      <c r="G858" s="22">
        <f>IF($B858="","",IFERROR(INDEX(ContaComp,MATCH($B858,ContaNome,0)),"Conta inválida"))</f>
        <v/>
      </c>
    </row>
    <row r="859" spans="1:7">
      <c r="A859" s="21"/>
      <c r="B859" s="15"/>
      <c r="C859" s="15"/>
      <c r="D859" s="17"/>
      <c r="E859" s="22">
        <f>IF($A859="","",YEAR($A859))</f>
        <v/>
      </c>
      <c r="F859" s="22">
        <f>IF($A859="","",MONTH($A859))</f>
        <v/>
      </c>
      <c r="G859" s="22">
        <f>IF($B859="","",IFERROR(INDEX(ContaComp,MATCH($B859,ContaNome,0)),"Conta inválida"))</f>
        <v/>
      </c>
    </row>
    <row r="860" spans="1:7">
      <c r="A860" s="21"/>
      <c r="B860" s="15"/>
      <c r="C860" s="15"/>
      <c r="D860" s="17"/>
      <c r="E860" s="22">
        <f>IF($A860="","",YEAR($A860))</f>
        <v/>
      </c>
      <c r="F860" s="22">
        <f>IF($A860="","",MONTH($A860))</f>
        <v/>
      </c>
      <c r="G860" s="22">
        <f>IF($B860="","",IFERROR(INDEX(ContaComp,MATCH($B860,ContaNome,0)),"Conta inválida"))</f>
        <v/>
      </c>
    </row>
    <row r="861" spans="1:7">
      <c r="A861" s="21"/>
      <c r="B861" s="15"/>
      <c r="C861" s="15"/>
      <c r="D861" s="17"/>
      <c r="E861" s="22">
        <f>IF($A861="","",YEAR($A861))</f>
        <v/>
      </c>
      <c r="F861" s="22">
        <f>IF($A861="","",MONTH($A861))</f>
        <v/>
      </c>
      <c r="G861" s="22">
        <f>IF($B861="","",IFERROR(INDEX(ContaComp,MATCH($B861,ContaNome,0)),"Conta inválida"))</f>
        <v/>
      </c>
    </row>
    <row r="862" spans="1:7">
      <c r="A862" s="21"/>
      <c r="B862" s="15"/>
      <c r="C862" s="15"/>
      <c r="D862" s="17"/>
      <c r="E862" s="22">
        <f>IF($A862="","",YEAR($A862))</f>
        <v/>
      </c>
      <c r="F862" s="22">
        <f>IF($A862="","",MONTH($A862))</f>
        <v/>
      </c>
      <c r="G862" s="22">
        <f>IF($B862="","",IFERROR(INDEX(ContaComp,MATCH($B862,ContaNome,0)),"Conta inválida"))</f>
        <v/>
      </c>
    </row>
    <row r="863" spans="1:7">
      <c r="A863" s="21"/>
      <c r="B863" s="15"/>
      <c r="C863" s="15"/>
      <c r="D863" s="17"/>
      <c r="E863" s="22">
        <f>IF($A863="","",YEAR($A863))</f>
        <v/>
      </c>
      <c r="F863" s="22">
        <f>IF($A863="","",MONTH($A863))</f>
        <v/>
      </c>
      <c r="G863" s="22">
        <f>IF($B863="","",IFERROR(INDEX(ContaComp,MATCH($B863,ContaNome,0)),"Conta inválida"))</f>
        <v/>
      </c>
    </row>
    <row r="864" spans="1:7">
      <c r="A864" s="21"/>
      <c r="B864" s="15"/>
      <c r="C864" s="15"/>
      <c r="D864" s="17"/>
      <c r="E864" s="22">
        <f>IF($A864="","",YEAR($A864))</f>
        <v/>
      </c>
      <c r="F864" s="22">
        <f>IF($A864="","",MONTH($A864))</f>
        <v/>
      </c>
      <c r="G864" s="22">
        <f>IF($B864="","",IFERROR(INDEX(ContaComp,MATCH($B864,ContaNome,0)),"Conta inválida"))</f>
        <v/>
      </c>
    </row>
    <row r="865" spans="1:7">
      <c r="A865" s="21"/>
      <c r="B865" s="15"/>
      <c r="C865" s="15"/>
      <c r="D865" s="17"/>
      <c r="E865" s="22">
        <f>IF($A865="","",YEAR($A865))</f>
        <v/>
      </c>
      <c r="F865" s="22">
        <f>IF($A865="","",MONTH($A865))</f>
        <v/>
      </c>
      <c r="G865" s="22">
        <f>IF($B865="","",IFERROR(INDEX(ContaComp,MATCH($B865,ContaNome,0)),"Conta inválida"))</f>
        <v/>
      </c>
    </row>
    <row r="866" spans="1:7">
      <c r="A866" s="21"/>
      <c r="B866" s="15"/>
      <c r="C866" s="15"/>
      <c r="D866" s="17"/>
      <c r="E866" s="22">
        <f>IF($A866="","",YEAR($A866))</f>
        <v/>
      </c>
      <c r="F866" s="22">
        <f>IF($A866="","",MONTH($A866))</f>
        <v/>
      </c>
      <c r="G866" s="22">
        <f>IF($B866="","",IFERROR(INDEX(ContaComp,MATCH($B866,ContaNome,0)),"Conta inválida"))</f>
        <v/>
      </c>
    </row>
    <row r="867" spans="1:7">
      <c r="A867" s="21"/>
      <c r="B867" s="15"/>
      <c r="C867" s="15"/>
      <c r="D867" s="17"/>
      <c r="E867" s="22">
        <f>IF($A867="","",YEAR($A867))</f>
        <v/>
      </c>
      <c r="F867" s="22">
        <f>IF($A867="","",MONTH($A867))</f>
        <v/>
      </c>
      <c r="G867" s="22">
        <f>IF($B867="","",IFERROR(INDEX(ContaComp,MATCH($B867,ContaNome,0)),"Conta inválida"))</f>
        <v/>
      </c>
    </row>
    <row r="868" spans="1:7">
      <c r="A868" s="21"/>
      <c r="B868" s="15"/>
      <c r="C868" s="15"/>
      <c r="D868" s="17"/>
      <c r="E868" s="22">
        <f>IF($A868="","",YEAR($A868))</f>
        <v/>
      </c>
      <c r="F868" s="22">
        <f>IF($A868="","",MONTH($A868))</f>
        <v/>
      </c>
      <c r="G868" s="22">
        <f>IF($B868="","",IFERROR(INDEX(ContaComp,MATCH($B868,ContaNome,0)),"Conta inválida"))</f>
        <v/>
      </c>
    </row>
    <row r="869" spans="1:7">
      <c r="A869" s="21"/>
      <c r="B869" s="15"/>
      <c r="C869" s="15"/>
      <c r="D869" s="17"/>
      <c r="E869" s="22">
        <f>IF($A869="","",YEAR($A869))</f>
        <v/>
      </c>
      <c r="F869" s="22">
        <f>IF($A869="","",MONTH($A869))</f>
        <v/>
      </c>
      <c r="G869" s="22">
        <f>IF($B869="","",IFERROR(INDEX(ContaComp,MATCH($B869,ContaNome,0)),"Conta inválida"))</f>
        <v/>
      </c>
    </row>
    <row r="870" spans="1:7">
      <c r="A870" s="21"/>
      <c r="B870" s="15"/>
      <c r="C870" s="15"/>
      <c r="D870" s="17"/>
      <c r="E870" s="22">
        <f>IF($A870="","",YEAR($A870))</f>
        <v/>
      </c>
      <c r="F870" s="22">
        <f>IF($A870="","",MONTH($A870))</f>
        <v/>
      </c>
      <c r="G870" s="22">
        <f>IF($B870="","",IFERROR(INDEX(ContaComp,MATCH($B870,ContaNome,0)),"Conta inválida"))</f>
        <v/>
      </c>
    </row>
    <row r="871" spans="1:7">
      <c r="A871" s="21"/>
      <c r="B871" s="15"/>
      <c r="C871" s="15"/>
      <c r="D871" s="17"/>
      <c r="E871" s="22">
        <f>IF($A871="","",YEAR($A871))</f>
        <v/>
      </c>
      <c r="F871" s="22">
        <f>IF($A871="","",MONTH($A871))</f>
        <v/>
      </c>
      <c r="G871" s="22">
        <f>IF($B871="","",IFERROR(INDEX(ContaComp,MATCH($B871,ContaNome,0)),"Conta inválida"))</f>
        <v/>
      </c>
    </row>
    <row r="872" spans="1:7">
      <c r="A872" s="21"/>
      <c r="B872" s="15"/>
      <c r="C872" s="15"/>
      <c r="D872" s="17"/>
      <c r="E872" s="22">
        <f>IF($A872="","",YEAR($A872))</f>
        <v/>
      </c>
      <c r="F872" s="22">
        <f>IF($A872="","",MONTH($A872))</f>
        <v/>
      </c>
      <c r="G872" s="22">
        <f>IF($B872="","",IFERROR(INDEX(ContaComp,MATCH($B872,ContaNome,0)),"Conta inválida"))</f>
        <v/>
      </c>
    </row>
    <row r="873" spans="1:7">
      <c r="A873" s="21"/>
      <c r="B873" s="15"/>
      <c r="C873" s="15"/>
      <c r="D873" s="17"/>
      <c r="E873" s="22">
        <f>IF($A873="","",YEAR($A873))</f>
        <v/>
      </c>
      <c r="F873" s="22">
        <f>IF($A873="","",MONTH($A873))</f>
        <v/>
      </c>
      <c r="G873" s="22">
        <f>IF($B873="","",IFERROR(INDEX(ContaComp,MATCH($B873,ContaNome,0)),"Conta inválida"))</f>
        <v/>
      </c>
    </row>
    <row r="874" spans="1:7">
      <c r="A874" s="21"/>
      <c r="B874" s="15"/>
      <c r="C874" s="15"/>
      <c r="D874" s="17"/>
      <c r="E874" s="22">
        <f>IF($A874="","",YEAR($A874))</f>
        <v/>
      </c>
      <c r="F874" s="22">
        <f>IF($A874="","",MONTH($A874))</f>
        <v/>
      </c>
      <c r="G874" s="22">
        <f>IF($B874="","",IFERROR(INDEX(ContaComp,MATCH($B874,ContaNome,0)),"Conta inválida"))</f>
        <v/>
      </c>
    </row>
    <row r="875" spans="1:7">
      <c r="A875" s="21"/>
      <c r="B875" s="15"/>
      <c r="C875" s="15"/>
      <c r="D875" s="17"/>
      <c r="E875" s="22">
        <f>IF($A875="","",YEAR($A875))</f>
        <v/>
      </c>
      <c r="F875" s="22">
        <f>IF($A875="","",MONTH($A875))</f>
        <v/>
      </c>
      <c r="G875" s="22">
        <f>IF($B875="","",IFERROR(INDEX(ContaComp,MATCH($B875,ContaNome,0)),"Conta inválida"))</f>
        <v/>
      </c>
    </row>
    <row r="876" spans="1:7">
      <c r="A876" s="21"/>
      <c r="B876" s="15"/>
      <c r="C876" s="15"/>
      <c r="D876" s="17"/>
      <c r="E876" s="22">
        <f>IF($A876="","",YEAR($A876))</f>
        <v/>
      </c>
      <c r="F876" s="22">
        <f>IF($A876="","",MONTH($A876))</f>
        <v/>
      </c>
      <c r="G876" s="22">
        <f>IF($B876="","",IFERROR(INDEX(ContaComp,MATCH($B876,ContaNome,0)),"Conta inválida"))</f>
        <v/>
      </c>
    </row>
    <row r="877" spans="1:7">
      <c r="A877" s="21"/>
      <c r="B877" s="15"/>
      <c r="C877" s="15"/>
      <c r="D877" s="17"/>
      <c r="E877" s="22">
        <f>IF($A877="","",YEAR($A877))</f>
        <v/>
      </c>
      <c r="F877" s="22">
        <f>IF($A877="","",MONTH($A877))</f>
        <v/>
      </c>
      <c r="G877" s="22">
        <f>IF($B877="","",IFERROR(INDEX(ContaComp,MATCH($B877,ContaNome,0)),"Conta inválida"))</f>
        <v/>
      </c>
    </row>
    <row r="878" spans="1:7">
      <c r="A878" s="21"/>
      <c r="B878" s="15"/>
      <c r="C878" s="15"/>
      <c r="D878" s="17"/>
      <c r="E878" s="22">
        <f>IF($A878="","",YEAR($A878))</f>
        <v/>
      </c>
      <c r="F878" s="22">
        <f>IF($A878="","",MONTH($A878))</f>
        <v/>
      </c>
      <c r="G878" s="22">
        <f>IF($B878="","",IFERROR(INDEX(ContaComp,MATCH($B878,ContaNome,0)),"Conta inválida"))</f>
        <v/>
      </c>
    </row>
    <row r="879" spans="1:7">
      <c r="A879" s="21"/>
      <c r="B879" s="15"/>
      <c r="C879" s="15"/>
      <c r="D879" s="17"/>
      <c r="E879" s="22">
        <f>IF($A879="","",YEAR($A879))</f>
        <v/>
      </c>
      <c r="F879" s="22">
        <f>IF($A879="","",MONTH($A879))</f>
        <v/>
      </c>
      <c r="G879" s="22">
        <f>IF($B879="","",IFERROR(INDEX(ContaComp,MATCH($B879,ContaNome,0)),"Conta inválida"))</f>
        <v/>
      </c>
    </row>
    <row r="880" spans="1:7">
      <c r="A880" s="21"/>
      <c r="B880" s="15"/>
      <c r="C880" s="15"/>
      <c r="D880" s="17"/>
      <c r="E880" s="22">
        <f>IF($A880="","",YEAR($A880))</f>
        <v/>
      </c>
      <c r="F880" s="22">
        <f>IF($A880="","",MONTH($A880))</f>
        <v/>
      </c>
      <c r="G880" s="22">
        <f>IF($B880="","",IFERROR(INDEX(ContaComp,MATCH($B880,ContaNome,0)),"Conta inválida"))</f>
        <v/>
      </c>
    </row>
    <row r="881" spans="1:7">
      <c r="A881" s="21"/>
      <c r="B881" s="15"/>
      <c r="C881" s="15"/>
      <c r="D881" s="17"/>
      <c r="E881" s="22">
        <f>IF($A881="","",YEAR($A881))</f>
        <v/>
      </c>
      <c r="F881" s="22">
        <f>IF($A881="","",MONTH($A881))</f>
        <v/>
      </c>
      <c r="G881" s="22">
        <f>IF($B881="","",IFERROR(INDEX(ContaComp,MATCH($B881,ContaNome,0)),"Conta inválida"))</f>
        <v/>
      </c>
    </row>
    <row r="882" spans="1:7">
      <c r="A882" s="21"/>
      <c r="B882" s="15"/>
      <c r="C882" s="15"/>
      <c r="D882" s="17"/>
      <c r="E882" s="22">
        <f>IF($A882="","",YEAR($A882))</f>
        <v/>
      </c>
      <c r="F882" s="22">
        <f>IF($A882="","",MONTH($A882))</f>
        <v/>
      </c>
      <c r="G882" s="22">
        <f>IF($B882="","",IFERROR(INDEX(ContaComp,MATCH($B882,ContaNome,0)),"Conta inválida"))</f>
        <v/>
      </c>
    </row>
    <row r="883" spans="1:7">
      <c r="A883" s="21"/>
      <c r="B883" s="15"/>
      <c r="C883" s="15"/>
      <c r="D883" s="17"/>
      <c r="E883" s="22">
        <f>IF($A883="","",YEAR($A883))</f>
        <v/>
      </c>
      <c r="F883" s="22">
        <f>IF($A883="","",MONTH($A883))</f>
        <v/>
      </c>
      <c r="G883" s="22">
        <f>IF($B883="","",IFERROR(INDEX(ContaComp,MATCH($B883,ContaNome,0)),"Conta inválida"))</f>
        <v/>
      </c>
    </row>
    <row r="884" spans="1:7">
      <c r="A884" s="21"/>
      <c r="B884" s="15"/>
      <c r="C884" s="15"/>
      <c r="D884" s="17"/>
      <c r="E884" s="22">
        <f>IF($A884="","",YEAR($A884))</f>
        <v/>
      </c>
      <c r="F884" s="22">
        <f>IF($A884="","",MONTH($A884))</f>
        <v/>
      </c>
      <c r="G884" s="22">
        <f>IF($B884="","",IFERROR(INDEX(ContaComp,MATCH($B884,ContaNome,0)),"Conta inválida"))</f>
        <v/>
      </c>
    </row>
    <row r="885" spans="1:7">
      <c r="A885" s="21"/>
      <c r="B885" s="15"/>
      <c r="C885" s="15"/>
      <c r="D885" s="17"/>
      <c r="E885" s="22">
        <f>IF($A885="","",YEAR($A885))</f>
        <v/>
      </c>
      <c r="F885" s="22">
        <f>IF($A885="","",MONTH($A885))</f>
        <v/>
      </c>
      <c r="G885" s="22">
        <f>IF($B885="","",IFERROR(INDEX(ContaComp,MATCH($B885,ContaNome,0)),"Conta inválida"))</f>
        <v/>
      </c>
    </row>
    <row r="886" spans="1:7">
      <c r="A886" s="21"/>
      <c r="B886" s="15"/>
      <c r="C886" s="15"/>
      <c r="D886" s="17"/>
      <c r="E886" s="22">
        <f>IF($A886="","",YEAR($A886))</f>
        <v/>
      </c>
      <c r="F886" s="22">
        <f>IF($A886="","",MONTH($A886))</f>
        <v/>
      </c>
      <c r="G886" s="22">
        <f>IF($B886="","",IFERROR(INDEX(ContaComp,MATCH($B886,ContaNome,0)),"Conta inválida"))</f>
        <v/>
      </c>
    </row>
    <row r="887" spans="1:7">
      <c r="A887" s="21"/>
      <c r="B887" s="15"/>
      <c r="C887" s="15"/>
      <c r="D887" s="17"/>
      <c r="E887" s="22">
        <f>IF($A887="","",YEAR($A887))</f>
        <v/>
      </c>
      <c r="F887" s="22">
        <f>IF($A887="","",MONTH($A887))</f>
        <v/>
      </c>
      <c r="G887" s="22">
        <f>IF($B887="","",IFERROR(INDEX(ContaComp,MATCH($B887,ContaNome,0)),"Conta inválida"))</f>
        <v/>
      </c>
    </row>
    <row r="888" spans="1:7">
      <c r="A888" s="21"/>
      <c r="B888" s="15"/>
      <c r="C888" s="15"/>
      <c r="D888" s="17"/>
      <c r="E888" s="22">
        <f>IF($A888="","",YEAR($A888))</f>
        <v/>
      </c>
      <c r="F888" s="22">
        <f>IF($A888="","",MONTH($A888))</f>
        <v/>
      </c>
      <c r="G888" s="22">
        <f>IF($B888="","",IFERROR(INDEX(ContaComp,MATCH($B888,ContaNome,0)),"Conta inválida"))</f>
        <v/>
      </c>
    </row>
    <row r="889" spans="1:7">
      <c r="A889" s="21"/>
      <c r="B889" s="15"/>
      <c r="C889" s="15"/>
      <c r="D889" s="17"/>
      <c r="E889" s="22">
        <f>IF($A889="","",YEAR($A889))</f>
        <v/>
      </c>
      <c r="F889" s="22">
        <f>IF($A889="","",MONTH($A889))</f>
        <v/>
      </c>
      <c r="G889" s="22">
        <f>IF($B889="","",IFERROR(INDEX(ContaComp,MATCH($B889,ContaNome,0)),"Conta inválida"))</f>
        <v/>
      </c>
    </row>
    <row r="890" spans="1:7">
      <c r="A890" s="21"/>
      <c r="B890" s="15"/>
      <c r="C890" s="15"/>
      <c r="D890" s="17"/>
      <c r="E890" s="22">
        <f>IF($A890="","",YEAR($A890))</f>
        <v/>
      </c>
      <c r="F890" s="22">
        <f>IF($A890="","",MONTH($A890))</f>
        <v/>
      </c>
      <c r="G890" s="22">
        <f>IF($B890="","",IFERROR(INDEX(ContaComp,MATCH($B890,ContaNome,0)),"Conta inválida"))</f>
        <v/>
      </c>
    </row>
    <row r="891" spans="1:7">
      <c r="A891" s="21"/>
      <c r="B891" s="15"/>
      <c r="C891" s="15"/>
      <c r="D891" s="17"/>
      <c r="E891" s="22">
        <f>IF($A891="","",YEAR($A891))</f>
        <v/>
      </c>
      <c r="F891" s="22">
        <f>IF($A891="","",MONTH($A891))</f>
        <v/>
      </c>
      <c r="G891" s="22">
        <f>IF($B891="","",IFERROR(INDEX(ContaComp,MATCH($B891,ContaNome,0)),"Conta inválida"))</f>
        <v/>
      </c>
    </row>
    <row r="892" spans="1:7">
      <c r="A892" s="21"/>
      <c r="B892" s="15"/>
      <c r="C892" s="15"/>
      <c r="D892" s="17"/>
      <c r="E892" s="22">
        <f>IF($A892="","",YEAR($A892))</f>
        <v/>
      </c>
      <c r="F892" s="22">
        <f>IF($A892="","",MONTH($A892))</f>
        <v/>
      </c>
      <c r="G892" s="22">
        <f>IF($B892="","",IFERROR(INDEX(ContaComp,MATCH($B892,ContaNome,0)),"Conta inválida"))</f>
        <v/>
      </c>
    </row>
    <row r="893" spans="1:7">
      <c r="A893" s="21"/>
      <c r="B893" s="15"/>
      <c r="C893" s="15"/>
      <c r="D893" s="17"/>
      <c r="E893" s="22">
        <f>IF($A893="","",YEAR($A893))</f>
        <v/>
      </c>
      <c r="F893" s="22">
        <f>IF($A893="","",MONTH($A893))</f>
        <v/>
      </c>
      <c r="G893" s="22">
        <f>IF($B893="","",IFERROR(INDEX(ContaComp,MATCH($B893,ContaNome,0)),"Conta inválida"))</f>
        <v/>
      </c>
    </row>
    <row r="894" spans="1:7">
      <c r="A894" s="21"/>
      <c r="B894" s="15"/>
      <c r="C894" s="15"/>
      <c r="D894" s="17"/>
      <c r="E894" s="22">
        <f>IF($A894="","",YEAR($A894))</f>
        <v/>
      </c>
      <c r="F894" s="22">
        <f>IF($A894="","",MONTH($A894))</f>
        <v/>
      </c>
      <c r="G894" s="22">
        <f>IF($B894="","",IFERROR(INDEX(ContaComp,MATCH($B894,ContaNome,0)),"Conta inválida"))</f>
        <v/>
      </c>
    </row>
    <row r="895" spans="1:7">
      <c r="A895" s="21"/>
      <c r="B895" s="15"/>
      <c r="C895" s="15"/>
      <c r="D895" s="17"/>
      <c r="E895" s="22">
        <f>IF($A895="","",YEAR($A895))</f>
        <v/>
      </c>
      <c r="F895" s="22">
        <f>IF($A895="","",MONTH($A895))</f>
        <v/>
      </c>
      <c r="G895" s="22">
        <f>IF($B895="","",IFERROR(INDEX(ContaComp,MATCH($B895,ContaNome,0)),"Conta inválida"))</f>
        <v/>
      </c>
    </row>
    <row r="896" spans="1:7">
      <c r="A896" s="21"/>
      <c r="B896" s="15"/>
      <c r="C896" s="15"/>
      <c r="D896" s="17"/>
      <c r="E896" s="22">
        <f>IF($A896="","",YEAR($A896))</f>
        <v/>
      </c>
      <c r="F896" s="22">
        <f>IF($A896="","",MONTH($A896))</f>
        <v/>
      </c>
      <c r="G896" s="22">
        <f>IF($B896="","",IFERROR(INDEX(ContaComp,MATCH($B896,ContaNome,0)),"Conta inválida"))</f>
        <v/>
      </c>
    </row>
    <row r="897" spans="1:7">
      <c r="A897" s="21"/>
      <c r="B897" s="15"/>
      <c r="C897" s="15"/>
      <c r="D897" s="17"/>
      <c r="E897" s="22">
        <f>IF($A897="","",YEAR($A897))</f>
        <v/>
      </c>
      <c r="F897" s="22">
        <f>IF($A897="","",MONTH($A897))</f>
        <v/>
      </c>
      <c r="G897" s="22">
        <f>IF($B897="","",IFERROR(INDEX(ContaComp,MATCH($B897,ContaNome,0)),"Conta inválida"))</f>
        <v/>
      </c>
    </row>
    <row r="898" spans="1:7">
      <c r="A898" s="21"/>
      <c r="B898" s="15"/>
      <c r="C898" s="15"/>
      <c r="D898" s="17"/>
      <c r="E898" s="22">
        <f>IF($A898="","",YEAR($A898))</f>
        <v/>
      </c>
      <c r="F898" s="22">
        <f>IF($A898="","",MONTH($A898))</f>
        <v/>
      </c>
      <c r="G898" s="22">
        <f>IF($B898="","",IFERROR(INDEX(ContaComp,MATCH($B898,ContaNome,0)),"Conta inválida"))</f>
        <v/>
      </c>
    </row>
    <row r="899" spans="1:7">
      <c r="A899" s="21"/>
      <c r="B899" s="15"/>
      <c r="C899" s="15"/>
      <c r="D899" s="17"/>
      <c r="E899" s="22">
        <f>IF($A899="","",YEAR($A899))</f>
        <v/>
      </c>
      <c r="F899" s="22">
        <f>IF($A899="","",MONTH($A899))</f>
        <v/>
      </c>
      <c r="G899" s="22">
        <f>IF($B899="","",IFERROR(INDEX(ContaComp,MATCH($B899,ContaNome,0)),"Conta inválida"))</f>
        <v/>
      </c>
    </row>
    <row r="900" spans="1:7">
      <c r="A900" s="21"/>
      <c r="B900" s="15"/>
      <c r="C900" s="15"/>
      <c r="D900" s="17"/>
      <c r="E900" s="22">
        <f>IF($A900="","",YEAR($A900))</f>
        <v/>
      </c>
      <c r="F900" s="22">
        <f>IF($A900="","",MONTH($A900))</f>
        <v/>
      </c>
      <c r="G900" s="22">
        <f>IF($B900="","",IFERROR(INDEX(ContaComp,MATCH($B900,ContaNome,0)),"Conta inválida"))</f>
        <v/>
      </c>
    </row>
    <row r="901" spans="1:7">
      <c r="A901" s="21"/>
      <c r="B901" s="15"/>
      <c r="C901" s="15"/>
      <c r="D901" s="17"/>
      <c r="E901" s="22">
        <f>IF($A901="","",YEAR($A901))</f>
        <v/>
      </c>
      <c r="F901" s="22">
        <f>IF($A901="","",MONTH($A901))</f>
        <v/>
      </c>
      <c r="G901" s="22">
        <f>IF($B901="","",IFERROR(INDEX(ContaComp,MATCH($B901,ContaNome,0)),"Conta inválida"))</f>
        <v/>
      </c>
    </row>
    <row r="902" spans="1:7">
      <c r="A902" s="21"/>
      <c r="B902" s="15"/>
      <c r="C902" s="15"/>
      <c r="D902" s="17"/>
      <c r="E902" s="22">
        <f>IF($A902="","",YEAR($A902))</f>
        <v/>
      </c>
      <c r="F902" s="22">
        <f>IF($A902="","",MONTH($A902))</f>
        <v/>
      </c>
      <c r="G902" s="22">
        <f>IF($B902="","",IFERROR(INDEX(ContaComp,MATCH($B902,ContaNome,0)),"Conta inválida"))</f>
        <v/>
      </c>
    </row>
    <row r="903" spans="1:7">
      <c r="A903" s="21"/>
      <c r="B903" s="15"/>
      <c r="C903" s="15"/>
      <c r="D903" s="17"/>
      <c r="E903" s="22">
        <f>IF($A903="","",YEAR($A903))</f>
        <v/>
      </c>
      <c r="F903" s="22">
        <f>IF($A903="","",MONTH($A903))</f>
        <v/>
      </c>
      <c r="G903" s="22">
        <f>IF($B903="","",IFERROR(INDEX(ContaComp,MATCH($B903,ContaNome,0)),"Conta inválida"))</f>
        <v/>
      </c>
    </row>
    <row r="904" spans="1:7">
      <c r="A904" s="21"/>
      <c r="B904" s="15"/>
      <c r="C904" s="15"/>
      <c r="D904" s="17"/>
      <c r="E904" s="22">
        <f>IF($A904="","",YEAR($A904))</f>
        <v/>
      </c>
      <c r="F904" s="22">
        <f>IF($A904="","",MONTH($A904))</f>
        <v/>
      </c>
      <c r="G904" s="22">
        <f>IF($B904="","",IFERROR(INDEX(ContaComp,MATCH($B904,ContaNome,0)),"Conta inválida"))</f>
        <v/>
      </c>
    </row>
    <row r="905" spans="1:7">
      <c r="A905" s="21"/>
      <c r="B905" s="15"/>
      <c r="C905" s="15"/>
      <c r="D905" s="17"/>
      <c r="E905" s="22">
        <f>IF($A905="","",YEAR($A905))</f>
        <v/>
      </c>
      <c r="F905" s="22">
        <f>IF($A905="","",MONTH($A905))</f>
        <v/>
      </c>
      <c r="G905" s="22">
        <f>IF($B905="","",IFERROR(INDEX(ContaComp,MATCH($B905,ContaNome,0)),"Conta inválida"))</f>
        <v/>
      </c>
    </row>
    <row r="906" spans="1:7">
      <c r="A906" s="21"/>
      <c r="B906" s="15"/>
      <c r="C906" s="15"/>
      <c r="D906" s="17"/>
      <c r="E906" s="22">
        <f>IF($A906="","",YEAR($A906))</f>
        <v/>
      </c>
      <c r="F906" s="22">
        <f>IF($A906="","",MONTH($A906))</f>
        <v/>
      </c>
      <c r="G906" s="22">
        <f>IF($B906="","",IFERROR(INDEX(ContaComp,MATCH($B906,ContaNome,0)),"Conta inválida"))</f>
        <v/>
      </c>
    </row>
    <row r="907" spans="1:7">
      <c r="A907" s="21"/>
      <c r="B907" s="15"/>
      <c r="C907" s="15"/>
      <c r="D907" s="17"/>
      <c r="E907" s="22">
        <f>IF($A907="","",YEAR($A907))</f>
        <v/>
      </c>
      <c r="F907" s="22">
        <f>IF($A907="","",MONTH($A907))</f>
        <v/>
      </c>
      <c r="G907" s="22">
        <f>IF($B907="","",IFERROR(INDEX(ContaComp,MATCH($B907,ContaNome,0)),"Conta inválida"))</f>
        <v/>
      </c>
    </row>
    <row r="908" spans="1:7">
      <c r="A908" s="21"/>
      <c r="B908" s="15"/>
      <c r="C908" s="15"/>
      <c r="D908" s="17"/>
      <c r="E908" s="22">
        <f>IF($A908="","",YEAR($A908))</f>
        <v/>
      </c>
      <c r="F908" s="22">
        <f>IF($A908="","",MONTH($A908))</f>
        <v/>
      </c>
      <c r="G908" s="22">
        <f>IF($B908="","",IFERROR(INDEX(ContaComp,MATCH($B908,ContaNome,0)),"Conta inválida"))</f>
        <v/>
      </c>
    </row>
    <row r="909" spans="1:7">
      <c r="A909" s="21"/>
      <c r="B909" s="15"/>
      <c r="C909" s="15"/>
      <c r="D909" s="17"/>
      <c r="E909" s="22">
        <f>IF($A909="","",YEAR($A909))</f>
        <v/>
      </c>
      <c r="F909" s="22">
        <f>IF($A909="","",MONTH($A909))</f>
        <v/>
      </c>
      <c r="G909" s="22">
        <f>IF($B909="","",IFERROR(INDEX(ContaComp,MATCH($B909,ContaNome,0)),"Conta inválida"))</f>
        <v/>
      </c>
    </row>
    <row r="910" spans="1:7">
      <c r="A910" s="21"/>
      <c r="B910" s="15"/>
      <c r="C910" s="15"/>
      <c r="D910" s="17"/>
      <c r="E910" s="22">
        <f>IF($A910="","",YEAR($A910))</f>
        <v/>
      </c>
      <c r="F910" s="22">
        <f>IF($A910="","",MONTH($A910))</f>
        <v/>
      </c>
      <c r="G910" s="22">
        <f>IF($B910="","",IFERROR(INDEX(ContaComp,MATCH($B910,ContaNome,0)),"Conta inválida"))</f>
        <v/>
      </c>
    </row>
    <row r="911" spans="1:7">
      <c r="A911" s="21"/>
      <c r="B911" s="15"/>
      <c r="C911" s="15"/>
      <c r="D911" s="17"/>
      <c r="E911" s="22">
        <f>IF($A911="","",YEAR($A911))</f>
        <v/>
      </c>
      <c r="F911" s="22">
        <f>IF($A911="","",MONTH($A911))</f>
        <v/>
      </c>
      <c r="G911" s="22">
        <f>IF($B911="","",IFERROR(INDEX(ContaComp,MATCH($B911,ContaNome,0)),"Conta inválida"))</f>
        <v/>
      </c>
    </row>
    <row r="912" spans="1:7">
      <c r="A912" s="21"/>
      <c r="B912" s="15"/>
      <c r="C912" s="15"/>
      <c r="D912" s="17"/>
      <c r="E912" s="22">
        <f>IF($A912="","",YEAR($A912))</f>
        <v/>
      </c>
      <c r="F912" s="22">
        <f>IF($A912="","",MONTH($A912))</f>
        <v/>
      </c>
      <c r="G912" s="22">
        <f>IF($B912="","",IFERROR(INDEX(ContaComp,MATCH($B912,ContaNome,0)),"Conta inválida"))</f>
        <v/>
      </c>
    </row>
    <row r="913" spans="1:7">
      <c r="A913" s="21"/>
      <c r="B913" s="15"/>
      <c r="C913" s="15"/>
      <c r="D913" s="17"/>
      <c r="E913" s="22">
        <f>IF($A913="","",YEAR($A913))</f>
        <v/>
      </c>
      <c r="F913" s="22">
        <f>IF($A913="","",MONTH($A913))</f>
        <v/>
      </c>
      <c r="G913" s="22">
        <f>IF($B913="","",IFERROR(INDEX(ContaComp,MATCH($B913,ContaNome,0)),"Conta inválida"))</f>
        <v/>
      </c>
    </row>
    <row r="914" spans="1:7">
      <c r="A914" s="21"/>
      <c r="B914" s="15"/>
      <c r="C914" s="15"/>
      <c r="D914" s="17"/>
      <c r="E914" s="22">
        <f>IF($A914="","",YEAR($A914))</f>
        <v/>
      </c>
      <c r="F914" s="22">
        <f>IF($A914="","",MONTH($A914))</f>
        <v/>
      </c>
      <c r="G914" s="22">
        <f>IF($B914="","",IFERROR(INDEX(ContaComp,MATCH($B914,ContaNome,0)),"Conta inválida"))</f>
        <v/>
      </c>
    </row>
    <row r="915" spans="1:7">
      <c r="A915" s="21"/>
      <c r="B915" s="15"/>
      <c r="C915" s="15"/>
      <c r="D915" s="17"/>
      <c r="E915" s="22">
        <f>IF($A915="","",YEAR($A915))</f>
        <v/>
      </c>
      <c r="F915" s="22">
        <f>IF($A915="","",MONTH($A915))</f>
        <v/>
      </c>
      <c r="G915" s="22">
        <f>IF($B915="","",IFERROR(INDEX(ContaComp,MATCH($B915,ContaNome,0)),"Conta inválida"))</f>
        <v/>
      </c>
    </row>
    <row r="916" spans="1:7">
      <c r="A916" s="21"/>
      <c r="B916" s="15"/>
      <c r="C916" s="15"/>
      <c r="D916" s="17"/>
      <c r="E916" s="22">
        <f>IF($A916="","",YEAR($A916))</f>
        <v/>
      </c>
      <c r="F916" s="22">
        <f>IF($A916="","",MONTH($A916))</f>
        <v/>
      </c>
      <c r="G916" s="22">
        <f>IF($B916="","",IFERROR(INDEX(ContaComp,MATCH($B916,ContaNome,0)),"Conta inválida"))</f>
        <v/>
      </c>
    </row>
    <row r="917" spans="1:7">
      <c r="A917" s="21"/>
      <c r="B917" s="15"/>
      <c r="C917" s="15"/>
      <c r="D917" s="17"/>
      <c r="E917" s="22">
        <f>IF($A917="","",YEAR($A917))</f>
        <v/>
      </c>
      <c r="F917" s="22">
        <f>IF($A917="","",MONTH($A917))</f>
        <v/>
      </c>
      <c r="G917" s="22">
        <f>IF($B917="","",IFERROR(INDEX(ContaComp,MATCH($B917,ContaNome,0)),"Conta inválida"))</f>
        <v/>
      </c>
    </row>
    <row r="918" spans="1:7">
      <c r="A918" s="21"/>
      <c r="B918" s="15"/>
      <c r="C918" s="15"/>
      <c r="D918" s="17"/>
      <c r="E918" s="22">
        <f>IF($A918="","",YEAR($A918))</f>
        <v/>
      </c>
      <c r="F918" s="22">
        <f>IF($A918="","",MONTH($A918))</f>
        <v/>
      </c>
      <c r="G918" s="22">
        <f>IF($B918="","",IFERROR(INDEX(ContaComp,MATCH($B918,ContaNome,0)),"Conta inválida"))</f>
        <v/>
      </c>
    </row>
    <row r="919" spans="1:7">
      <c r="A919" s="21"/>
      <c r="B919" s="15"/>
      <c r="C919" s="15"/>
      <c r="D919" s="17"/>
      <c r="E919" s="22">
        <f>IF($A919="","",YEAR($A919))</f>
        <v/>
      </c>
      <c r="F919" s="22">
        <f>IF($A919="","",MONTH($A919))</f>
        <v/>
      </c>
      <c r="G919" s="22">
        <f>IF($B919="","",IFERROR(INDEX(ContaComp,MATCH($B919,ContaNome,0)),"Conta inválida"))</f>
        <v/>
      </c>
    </row>
    <row r="920" spans="1:7">
      <c r="A920" s="21"/>
      <c r="B920" s="15"/>
      <c r="C920" s="15"/>
      <c r="D920" s="17"/>
      <c r="E920" s="22">
        <f>IF($A920="","",YEAR($A920))</f>
        <v/>
      </c>
      <c r="F920" s="22">
        <f>IF($A920="","",MONTH($A920))</f>
        <v/>
      </c>
      <c r="G920" s="22">
        <f>IF($B920="","",IFERROR(INDEX(ContaComp,MATCH($B920,ContaNome,0)),"Conta inválida"))</f>
        <v/>
      </c>
    </row>
    <row r="921" spans="1:7">
      <c r="A921" s="21"/>
      <c r="B921" s="15"/>
      <c r="C921" s="15"/>
      <c r="D921" s="17"/>
      <c r="E921" s="22">
        <f>IF($A921="","",YEAR($A921))</f>
        <v/>
      </c>
      <c r="F921" s="22">
        <f>IF($A921="","",MONTH($A921))</f>
        <v/>
      </c>
      <c r="G921" s="22">
        <f>IF($B921="","",IFERROR(INDEX(ContaComp,MATCH($B921,ContaNome,0)),"Conta inválida"))</f>
        <v/>
      </c>
    </row>
    <row r="922" spans="1:7">
      <c r="A922" s="21"/>
      <c r="B922" s="15"/>
      <c r="C922" s="15"/>
      <c r="D922" s="17"/>
      <c r="E922" s="22">
        <f>IF($A922="","",YEAR($A922))</f>
        <v/>
      </c>
      <c r="F922" s="22">
        <f>IF($A922="","",MONTH($A922))</f>
        <v/>
      </c>
      <c r="G922" s="22">
        <f>IF($B922="","",IFERROR(INDEX(ContaComp,MATCH($B922,ContaNome,0)),"Conta inválida"))</f>
        <v/>
      </c>
    </row>
    <row r="923" spans="1:7">
      <c r="A923" s="21"/>
      <c r="B923" s="15"/>
      <c r="C923" s="15"/>
      <c r="D923" s="17"/>
      <c r="E923" s="22">
        <f>IF($A923="","",YEAR($A923))</f>
        <v/>
      </c>
      <c r="F923" s="22">
        <f>IF($A923="","",MONTH($A923))</f>
        <v/>
      </c>
      <c r="G923" s="22">
        <f>IF($B923="","",IFERROR(INDEX(ContaComp,MATCH($B923,ContaNome,0)),"Conta inválida"))</f>
        <v/>
      </c>
    </row>
    <row r="924" spans="1:7">
      <c r="A924" s="21"/>
      <c r="B924" s="15"/>
      <c r="C924" s="15"/>
      <c r="D924" s="17"/>
      <c r="E924" s="22">
        <f>IF($A924="","",YEAR($A924))</f>
        <v/>
      </c>
      <c r="F924" s="22">
        <f>IF($A924="","",MONTH($A924))</f>
        <v/>
      </c>
      <c r="G924" s="22">
        <f>IF($B924="","",IFERROR(INDEX(ContaComp,MATCH($B924,ContaNome,0)),"Conta inválida"))</f>
        <v/>
      </c>
    </row>
    <row r="925" spans="1:7">
      <c r="A925" s="21"/>
      <c r="B925" s="15"/>
      <c r="C925" s="15"/>
      <c r="D925" s="17"/>
      <c r="E925" s="22">
        <f>IF($A925="","",YEAR($A925))</f>
        <v/>
      </c>
      <c r="F925" s="22">
        <f>IF($A925="","",MONTH($A925))</f>
        <v/>
      </c>
      <c r="G925" s="22">
        <f>IF($B925="","",IFERROR(INDEX(ContaComp,MATCH($B925,ContaNome,0)),"Conta inválida"))</f>
        <v/>
      </c>
    </row>
    <row r="926" spans="1:7">
      <c r="A926" s="21"/>
      <c r="B926" s="15"/>
      <c r="C926" s="15"/>
      <c r="D926" s="17"/>
      <c r="E926" s="22">
        <f>IF($A926="","",YEAR($A926))</f>
        <v/>
      </c>
      <c r="F926" s="22">
        <f>IF($A926="","",MONTH($A926))</f>
        <v/>
      </c>
      <c r="G926" s="22">
        <f>IF($B926="","",IFERROR(INDEX(ContaComp,MATCH($B926,ContaNome,0)),"Conta inválida"))</f>
        <v/>
      </c>
    </row>
    <row r="927" spans="1:7">
      <c r="A927" s="21"/>
      <c r="B927" s="15"/>
      <c r="C927" s="15"/>
      <c r="D927" s="17"/>
      <c r="E927" s="22">
        <f>IF($A927="","",YEAR($A927))</f>
        <v/>
      </c>
      <c r="F927" s="22">
        <f>IF($A927="","",MONTH($A927))</f>
        <v/>
      </c>
      <c r="G927" s="22">
        <f>IF($B927="","",IFERROR(INDEX(ContaComp,MATCH($B927,ContaNome,0)),"Conta inválida"))</f>
        <v/>
      </c>
    </row>
    <row r="928" spans="1:7">
      <c r="A928" s="21"/>
      <c r="B928" s="15"/>
      <c r="C928" s="15"/>
      <c r="D928" s="17"/>
      <c r="E928" s="22">
        <f>IF($A928="","",YEAR($A928))</f>
        <v/>
      </c>
      <c r="F928" s="22">
        <f>IF($A928="","",MONTH($A928))</f>
        <v/>
      </c>
      <c r="G928" s="22">
        <f>IF($B928="","",IFERROR(INDEX(ContaComp,MATCH($B928,ContaNome,0)),"Conta inválida"))</f>
        <v/>
      </c>
    </row>
    <row r="929" spans="1:7">
      <c r="A929" s="21"/>
      <c r="B929" s="15"/>
      <c r="C929" s="15"/>
      <c r="D929" s="17"/>
      <c r="E929" s="22">
        <f>IF($A929="","",YEAR($A929))</f>
        <v/>
      </c>
      <c r="F929" s="22">
        <f>IF($A929="","",MONTH($A929))</f>
        <v/>
      </c>
      <c r="G929" s="22">
        <f>IF($B929="","",IFERROR(INDEX(ContaComp,MATCH($B929,ContaNome,0)),"Conta inválida"))</f>
        <v/>
      </c>
    </row>
    <row r="930" spans="1:7">
      <c r="A930" s="21"/>
      <c r="B930" s="15"/>
      <c r="C930" s="15"/>
      <c r="D930" s="17"/>
      <c r="E930" s="22">
        <f>IF($A930="","",YEAR($A930))</f>
        <v/>
      </c>
      <c r="F930" s="22">
        <f>IF($A930="","",MONTH($A930))</f>
        <v/>
      </c>
      <c r="G930" s="22">
        <f>IF($B930="","",IFERROR(INDEX(ContaComp,MATCH($B930,ContaNome,0)),"Conta inválida"))</f>
        <v/>
      </c>
    </row>
    <row r="931" spans="1:7">
      <c r="A931" s="21"/>
      <c r="B931" s="15"/>
      <c r="C931" s="15"/>
      <c r="D931" s="17"/>
      <c r="E931" s="22">
        <f>IF($A931="","",YEAR($A931))</f>
        <v/>
      </c>
      <c r="F931" s="22">
        <f>IF($A931="","",MONTH($A931))</f>
        <v/>
      </c>
      <c r="G931" s="22">
        <f>IF($B931="","",IFERROR(INDEX(ContaComp,MATCH($B931,ContaNome,0)),"Conta inválida"))</f>
        <v/>
      </c>
    </row>
    <row r="932" spans="1:7">
      <c r="A932" s="21"/>
      <c r="B932" s="15"/>
      <c r="C932" s="15"/>
      <c r="D932" s="17"/>
      <c r="E932" s="22">
        <f>IF($A932="","",YEAR($A932))</f>
        <v/>
      </c>
      <c r="F932" s="22">
        <f>IF($A932="","",MONTH($A932))</f>
        <v/>
      </c>
      <c r="G932" s="22">
        <f>IF($B932="","",IFERROR(INDEX(ContaComp,MATCH($B932,ContaNome,0)),"Conta inválida"))</f>
        <v/>
      </c>
    </row>
    <row r="933" spans="1:7">
      <c r="A933" s="21"/>
      <c r="B933" s="15"/>
      <c r="C933" s="15"/>
      <c r="D933" s="17"/>
      <c r="E933" s="22">
        <f>IF($A933="","",YEAR($A933))</f>
        <v/>
      </c>
      <c r="F933" s="22">
        <f>IF($A933="","",MONTH($A933))</f>
        <v/>
      </c>
      <c r="G933" s="22">
        <f>IF($B933="","",IFERROR(INDEX(ContaComp,MATCH($B933,ContaNome,0)),"Conta inválida"))</f>
        <v/>
      </c>
    </row>
    <row r="934" spans="1:7">
      <c r="A934" s="21"/>
      <c r="B934" s="15"/>
      <c r="C934" s="15"/>
      <c r="D934" s="17"/>
      <c r="E934" s="22">
        <f>IF($A934="","",YEAR($A934))</f>
        <v/>
      </c>
      <c r="F934" s="22">
        <f>IF($A934="","",MONTH($A934))</f>
        <v/>
      </c>
      <c r="G934" s="22">
        <f>IF($B934="","",IFERROR(INDEX(ContaComp,MATCH($B934,ContaNome,0)),"Conta inválida"))</f>
        <v/>
      </c>
    </row>
    <row r="935" spans="1:7">
      <c r="A935" s="21"/>
      <c r="B935" s="15"/>
      <c r="C935" s="15"/>
      <c r="D935" s="17"/>
      <c r="E935" s="22">
        <f>IF($A935="","",YEAR($A935))</f>
        <v/>
      </c>
      <c r="F935" s="22">
        <f>IF($A935="","",MONTH($A935))</f>
        <v/>
      </c>
      <c r="G935" s="22">
        <f>IF($B935="","",IFERROR(INDEX(ContaComp,MATCH($B935,ContaNome,0)),"Conta inválida"))</f>
        <v/>
      </c>
    </row>
    <row r="936" spans="1:7">
      <c r="A936" s="21"/>
      <c r="B936" s="15"/>
      <c r="C936" s="15"/>
      <c r="D936" s="17"/>
      <c r="E936" s="22">
        <f>IF($A936="","",YEAR($A936))</f>
        <v/>
      </c>
      <c r="F936" s="22">
        <f>IF($A936="","",MONTH($A936))</f>
        <v/>
      </c>
      <c r="G936" s="22">
        <f>IF($B936="","",IFERROR(INDEX(ContaComp,MATCH($B936,ContaNome,0)),"Conta inválida"))</f>
        <v/>
      </c>
    </row>
    <row r="937" spans="1:7">
      <c r="A937" s="21"/>
      <c r="B937" s="15"/>
      <c r="C937" s="15"/>
      <c r="D937" s="17"/>
      <c r="E937" s="22">
        <f>IF($A937="","",YEAR($A937))</f>
        <v/>
      </c>
      <c r="F937" s="22">
        <f>IF($A937="","",MONTH($A937))</f>
        <v/>
      </c>
      <c r="G937" s="22">
        <f>IF($B937="","",IFERROR(INDEX(ContaComp,MATCH($B937,ContaNome,0)),"Conta inválida"))</f>
        <v/>
      </c>
    </row>
    <row r="938" spans="1:7">
      <c r="A938" s="21"/>
      <c r="B938" s="15"/>
      <c r="C938" s="15"/>
      <c r="D938" s="17"/>
      <c r="E938" s="22">
        <f>IF($A938="","",YEAR($A938))</f>
        <v/>
      </c>
      <c r="F938" s="22">
        <f>IF($A938="","",MONTH($A938))</f>
        <v/>
      </c>
      <c r="G938" s="22">
        <f>IF($B938="","",IFERROR(INDEX(ContaComp,MATCH($B938,ContaNome,0)),"Conta inválida"))</f>
        <v/>
      </c>
    </row>
    <row r="939" spans="1:7">
      <c r="A939" s="21"/>
      <c r="B939" s="15"/>
      <c r="C939" s="15"/>
      <c r="D939" s="17"/>
      <c r="E939" s="22">
        <f>IF($A939="","",YEAR($A939))</f>
        <v/>
      </c>
      <c r="F939" s="22">
        <f>IF($A939="","",MONTH($A939))</f>
        <v/>
      </c>
      <c r="G939" s="22">
        <f>IF($B939="","",IFERROR(INDEX(ContaComp,MATCH($B939,ContaNome,0)),"Conta inválida"))</f>
        <v/>
      </c>
    </row>
    <row r="940" spans="1:7">
      <c r="A940" s="21"/>
      <c r="B940" s="15"/>
      <c r="C940" s="15"/>
      <c r="D940" s="17"/>
      <c r="E940" s="22">
        <f>IF($A940="","",YEAR($A940))</f>
        <v/>
      </c>
      <c r="F940" s="22">
        <f>IF($A940="","",MONTH($A940))</f>
        <v/>
      </c>
      <c r="G940" s="22">
        <f>IF($B940="","",IFERROR(INDEX(ContaComp,MATCH($B940,ContaNome,0)),"Conta inválida"))</f>
        <v/>
      </c>
    </row>
    <row r="941" spans="1:7">
      <c r="A941" s="21"/>
      <c r="B941" s="15"/>
      <c r="C941" s="15"/>
      <c r="D941" s="17"/>
      <c r="E941" s="22">
        <f>IF($A941="","",YEAR($A941))</f>
        <v/>
      </c>
      <c r="F941" s="22">
        <f>IF($A941="","",MONTH($A941))</f>
        <v/>
      </c>
      <c r="G941" s="22">
        <f>IF($B941="","",IFERROR(INDEX(ContaComp,MATCH($B941,ContaNome,0)),"Conta inválida"))</f>
        <v/>
      </c>
    </row>
    <row r="942" spans="1:7">
      <c r="A942" s="21"/>
      <c r="B942" s="15"/>
      <c r="C942" s="15"/>
      <c r="D942" s="17"/>
      <c r="E942" s="22">
        <f>IF($A942="","",YEAR($A942))</f>
        <v/>
      </c>
      <c r="F942" s="22">
        <f>IF($A942="","",MONTH($A942))</f>
        <v/>
      </c>
      <c r="G942" s="22">
        <f>IF($B942="","",IFERROR(INDEX(ContaComp,MATCH($B942,ContaNome,0)),"Conta inválida"))</f>
        <v/>
      </c>
    </row>
    <row r="943" spans="1:7">
      <c r="A943" s="21"/>
      <c r="B943" s="15"/>
      <c r="C943" s="15"/>
      <c r="D943" s="17"/>
      <c r="E943" s="22">
        <f>IF($A943="","",YEAR($A943))</f>
        <v/>
      </c>
      <c r="F943" s="22">
        <f>IF($A943="","",MONTH($A943))</f>
        <v/>
      </c>
      <c r="G943" s="22">
        <f>IF($B943="","",IFERROR(INDEX(ContaComp,MATCH($B943,ContaNome,0)),"Conta inválida"))</f>
        <v/>
      </c>
    </row>
    <row r="944" spans="1:7">
      <c r="A944" s="21"/>
      <c r="B944" s="15"/>
      <c r="C944" s="15"/>
      <c r="D944" s="17"/>
      <c r="E944" s="22">
        <f>IF($A944="","",YEAR($A944))</f>
        <v/>
      </c>
      <c r="F944" s="22">
        <f>IF($A944="","",MONTH($A944))</f>
        <v/>
      </c>
      <c r="G944" s="22">
        <f>IF($B944="","",IFERROR(INDEX(ContaComp,MATCH($B944,ContaNome,0)),"Conta inválida"))</f>
        <v/>
      </c>
    </row>
    <row r="945" spans="1:7">
      <c r="A945" s="21"/>
      <c r="B945" s="15"/>
      <c r="C945" s="15"/>
      <c r="D945" s="17"/>
      <c r="E945" s="22">
        <f>IF($A945="","",YEAR($A945))</f>
        <v/>
      </c>
      <c r="F945" s="22">
        <f>IF($A945="","",MONTH($A945))</f>
        <v/>
      </c>
      <c r="G945" s="22">
        <f>IF($B945="","",IFERROR(INDEX(ContaComp,MATCH($B945,ContaNome,0)),"Conta inválida"))</f>
        <v/>
      </c>
    </row>
    <row r="946" spans="1:7">
      <c r="A946" s="21"/>
      <c r="B946" s="15"/>
      <c r="C946" s="15"/>
      <c r="D946" s="17"/>
      <c r="E946" s="22">
        <f>IF($A946="","",YEAR($A946))</f>
        <v/>
      </c>
      <c r="F946" s="22">
        <f>IF($A946="","",MONTH($A946))</f>
        <v/>
      </c>
      <c r="G946" s="22">
        <f>IF($B946="","",IFERROR(INDEX(ContaComp,MATCH($B946,ContaNome,0)),"Conta inválida"))</f>
        <v/>
      </c>
    </row>
    <row r="947" spans="1:7">
      <c r="A947" s="21"/>
      <c r="B947" s="15"/>
      <c r="C947" s="15"/>
      <c r="D947" s="17"/>
      <c r="E947" s="22">
        <f>IF($A947="","",YEAR($A947))</f>
        <v/>
      </c>
      <c r="F947" s="22">
        <f>IF($A947="","",MONTH($A947))</f>
        <v/>
      </c>
      <c r="G947" s="22">
        <f>IF($B947="","",IFERROR(INDEX(ContaComp,MATCH($B947,ContaNome,0)),"Conta inválida"))</f>
        <v/>
      </c>
    </row>
    <row r="948" spans="1:7">
      <c r="A948" s="21"/>
      <c r="B948" s="15"/>
      <c r="C948" s="15"/>
      <c r="D948" s="17"/>
      <c r="E948" s="22">
        <f>IF($A948="","",YEAR($A948))</f>
        <v/>
      </c>
      <c r="F948" s="22">
        <f>IF($A948="","",MONTH($A948))</f>
        <v/>
      </c>
      <c r="G948" s="22">
        <f>IF($B948="","",IFERROR(INDEX(ContaComp,MATCH($B948,ContaNome,0)),"Conta inválida"))</f>
        <v/>
      </c>
    </row>
    <row r="949" spans="1:7">
      <c r="A949" s="21"/>
      <c r="B949" s="15"/>
      <c r="C949" s="15"/>
      <c r="D949" s="17"/>
      <c r="E949" s="22">
        <f>IF($A949="","",YEAR($A949))</f>
        <v/>
      </c>
      <c r="F949" s="22">
        <f>IF($A949="","",MONTH($A949))</f>
        <v/>
      </c>
      <c r="G949" s="22">
        <f>IF($B949="","",IFERROR(INDEX(ContaComp,MATCH($B949,ContaNome,0)),"Conta inválida"))</f>
        <v/>
      </c>
    </row>
    <row r="950" spans="1:7">
      <c r="A950" s="21"/>
      <c r="B950" s="15"/>
      <c r="C950" s="15"/>
      <c r="D950" s="17"/>
      <c r="E950" s="22">
        <f>IF($A950="","",YEAR($A950))</f>
        <v/>
      </c>
      <c r="F950" s="22">
        <f>IF($A950="","",MONTH($A950))</f>
        <v/>
      </c>
      <c r="G950" s="22">
        <f>IF($B950="","",IFERROR(INDEX(ContaComp,MATCH($B950,ContaNome,0)),"Conta inválida"))</f>
        <v/>
      </c>
    </row>
    <row r="951" spans="1:7">
      <c r="A951" s="21"/>
      <c r="B951" s="15"/>
      <c r="C951" s="15"/>
      <c r="D951" s="17"/>
      <c r="E951" s="22">
        <f>IF($A951="","",YEAR($A951))</f>
        <v/>
      </c>
      <c r="F951" s="22">
        <f>IF($A951="","",MONTH($A951))</f>
        <v/>
      </c>
      <c r="G951" s="22">
        <f>IF($B951="","",IFERROR(INDEX(ContaComp,MATCH($B951,ContaNome,0)),"Conta inválida"))</f>
        <v/>
      </c>
    </row>
    <row r="952" spans="1:7">
      <c r="A952" s="21"/>
      <c r="B952" s="15"/>
      <c r="C952" s="15"/>
      <c r="D952" s="17"/>
      <c r="E952" s="22">
        <f>IF($A952="","",YEAR($A952))</f>
        <v/>
      </c>
      <c r="F952" s="22">
        <f>IF($A952="","",MONTH($A952))</f>
        <v/>
      </c>
      <c r="G952" s="22">
        <f>IF($B952="","",IFERROR(INDEX(ContaComp,MATCH($B952,ContaNome,0)),"Conta inválida"))</f>
        <v/>
      </c>
    </row>
    <row r="953" spans="1:7">
      <c r="A953" s="21"/>
      <c r="B953" s="15"/>
      <c r="C953" s="15"/>
      <c r="D953" s="17"/>
      <c r="E953" s="22">
        <f>IF($A953="","",YEAR($A953))</f>
        <v/>
      </c>
      <c r="F953" s="22">
        <f>IF($A953="","",MONTH($A953))</f>
        <v/>
      </c>
      <c r="G953" s="22">
        <f>IF($B953="","",IFERROR(INDEX(ContaComp,MATCH($B953,ContaNome,0)),"Conta inválida"))</f>
        <v/>
      </c>
    </row>
    <row r="954" spans="1:7">
      <c r="A954" s="21"/>
      <c r="B954" s="15"/>
      <c r="C954" s="15"/>
      <c r="D954" s="17"/>
      <c r="E954" s="22">
        <f>IF($A954="","",YEAR($A954))</f>
        <v/>
      </c>
      <c r="F954" s="22">
        <f>IF($A954="","",MONTH($A954))</f>
        <v/>
      </c>
      <c r="G954" s="22">
        <f>IF($B954="","",IFERROR(INDEX(ContaComp,MATCH($B954,ContaNome,0)),"Conta inválida"))</f>
        <v/>
      </c>
    </row>
    <row r="955" spans="1:7">
      <c r="A955" s="21"/>
      <c r="B955" s="15"/>
      <c r="C955" s="15"/>
      <c r="D955" s="17"/>
      <c r="E955" s="22">
        <f>IF($A955="","",YEAR($A955))</f>
        <v/>
      </c>
      <c r="F955" s="22">
        <f>IF($A955="","",MONTH($A955))</f>
        <v/>
      </c>
      <c r="G955" s="22">
        <f>IF($B955="","",IFERROR(INDEX(ContaComp,MATCH($B955,ContaNome,0)),"Conta inválida"))</f>
        <v/>
      </c>
    </row>
    <row r="956" spans="1:7">
      <c r="A956" s="21"/>
      <c r="B956" s="15"/>
      <c r="C956" s="15"/>
      <c r="D956" s="17"/>
      <c r="E956" s="22">
        <f>IF($A956="","",YEAR($A956))</f>
        <v/>
      </c>
      <c r="F956" s="22">
        <f>IF($A956="","",MONTH($A956))</f>
        <v/>
      </c>
      <c r="G956" s="22">
        <f>IF($B956="","",IFERROR(INDEX(ContaComp,MATCH($B956,ContaNome,0)),"Conta inválida"))</f>
        <v/>
      </c>
    </row>
    <row r="957" spans="1:7">
      <c r="A957" s="21"/>
      <c r="B957" s="15"/>
      <c r="C957" s="15"/>
      <c r="D957" s="17"/>
      <c r="E957" s="22">
        <f>IF($A957="","",YEAR($A957))</f>
        <v/>
      </c>
      <c r="F957" s="22">
        <f>IF($A957="","",MONTH($A957))</f>
        <v/>
      </c>
      <c r="G957" s="22">
        <f>IF($B957="","",IFERROR(INDEX(ContaComp,MATCH($B957,ContaNome,0)),"Conta inválida"))</f>
        <v/>
      </c>
    </row>
    <row r="958" spans="1:7">
      <c r="A958" s="21"/>
      <c r="B958" s="15"/>
      <c r="C958" s="15"/>
      <c r="D958" s="17"/>
      <c r="E958" s="22">
        <f>IF($A958="","",YEAR($A958))</f>
        <v/>
      </c>
      <c r="F958" s="22">
        <f>IF($A958="","",MONTH($A958))</f>
        <v/>
      </c>
      <c r="G958" s="22">
        <f>IF($B958="","",IFERROR(INDEX(ContaComp,MATCH($B958,ContaNome,0)),"Conta inválida"))</f>
        <v/>
      </c>
    </row>
    <row r="959" spans="1:7">
      <c r="A959" s="21"/>
      <c r="B959" s="15"/>
      <c r="C959" s="15"/>
      <c r="D959" s="17"/>
      <c r="E959" s="22">
        <f>IF($A959="","",YEAR($A959))</f>
        <v/>
      </c>
      <c r="F959" s="22">
        <f>IF($A959="","",MONTH($A959))</f>
        <v/>
      </c>
      <c r="G959" s="22">
        <f>IF($B959="","",IFERROR(INDEX(ContaComp,MATCH($B959,ContaNome,0)),"Conta inválida"))</f>
        <v/>
      </c>
    </row>
    <row r="960" spans="1:7">
      <c r="A960" s="21"/>
      <c r="B960" s="15"/>
      <c r="C960" s="15"/>
      <c r="D960" s="17"/>
      <c r="E960" s="22">
        <f>IF($A960="","",YEAR($A960))</f>
        <v/>
      </c>
      <c r="F960" s="22">
        <f>IF($A960="","",MONTH($A960))</f>
        <v/>
      </c>
      <c r="G960" s="22">
        <f>IF($B960="","",IFERROR(INDEX(ContaComp,MATCH($B960,ContaNome,0)),"Conta inválida"))</f>
        <v/>
      </c>
    </row>
    <row r="961" spans="1:7">
      <c r="A961" s="21"/>
      <c r="B961" s="15"/>
      <c r="C961" s="15"/>
      <c r="D961" s="17"/>
      <c r="E961" s="22">
        <f>IF($A961="","",YEAR($A961))</f>
        <v/>
      </c>
      <c r="F961" s="22">
        <f>IF($A961="","",MONTH($A961))</f>
        <v/>
      </c>
      <c r="G961" s="22">
        <f>IF($B961="","",IFERROR(INDEX(ContaComp,MATCH($B961,ContaNome,0)),"Conta inválida"))</f>
        <v/>
      </c>
    </row>
    <row r="962" spans="1:7">
      <c r="A962" s="21"/>
      <c r="B962" s="15"/>
      <c r="C962" s="15"/>
      <c r="D962" s="17"/>
      <c r="E962" s="22">
        <f>IF($A962="","",YEAR($A962))</f>
        <v/>
      </c>
      <c r="F962" s="22">
        <f>IF($A962="","",MONTH($A962))</f>
        <v/>
      </c>
      <c r="G962" s="22">
        <f>IF($B962="","",IFERROR(INDEX(ContaComp,MATCH($B962,ContaNome,0)),"Conta inválida"))</f>
        <v/>
      </c>
    </row>
    <row r="963" spans="1:7">
      <c r="A963" s="21"/>
      <c r="B963" s="15"/>
      <c r="C963" s="15"/>
      <c r="D963" s="17"/>
      <c r="E963" s="22">
        <f>IF($A963="","",YEAR($A963))</f>
        <v/>
      </c>
      <c r="F963" s="22">
        <f>IF($A963="","",MONTH($A963))</f>
        <v/>
      </c>
      <c r="G963" s="22">
        <f>IF($B963="","",IFERROR(INDEX(ContaComp,MATCH($B963,ContaNome,0)),"Conta inválida"))</f>
        <v/>
      </c>
    </row>
    <row r="964" spans="1:7">
      <c r="A964" s="21"/>
      <c r="B964" s="15"/>
      <c r="C964" s="15"/>
      <c r="D964" s="17"/>
      <c r="E964" s="22">
        <f>IF($A964="","",YEAR($A964))</f>
        <v/>
      </c>
      <c r="F964" s="22">
        <f>IF($A964="","",MONTH($A964))</f>
        <v/>
      </c>
      <c r="G964" s="22">
        <f>IF($B964="","",IFERROR(INDEX(ContaComp,MATCH($B964,ContaNome,0)),"Conta inválida"))</f>
        <v/>
      </c>
    </row>
    <row r="965" spans="1:7">
      <c r="A965" s="21"/>
      <c r="B965" s="15"/>
      <c r="C965" s="15"/>
      <c r="D965" s="17"/>
      <c r="E965" s="22">
        <f>IF($A965="","",YEAR($A965))</f>
        <v/>
      </c>
      <c r="F965" s="22">
        <f>IF($A965="","",MONTH($A965))</f>
        <v/>
      </c>
      <c r="G965" s="22">
        <f>IF($B965="","",IFERROR(INDEX(ContaComp,MATCH($B965,ContaNome,0)),"Conta inválida"))</f>
        <v/>
      </c>
    </row>
    <row r="966" spans="1:7">
      <c r="A966" s="21"/>
      <c r="B966" s="15"/>
      <c r="C966" s="15"/>
      <c r="D966" s="17"/>
      <c r="E966" s="22">
        <f>IF($A966="","",YEAR($A966))</f>
        <v/>
      </c>
      <c r="F966" s="22">
        <f>IF($A966="","",MONTH($A966))</f>
        <v/>
      </c>
      <c r="G966" s="22">
        <f>IF($B966="","",IFERROR(INDEX(ContaComp,MATCH($B966,ContaNome,0)),"Conta inválida"))</f>
        <v/>
      </c>
    </row>
    <row r="967" spans="1:7">
      <c r="A967" s="21"/>
      <c r="B967" s="15"/>
      <c r="C967" s="15"/>
      <c r="D967" s="17"/>
      <c r="E967" s="22">
        <f>IF($A967="","",YEAR($A967))</f>
        <v/>
      </c>
      <c r="F967" s="22">
        <f>IF($A967="","",MONTH($A967))</f>
        <v/>
      </c>
      <c r="G967" s="22">
        <f>IF($B967="","",IFERROR(INDEX(ContaComp,MATCH($B967,ContaNome,0)),"Conta inválida"))</f>
        <v/>
      </c>
    </row>
    <row r="968" spans="1:7">
      <c r="A968" s="21"/>
      <c r="B968" s="15"/>
      <c r="C968" s="15"/>
      <c r="D968" s="17"/>
      <c r="E968" s="22">
        <f>IF($A968="","",YEAR($A968))</f>
        <v/>
      </c>
      <c r="F968" s="22">
        <f>IF($A968="","",MONTH($A968))</f>
        <v/>
      </c>
      <c r="G968" s="22">
        <f>IF($B968="","",IFERROR(INDEX(ContaComp,MATCH($B968,ContaNome,0)),"Conta inválida"))</f>
        <v/>
      </c>
    </row>
    <row r="969" spans="1:7">
      <c r="A969" s="21"/>
      <c r="B969" s="15"/>
      <c r="C969" s="15"/>
      <c r="D969" s="17"/>
      <c r="E969" s="22">
        <f>IF($A969="","",YEAR($A969))</f>
        <v/>
      </c>
      <c r="F969" s="22">
        <f>IF($A969="","",MONTH($A969))</f>
        <v/>
      </c>
      <c r="G969" s="22">
        <f>IF($B969="","",IFERROR(INDEX(ContaComp,MATCH($B969,ContaNome,0)),"Conta inválida"))</f>
        <v/>
      </c>
    </row>
    <row r="970" spans="1:7">
      <c r="A970" s="21"/>
      <c r="B970" s="15"/>
      <c r="C970" s="15"/>
      <c r="D970" s="17"/>
      <c r="E970" s="22">
        <f>IF($A970="","",YEAR($A970))</f>
        <v/>
      </c>
      <c r="F970" s="22">
        <f>IF($A970="","",MONTH($A970))</f>
        <v/>
      </c>
      <c r="G970" s="22">
        <f>IF($B970="","",IFERROR(INDEX(ContaComp,MATCH($B970,ContaNome,0)),"Conta inválida"))</f>
        <v/>
      </c>
    </row>
    <row r="971" spans="1:7">
      <c r="A971" s="21"/>
      <c r="B971" s="15"/>
      <c r="C971" s="15"/>
      <c r="D971" s="17"/>
      <c r="E971" s="22">
        <f>IF($A971="","",YEAR($A971))</f>
        <v/>
      </c>
      <c r="F971" s="22">
        <f>IF($A971="","",MONTH($A971))</f>
        <v/>
      </c>
      <c r="G971" s="22">
        <f>IF($B971="","",IFERROR(INDEX(ContaComp,MATCH($B971,ContaNome,0)),"Conta inválida"))</f>
        <v/>
      </c>
    </row>
    <row r="972" spans="1:7">
      <c r="A972" s="21"/>
      <c r="B972" s="15"/>
      <c r="C972" s="15"/>
      <c r="D972" s="17"/>
      <c r="E972" s="22">
        <f>IF($A972="","",YEAR($A972))</f>
        <v/>
      </c>
      <c r="F972" s="22">
        <f>IF($A972="","",MONTH($A972))</f>
        <v/>
      </c>
      <c r="G972" s="22">
        <f>IF($B972="","",IFERROR(INDEX(ContaComp,MATCH($B972,ContaNome,0)),"Conta inválida"))</f>
        <v/>
      </c>
    </row>
    <row r="973" spans="1:7">
      <c r="A973" s="21"/>
      <c r="B973" s="15"/>
      <c r="C973" s="15"/>
      <c r="D973" s="17"/>
      <c r="E973" s="22">
        <f>IF($A973="","",YEAR($A973))</f>
        <v/>
      </c>
      <c r="F973" s="22">
        <f>IF($A973="","",MONTH($A973))</f>
        <v/>
      </c>
      <c r="G973" s="22">
        <f>IF($B973="","",IFERROR(INDEX(ContaComp,MATCH($B973,ContaNome,0)),"Conta inválida"))</f>
        <v/>
      </c>
    </row>
    <row r="974" spans="1:7">
      <c r="A974" s="21"/>
      <c r="B974" s="15"/>
      <c r="C974" s="15"/>
      <c r="D974" s="17"/>
      <c r="E974" s="22">
        <f>IF($A974="","",YEAR($A974))</f>
        <v/>
      </c>
      <c r="F974" s="22">
        <f>IF($A974="","",MONTH($A974))</f>
        <v/>
      </c>
      <c r="G974" s="22">
        <f>IF($B974="","",IFERROR(INDEX(ContaComp,MATCH($B974,ContaNome,0)),"Conta inválida"))</f>
        <v/>
      </c>
    </row>
    <row r="975" spans="1:7">
      <c r="A975" s="21"/>
      <c r="B975" s="15"/>
      <c r="C975" s="15"/>
      <c r="D975" s="17"/>
      <c r="E975" s="22">
        <f>IF($A975="","",YEAR($A975))</f>
        <v/>
      </c>
      <c r="F975" s="22">
        <f>IF($A975="","",MONTH($A975))</f>
        <v/>
      </c>
      <c r="G975" s="22">
        <f>IF($B975="","",IFERROR(INDEX(ContaComp,MATCH($B975,ContaNome,0)),"Conta inválida"))</f>
        <v/>
      </c>
    </row>
    <row r="976" spans="1:7">
      <c r="A976" s="21"/>
      <c r="B976" s="15"/>
      <c r="C976" s="15"/>
      <c r="D976" s="17"/>
      <c r="E976" s="22">
        <f>IF($A976="","",YEAR($A976))</f>
        <v/>
      </c>
      <c r="F976" s="22">
        <f>IF($A976="","",MONTH($A976))</f>
        <v/>
      </c>
      <c r="G976" s="22">
        <f>IF($B976="","",IFERROR(INDEX(ContaComp,MATCH($B976,ContaNome,0)),"Conta inválida"))</f>
        <v/>
      </c>
    </row>
    <row r="977" spans="1:7">
      <c r="A977" s="21"/>
      <c r="B977" s="15"/>
      <c r="C977" s="15"/>
      <c r="D977" s="17"/>
      <c r="E977" s="22">
        <f>IF($A977="","",YEAR($A977))</f>
        <v/>
      </c>
      <c r="F977" s="22">
        <f>IF($A977="","",MONTH($A977))</f>
        <v/>
      </c>
      <c r="G977" s="22">
        <f>IF($B977="","",IFERROR(INDEX(ContaComp,MATCH($B977,ContaNome,0)),"Conta inválida"))</f>
        <v/>
      </c>
    </row>
    <row r="978" spans="1:7">
      <c r="A978" s="21"/>
      <c r="B978" s="15"/>
      <c r="C978" s="15"/>
      <c r="D978" s="17"/>
      <c r="E978" s="22">
        <f>IF($A978="","",YEAR($A978))</f>
        <v/>
      </c>
      <c r="F978" s="22">
        <f>IF($A978="","",MONTH($A978))</f>
        <v/>
      </c>
      <c r="G978" s="22">
        <f>IF($B978="","",IFERROR(INDEX(ContaComp,MATCH($B978,ContaNome,0)),"Conta inválida"))</f>
        <v/>
      </c>
    </row>
    <row r="979" spans="1:7">
      <c r="A979" s="21"/>
      <c r="B979" s="15"/>
      <c r="C979" s="15"/>
      <c r="D979" s="17"/>
      <c r="E979" s="22">
        <f>IF($A979="","",YEAR($A979))</f>
        <v/>
      </c>
      <c r="F979" s="22">
        <f>IF($A979="","",MONTH($A979))</f>
        <v/>
      </c>
      <c r="G979" s="22">
        <f>IF($B979="","",IFERROR(INDEX(ContaComp,MATCH($B979,ContaNome,0)),"Conta inválida"))</f>
        <v/>
      </c>
    </row>
    <row r="980" spans="1:7">
      <c r="A980" s="21"/>
      <c r="B980" s="15"/>
      <c r="C980" s="15"/>
      <c r="D980" s="17"/>
      <c r="E980" s="22">
        <f>IF($A980="","",YEAR($A980))</f>
        <v/>
      </c>
      <c r="F980" s="22">
        <f>IF($A980="","",MONTH($A980))</f>
        <v/>
      </c>
      <c r="G980" s="22">
        <f>IF($B980="","",IFERROR(INDEX(ContaComp,MATCH($B980,ContaNome,0)),"Conta inválida"))</f>
        <v/>
      </c>
    </row>
    <row r="981" spans="1:7">
      <c r="A981" s="21"/>
      <c r="B981" s="15"/>
      <c r="C981" s="15"/>
      <c r="D981" s="17"/>
      <c r="E981" s="22">
        <f>IF($A981="","",YEAR($A981))</f>
        <v/>
      </c>
      <c r="F981" s="22">
        <f>IF($A981="","",MONTH($A981))</f>
        <v/>
      </c>
      <c r="G981" s="22">
        <f>IF($B981="","",IFERROR(INDEX(ContaComp,MATCH($B981,ContaNome,0)),"Conta inválida"))</f>
        <v/>
      </c>
    </row>
    <row r="982" spans="1:7">
      <c r="A982" s="21"/>
      <c r="B982" s="15"/>
      <c r="C982" s="15"/>
      <c r="D982" s="17"/>
      <c r="E982" s="22">
        <f>IF($A982="","",YEAR($A982))</f>
        <v/>
      </c>
      <c r="F982" s="22">
        <f>IF($A982="","",MONTH($A982))</f>
        <v/>
      </c>
      <c r="G982" s="22">
        <f>IF($B982="","",IFERROR(INDEX(ContaComp,MATCH($B982,ContaNome,0)),"Conta inválida"))</f>
        <v/>
      </c>
    </row>
    <row r="983" spans="1:7">
      <c r="A983" s="21"/>
      <c r="B983" s="15"/>
      <c r="C983" s="15"/>
      <c r="D983" s="17"/>
      <c r="E983" s="22">
        <f>IF($A983="","",YEAR($A983))</f>
        <v/>
      </c>
      <c r="F983" s="22">
        <f>IF($A983="","",MONTH($A983))</f>
        <v/>
      </c>
      <c r="G983" s="22">
        <f>IF($B983="","",IFERROR(INDEX(ContaComp,MATCH($B983,ContaNome,0)),"Conta inválida"))</f>
        <v/>
      </c>
    </row>
    <row r="984" spans="1:7">
      <c r="A984" s="21"/>
      <c r="B984" s="15"/>
      <c r="C984" s="15"/>
      <c r="D984" s="17"/>
      <c r="E984" s="22">
        <f>IF($A984="","",YEAR($A984))</f>
        <v/>
      </c>
      <c r="F984" s="22">
        <f>IF($A984="","",MONTH($A984))</f>
        <v/>
      </c>
      <c r="G984" s="22">
        <f>IF($B984="","",IFERROR(INDEX(ContaComp,MATCH($B984,ContaNome,0)),"Conta inválida"))</f>
        <v/>
      </c>
    </row>
    <row r="985" spans="1:7">
      <c r="A985" s="21"/>
      <c r="B985" s="15"/>
      <c r="C985" s="15"/>
      <c r="D985" s="17"/>
      <c r="E985" s="22">
        <f>IF($A985="","",YEAR($A985))</f>
        <v/>
      </c>
      <c r="F985" s="22">
        <f>IF($A985="","",MONTH($A985))</f>
        <v/>
      </c>
      <c r="G985" s="22">
        <f>IF($B985="","",IFERROR(INDEX(ContaComp,MATCH($B985,ContaNome,0)),"Conta inválida"))</f>
        <v/>
      </c>
    </row>
    <row r="986" spans="1:7">
      <c r="A986" s="21"/>
      <c r="B986" s="15"/>
      <c r="C986" s="15"/>
      <c r="D986" s="17"/>
      <c r="E986" s="22">
        <f>IF($A986="","",YEAR($A986))</f>
        <v/>
      </c>
      <c r="F986" s="22">
        <f>IF($A986="","",MONTH($A986))</f>
        <v/>
      </c>
      <c r="G986" s="22">
        <f>IF($B986="","",IFERROR(INDEX(ContaComp,MATCH($B986,ContaNome,0)),"Conta inválida"))</f>
        <v/>
      </c>
    </row>
    <row r="987" spans="1:7">
      <c r="A987" s="21"/>
      <c r="B987" s="15"/>
      <c r="C987" s="15"/>
      <c r="D987" s="17"/>
      <c r="E987" s="22">
        <f>IF($A987="","",YEAR($A987))</f>
        <v/>
      </c>
      <c r="F987" s="22">
        <f>IF($A987="","",MONTH($A987))</f>
        <v/>
      </c>
      <c r="G987" s="22">
        <f>IF($B987="","",IFERROR(INDEX(ContaComp,MATCH($B987,ContaNome,0)),"Conta inválida"))</f>
        <v/>
      </c>
    </row>
    <row r="988" spans="1:7">
      <c r="A988" s="21"/>
      <c r="B988" s="15"/>
      <c r="C988" s="15"/>
      <c r="D988" s="17"/>
      <c r="E988" s="22">
        <f>IF($A988="","",YEAR($A988))</f>
        <v/>
      </c>
      <c r="F988" s="22">
        <f>IF($A988="","",MONTH($A988))</f>
        <v/>
      </c>
      <c r="G988" s="22">
        <f>IF($B988="","",IFERROR(INDEX(ContaComp,MATCH($B988,ContaNome,0)),"Conta inválida"))</f>
        <v/>
      </c>
    </row>
    <row r="989" spans="1:7">
      <c r="A989" s="21"/>
      <c r="B989" s="15"/>
      <c r="C989" s="15"/>
      <c r="D989" s="17"/>
      <c r="E989" s="22">
        <f>IF($A989="","",YEAR($A989))</f>
        <v/>
      </c>
      <c r="F989" s="22">
        <f>IF($A989="","",MONTH($A989))</f>
        <v/>
      </c>
      <c r="G989" s="22">
        <f>IF($B989="","",IFERROR(INDEX(ContaComp,MATCH($B989,ContaNome,0)),"Conta inválida"))</f>
        <v/>
      </c>
    </row>
    <row r="990" spans="1:7">
      <c r="A990" s="21"/>
      <c r="B990" s="15"/>
      <c r="C990" s="15"/>
      <c r="D990" s="17"/>
      <c r="E990" s="22">
        <f>IF($A990="","",YEAR($A990))</f>
        <v/>
      </c>
      <c r="F990" s="22">
        <f>IF($A990="","",MONTH($A990))</f>
        <v/>
      </c>
      <c r="G990" s="22">
        <f>IF($B990="","",IFERROR(INDEX(ContaComp,MATCH($B990,ContaNome,0)),"Conta inválida"))</f>
        <v/>
      </c>
    </row>
    <row r="991" spans="1:7">
      <c r="A991" s="21"/>
      <c r="B991" s="15"/>
      <c r="C991" s="15"/>
      <c r="D991" s="17"/>
      <c r="E991" s="22">
        <f>IF($A991="","",YEAR($A991))</f>
        <v/>
      </c>
      <c r="F991" s="22">
        <f>IF($A991="","",MONTH($A991))</f>
        <v/>
      </c>
      <c r="G991" s="22">
        <f>IF($B991="","",IFERROR(INDEX(ContaComp,MATCH($B991,ContaNome,0)),"Conta inválida"))</f>
        <v/>
      </c>
    </row>
    <row r="992" spans="1:7">
      <c r="A992" s="21"/>
      <c r="B992" s="15"/>
      <c r="C992" s="15"/>
      <c r="D992" s="17"/>
      <c r="E992" s="22">
        <f>IF($A992="","",YEAR($A992))</f>
        <v/>
      </c>
      <c r="F992" s="22">
        <f>IF($A992="","",MONTH($A992))</f>
        <v/>
      </c>
      <c r="G992" s="22">
        <f>IF($B992="","",IFERROR(INDEX(ContaComp,MATCH($B992,ContaNome,0)),"Conta inválida"))</f>
        <v/>
      </c>
    </row>
    <row r="993" spans="1:7">
      <c r="A993" s="21"/>
      <c r="B993" s="15"/>
      <c r="C993" s="15"/>
      <c r="D993" s="17"/>
      <c r="E993" s="22">
        <f>IF($A993="","",YEAR($A993))</f>
        <v/>
      </c>
      <c r="F993" s="22">
        <f>IF($A993="","",MONTH($A993))</f>
        <v/>
      </c>
      <c r="G993" s="22">
        <f>IF($B993="","",IFERROR(INDEX(ContaComp,MATCH($B993,ContaNome,0)),"Conta inválida"))</f>
        <v/>
      </c>
    </row>
    <row r="994" spans="1:7">
      <c r="A994" s="21"/>
      <c r="B994" s="15"/>
      <c r="C994" s="15"/>
      <c r="D994" s="17"/>
      <c r="E994" s="22">
        <f>IF($A994="","",YEAR($A994))</f>
        <v/>
      </c>
      <c r="F994" s="22">
        <f>IF($A994="","",MONTH($A994))</f>
        <v/>
      </c>
      <c r="G994" s="22">
        <f>IF($B994="","",IFERROR(INDEX(ContaComp,MATCH($B994,ContaNome,0)),"Conta inválida"))</f>
        <v/>
      </c>
    </row>
    <row r="995" spans="1:7">
      <c r="A995" s="21"/>
      <c r="B995" s="15"/>
      <c r="C995" s="15"/>
      <c r="D995" s="17"/>
      <c r="E995" s="22">
        <f>IF($A995="","",YEAR($A995))</f>
        <v/>
      </c>
      <c r="F995" s="22">
        <f>IF($A995="","",MONTH($A995))</f>
        <v/>
      </c>
      <c r="G995" s="22">
        <f>IF($B995="","",IFERROR(INDEX(ContaComp,MATCH($B995,ContaNome,0)),"Conta inválida"))</f>
        <v/>
      </c>
    </row>
    <row r="996" spans="1:7">
      <c r="A996" s="21"/>
      <c r="B996" s="15"/>
      <c r="C996" s="15"/>
      <c r="D996" s="17"/>
      <c r="E996" s="22">
        <f>IF($A996="","",YEAR($A996))</f>
        <v/>
      </c>
      <c r="F996" s="22">
        <f>IF($A996="","",MONTH($A996))</f>
        <v/>
      </c>
      <c r="G996" s="22">
        <f>IF($B996="","",IFERROR(INDEX(ContaComp,MATCH($B996,ContaNome,0)),"Conta inválida"))</f>
        <v/>
      </c>
    </row>
    <row r="997" spans="1:7">
      <c r="A997" s="21"/>
      <c r="B997" s="15"/>
      <c r="C997" s="15"/>
      <c r="D997" s="17"/>
      <c r="E997" s="22">
        <f>IF($A997="","",YEAR($A997))</f>
        <v/>
      </c>
      <c r="F997" s="22">
        <f>IF($A997="","",MONTH($A997))</f>
        <v/>
      </c>
      <c r="G997" s="22">
        <f>IF($B997="","",IFERROR(INDEX(ContaComp,MATCH($B997,ContaNome,0)),"Conta inválida"))</f>
        <v/>
      </c>
    </row>
    <row r="998" spans="1:7">
      <c r="A998" s="21"/>
      <c r="B998" s="15"/>
      <c r="C998" s="15"/>
      <c r="D998" s="17"/>
      <c r="E998" s="22">
        <f>IF($A998="","",YEAR($A998))</f>
        <v/>
      </c>
      <c r="F998" s="22">
        <f>IF($A998="","",MONTH($A998))</f>
        <v/>
      </c>
      <c r="G998" s="22">
        <f>IF($B998="","",IFERROR(INDEX(ContaComp,MATCH($B998,ContaNome,0)),"Conta inválida"))</f>
        <v/>
      </c>
    </row>
    <row r="999" spans="1:7">
      <c r="A999" s="21"/>
      <c r="B999" s="15"/>
      <c r="C999" s="15"/>
      <c r="D999" s="17"/>
      <c r="E999" s="22">
        <f>IF($A999="","",YEAR($A999))</f>
        <v/>
      </c>
      <c r="F999" s="22">
        <f>IF($A999="","",MONTH($A999))</f>
        <v/>
      </c>
      <c r="G999" s="22">
        <f>IF($B999="","",IFERROR(INDEX(ContaComp,MATCH($B999,ContaNome,0)),"Conta inválida"))</f>
        <v/>
      </c>
    </row>
    <row r="1000" spans="1:7">
      <c r="A1000" s="21"/>
      <c r="B1000" s="15"/>
      <c r="C1000" s="15"/>
      <c r="D1000" s="17"/>
      <c r="E1000" s="22">
        <f>IF($A1000="","",YEAR($A1000))</f>
        <v/>
      </c>
      <c r="F1000" s="22">
        <f>IF($A1000="","",MONTH($A1000))</f>
        <v/>
      </c>
      <c r="G1000" s="22">
        <f>IF($B1000="","",IFERROR(INDEX(ContaComp,MATCH($B1000,ContaNome,0)),"Conta inválida"))</f>
        <v/>
      </c>
    </row>
    <row r="1001" spans="1:7">
      <c r="A1001" s="21"/>
      <c r="B1001" s="15"/>
      <c r="C1001" s="15"/>
      <c r="D1001" s="17"/>
      <c r="E1001" s="22">
        <f>IF($A1001="","",YEAR($A1001))</f>
        <v/>
      </c>
      <c r="F1001" s="22">
        <f>IF($A1001="","",MONTH($A1001))</f>
        <v/>
      </c>
      <c r="G1001" s="22">
        <f>IF($B1001="","",IFERROR(INDEX(ContaComp,MATCH($B1001,ContaNome,0)),"Conta inválida"))</f>
        <v/>
      </c>
    </row>
    <row r="1002" spans="1:7">
      <c r="A1002" s="21"/>
      <c r="B1002" s="15"/>
      <c r="C1002" s="15"/>
      <c r="D1002" s="17"/>
      <c r="E1002" s="22">
        <f>IF($A1002="","",YEAR($A1002))</f>
        <v/>
      </c>
      <c r="F1002" s="22">
        <f>IF($A1002="","",MONTH($A1002))</f>
        <v/>
      </c>
      <c r="G1002" s="22">
        <f>IF($B1002="","",IFERROR(INDEX(ContaComp,MATCH($B1002,ContaNome,0)),"Conta inválida"))</f>
        <v/>
      </c>
    </row>
    <row r="1003" spans="1:7">
      <c r="A1003" s="21"/>
      <c r="B1003" s="15"/>
      <c r="C1003" s="15"/>
      <c r="D1003" s="17"/>
      <c r="E1003" s="22">
        <f>IF($A1003="","",YEAR($A1003))</f>
        <v/>
      </c>
      <c r="F1003" s="22">
        <f>IF($A1003="","",MONTH($A1003))</f>
        <v/>
      </c>
      <c r="G1003" s="22">
        <f>IF($B1003="","",IFERROR(INDEX(ContaComp,MATCH($B1003,ContaNome,0)),"Conta inválida"))</f>
        <v/>
      </c>
    </row>
    <row r="1004" spans="1:7">
      <c r="A1004" s="21"/>
      <c r="B1004" s="15"/>
      <c r="C1004" s="15"/>
      <c r="D1004" s="17"/>
      <c r="E1004" s="22">
        <f>IF($A1004="","",YEAR($A1004))</f>
        <v/>
      </c>
      <c r="F1004" s="22">
        <f>IF($A1004="","",MONTH($A1004))</f>
        <v/>
      </c>
      <c r="G1004" s="22">
        <f>IF($B1004="","",IFERROR(INDEX(ContaComp,MATCH($B1004,ContaNome,0)),"Conta inválida"))</f>
        <v/>
      </c>
    </row>
    <row r="1005" spans="1:7">
      <c r="A1005" s="21"/>
      <c r="B1005" s="15"/>
      <c r="C1005" s="15"/>
      <c r="D1005" s="17"/>
      <c r="E1005" s="22">
        <f>IF($A1005="","",YEAR($A1005))</f>
        <v/>
      </c>
      <c r="F1005" s="22">
        <f>IF($A1005="","",MONTH($A1005))</f>
        <v/>
      </c>
      <c r="G1005" s="22">
        <f>IF($B1005="","",IFERROR(INDEX(ContaComp,MATCH($B1005,ContaNome,0)),"Conta inválida"))</f>
        <v/>
      </c>
    </row>
    <row r="1006" spans="1:7">
      <c r="A1006" s="21"/>
      <c r="B1006" s="15"/>
      <c r="C1006" s="15"/>
      <c r="D1006" s="17"/>
      <c r="E1006" s="22">
        <f>IF($A1006="","",YEAR($A1006))</f>
        <v/>
      </c>
      <c r="F1006" s="22">
        <f>IF($A1006="","",MONTH($A1006))</f>
        <v/>
      </c>
      <c r="G1006" s="22">
        <f>IF($B1006="","",IFERROR(INDEX(ContaComp,MATCH($B1006,ContaNome,0)),"Conta inválida"))</f>
        <v/>
      </c>
    </row>
    <row r="1007" spans="1:7">
      <c r="A1007" s="21"/>
      <c r="B1007" s="15"/>
      <c r="C1007" s="15"/>
      <c r="D1007" s="17"/>
      <c r="E1007" s="22">
        <f>IF($A1007="","",YEAR($A1007))</f>
        <v/>
      </c>
      <c r="F1007" s="22">
        <f>IF($A1007="","",MONTH($A1007))</f>
        <v/>
      </c>
      <c r="G1007" s="22">
        <f>IF($B1007="","",IFERROR(INDEX(ContaComp,MATCH($B1007,ContaNome,0)),"Conta inválida"))</f>
        <v/>
      </c>
    </row>
    <row r="1008" spans="1:7">
      <c r="A1008" s="21"/>
      <c r="B1008" s="15"/>
      <c r="C1008" s="15"/>
      <c r="D1008" s="17"/>
      <c r="E1008" s="22">
        <f>IF($A1008="","",YEAR($A1008))</f>
        <v/>
      </c>
      <c r="F1008" s="22">
        <f>IF($A1008="","",MONTH($A1008))</f>
        <v/>
      </c>
      <c r="G1008" s="22">
        <f>IF($B1008="","",IFERROR(INDEX(ContaComp,MATCH($B1008,ContaNome,0)),"Conta inválida"))</f>
        <v/>
      </c>
    </row>
    <row r="1009" spans="1:7">
      <c r="A1009" s="21"/>
      <c r="B1009" s="15"/>
      <c r="C1009" s="15"/>
      <c r="D1009" s="17"/>
      <c r="E1009" s="22">
        <f>IF($A1009="","",YEAR($A1009))</f>
        <v/>
      </c>
      <c r="F1009" s="22">
        <f>IF($A1009="","",MONTH($A1009))</f>
        <v/>
      </c>
      <c r="G1009" s="22">
        <f>IF($B1009="","",IFERROR(INDEX(ContaComp,MATCH($B1009,ContaNome,0)),"Conta inválida"))</f>
        <v/>
      </c>
    </row>
    <row r="1010" spans="1:7">
      <c r="A1010" s="21"/>
      <c r="B1010" s="15"/>
      <c r="C1010" s="15"/>
      <c r="D1010" s="17"/>
      <c r="E1010" s="22">
        <f>IF($A1010="","",YEAR($A1010))</f>
        <v/>
      </c>
      <c r="F1010" s="22">
        <f>IF($A1010="","",MONTH($A1010))</f>
        <v/>
      </c>
      <c r="G1010" s="22">
        <f>IF($B1010="","",IFERROR(INDEX(ContaComp,MATCH($B1010,ContaNome,0)),"Conta inválida"))</f>
        <v/>
      </c>
    </row>
    <row r="1011" spans="1:7">
      <c r="A1011" s="21"/>
      <c r="B1011" s="15"/>
      <c r="C1011" s="15"/>
      <c r="D1011" s="17"/>
      <c r="E1011" s="22">
        <f>IF($A1011="","",YEAR($A1011))</f>
        <v/>
      </c>
      <c r="F1011" s="22">
        <f>IF($A1011="","",MONTH($A1011))</f>
        <v/>
      </c>
      <c r="G1011" s="22">
        <f>IF($B1011="","",IFERROR(INDEX(ContaComp,MATCH($B1011,ContaNome,0)),"Conta inválida"))</f>
        <v/>
      </c>
    </row>
    <row r="1012" spans="1:7">
      <c r="A1012" s="21"/>
      <c r="B1012" s="15"/>
      <c r="C1012" s="15"/>
      <c r="D1012" s="17"/>
      <c r="E1012" s="22">
        <f>IF($A1012="","",YEAR($A1012))</f>
        <v/>
      </c>
      <c r="F1012" s="22">
        <f>IF($A1012="","",MONTH($A1012))</f>
        <v/>
      </c>
      <c r="G1012" s="22">
        <f>IF($B1012="","",IFERROR(INDEX(ContaComp,MATCH($B1012,ContaNome,0)),"Conta inválida"))</f>
        <v/>
      </c>
    </row>
    <row r="1013" spans="1:7">
      <c r="A1013" s="21"/>
      <c r="B1013" s="15"/>
      <c r="C1013" s="15"/>
      <c r="D1013" s="17"/>
      <c r="E1013" s="22">
        <f>IF($A1013="","",YEAR($A1013))</f>
        <v/>
      </c>
      <c r="F1013" s="22">
        <f>IF($A1013="","",MONTH($A1013))</f>
        <v/>
      </c>
      <c r="G1013" s="22">
        <f>IF($B1013="","",IFERROR(INDEX(ContaComp,MATCH($B1013,ContaNome,0)),"Conta inválida"))</f>
        <v/>
      </c>
    </row>
    <row r="1014" spans="1:7">
      <c r="A1014" s="21"/>
      <c r="B1014" s="15"/>
      <c r="C1014" s="15"/>
      <c r="D1014" s="17"/>
      <c r="E1014" s="22">
        <f>IF($A1014="","",YEAR($A1014))</f>
        <v/>
      </c>
      <c r="F1014" s="22">
        <f>IF($A1014="","",MONTH($A1014))</f>
        <v/>
      </c>
      <c r="G1014" s="22">
        <f>IF($B1014="","",IFERROR(INDEX(ContaComp,MATCH($B1014,ContaNome,0)),"Conta inválida"))</f>
        <v/>
      </c>
    </row>
    <row r="1015" spans="1:7">
      <c r="A1015" s="21"/>
      <c r="B1015" s="15"/>
      <c r="C1015" s="15"/>
      <c r="D1015" s="17"/>
      <c r="E1015" s="22">
        <f>IF($A1015="","",YEAR($A1015))</f>
        <v/>
      </c>
      <c r="F1015" s="22">
        <f>IF($A1015="","",MONTH($A1015))</f>
        <v/>
      </c>
      <c r="G1015" s="22">
        <f>IF($B1015="","",IFERROR(INDEX(ContaComp,MATCH($B1015,ContaNome,0)),"Conta inválida"))</f>
        <v/>
      </c>
    </row>
    <row r="1016" spans="1:7">
      <c r="A1016" s="21"/>
      <c r="B1016" s="15"/>
      <c r="C1016" s="15"/>
      <c r="D1016" s="17"/>
      <c r="E1016" s="22">
        <f>IF($A1016="","",YEAR($A1016))</f>
        <v/>
      </c>
      <c r="F1016" s="22">
        <f>IF($A1016="","",MONTH($A1016))</f>
        <v/>
      </c>
      <c r="G1016" s="22">
        <f>IF($B1016="","",IFERROR(INDEX(ContaComp,MATCH($B1016,ContaNome,0)),"Conta inválida"))</f>
        <v/>
      </c>
    </row>
    <row r="1017" spans="1:7">
      <c r="A1017" s="21"/>
      <c r="B1017" s="15"/>
      <c r="C1017" s="15"/>
      <c r="D1017" s="17"/>
      <c r="E1017" s="22">
        <f>IF($A1017="","",YEAR($A1017))</f>
        <v/>
      </c>
      <c r="F1017" s="22">
        <f>IF($A1017="","",MONTH($A1017))</f>
        <v/>
      </c>
      <c r="G1017" s="22">
        <f>IF($B1017="","",IFERROR(INDEX(ContaComp,MATCH($B1017,ContaNome,0)),"Conta inválida"))</f>
        <v/>
      </c>
    </row>
    <row r="1018" spans="1:7">
      <c r="A1018" s="21"/>
      <c r="B1018" s="15"/>
      <c r="C1018" s="15"/>
      <c r="D1018" s="17"/>
      <c r="E1018" s="22">
        <f>IF($A1018="","",YEAR($A1018))</f>
        <v/>
      </c>
      <c r="F1018" s="22">
        <f>IF($A1018="","",MONTH($A1018))</f>
        <v/>
      </c>
      <c r="G1018" s="22">
        <f>IF($B1018="","",IFERROR(INDEX(ContaComp,MATCH($B1018,ContaNome,0)),"Conta inválida"))</f>
        <v/>
      </c>
    </row>
    <row r="1019" spans="1:7">
      <c r="A1019" s="21"/>
      <c r="B1019" s="15"/>
      <c r="C1019" s="15"/>
      <c r="D1019" s="17"/>
      <c r="E1019" s="22">
        <f>IF($A1019="","",YEAR($A1019))</f>
        <v/>
      </c>
      <c r="F1019" s="22">
        <f>IF($A1019="","",MONTH($A1019))</f>
        <v/>
      </c>
      <c r="G1019" s="22">
        <f>IF($B1019="","",IFERROR(INDEX(ContaComp,MATCH($B1019,ContaNome,0)),"Conta inválida"))</f>
        <v/>
      </c>
    </row>
    <row r="1020" spans="1:7">
      <c r="A1020" s="21"/>
      <c r="B1020" s="15"/>
      <c r="C1020" s="15"/>
      <c r="D1020" s="17"/>
      <c r="E1020" s="22">
        <f>IF($A1020="","",YEAR($A1020))</f>
        <v/>
      </c>
      <c r="F1020" s="22">
        <f>IF($A1020="","",MONTH($A1020))</f>
        <v/>
      </c>
      <c r="G1020" s="22">
        <f>IF($B1020="","",IFERROR(INDEX(ContaComp,MATCH($B1020,ContaNome,0)),"Conta inválida"))</f>
        <v/>
      </c>
    </row>
    <row r="1021" spans="1:7">
      <c r="A1021" s="21"/>
      <c r="B1021" s="15"/>
      <c r="C1021" s="15"/>
      <c r="D1021" s="17"/>
      <c r="E1021" s="22">
        <f>IF($A1021="","",YEAR($A1021))</f>
        <v/>
      </c>
      <c r="F1021" s="22">
        <f>IF($A1021="","",MONTH($A1021))</f>
        <v/>
      </c>
      <c r="G1021" s="22">
        <f>IF($B1021="","",IFERROR(INDEX(ContaComp,MATCH($B1021,ContaNome,0)),"Conta inválida"))</f>
        <v/>
      </c>
    </row>
    <row r="1022" spans="1:7">
      <c r="A1022" s="21"/>
      <c r="B1022" s="15"/>
      <c r="C1022" s="15"/>
      <c r="D1022" s="17"/>
      <c r="E1022" s="22">
        <f>IF($A1022="","",YEAR($A1022))</f>
        <v/>
      </c>
      <c r="F1022" s="22">
        <f>IF($A1022="","",MONTH($A1022))</f>
        <v/>
      </c>
      <c r="G1022" s="22">
        <f>IF($B1022="","",IFERROR(INDEX(ContaComp,MATCH($B1022,ContaNome,0)),"Conta inválida"))</f>
        <v/>
      </c>
    </row>
    <row r="1023" spans="1:7">
      <c r="A1023" s="21"/>
      <c r="B1023" s="15"/>
      <c r="C1023" s="15"/>
      <c r="D1023" s="17"/>
      <c r="E1023" s="22">
        <f>IF($A1023="","",YEAR($A1023))</f>
        <v/>
      </c>
      <c r="F1023" s="22">
        <f>IF($A1023="","",MONTH($A1023))</f>
        <v/>
      </c>
      <c r="G1023" s="22">
        <f>IF($B1023="","",IFERROR(INDEX(ContaComp,MATCH($B1023,ContaNome,0)),"Conta inválida"))</f>
        <v/>
      </c>
    </row>
    <row r="1024" spans="1:7">
      <c r="A1024" s="21"/>
      <c r="B1024" s="15"/>
      <c r="C1024" s="15"/>
      <c r="D1024" s="17"/>
      <c r="E1024" s="22">
        <f>IF($A1024="","",YEAR($A1024))</f>
        <v/>
      </c>
      <c r="F1024" s="22">
        <f>IF($A1024="","",MONTH($A1024))</f>
        <v/>
      </c>
      <c r="G1024" s="22">
        <f>IF($B1024="","",IFERROR(INDEX(ContaComp,MATCH($B1024,ContaNome,0)),"Conta inválida"))</f>
        <v/>
      </c>
    </row>
    <row r="1025" spans="1:7">
      <c r="A1025" s="21"/>
      <c r="B1025" s="15"/>
      <c r="C1025" s="15"/>
      <c r="D1025" s="17"/>
      <c r="E1025" s="22">
        <f>IF($A1025="","",YEAR($A1025))</f>
        <v/>
      </c>
      <c r="F1025" s="22">
        <f>IF($A1025="","",MONTH($A1025))</f>
        <v/>
      </c>
      <c r="G1025" s="22">
        <f>IF($B1025="","",IFERROR(INDEX(ContaComp,MATCH($B1025,ContaNome,0)),"Conta inválida"))</f>
        <v/>
      </c>
    </row>
    <row r="1026" spans="1:7">
      <c r="A1026" s="21"/>
      <c r="B1026" s="15"/>
      <c r="C1026" s="15"/>
      <c r="D1026" s="17"/>
      <c r="E1026" s="22">
        <f>IF($A1026="","",YEAR($A1026))</f>
        <v/>
      </c>
      <c r="F1026" s="22">
        <f>IF($A1026="","",MONTH($A1026))</f>
        <v/>
      </c>
      <c r="G1026" s="22">
        <f>IF($B1026="","",IFERROR(INDEX(ContaComp,MATCH($B1026,ContaNome,0)),"Conta inválida"))</f>
        <v/>
      </c>
    </row>
    <row r="1027" spans="1:7">
      <c r="A1027" s="21"/>
      <c r="B1027" s="15"/>
      <c r="C1027" s="15"/>
      <c r="D1027" s="17"/>
      <c r="E1027" s="22">
        <f>IF($A1027="","",YEAR($A1027))</f>
        <v/>
      </c>
      <c r="F1027" s="22">
        <f>IF($A1027="","",MONTH($A1027))</f>
        <v/>
      </c>
      <c r="G1027" s="22">
        <f>IF($B1027="","",IFERROR(INDEX(ContaComp,MATCH($B1027,ContaNome,0)),"Conta inválida"))</f>
        <v/>
      </c>
    </row>
    <row r="1028" spans="1:7">
      <c r="A1028" s="21"/>
      <c r="B1028" s="15"/>
      <c r="C1028" s="15"/>
      <c r="D1028" s="17"/>
      <c r="E1028" s="22">
        <f>IF($A1028="","",YEAR($A1028))</f>
        <v/>
      </c>
      <c r="F1028" s="22">
        <f>IF($A1028="","",MONTH($A1028))</f>
        <v/>
      </c>
      <c r="G1028" s="22">
        <f>IF($B1028="","",IFERROR(INDEX(ContaComp,MATCH($B1028,ContaNome,0)),"Conta inválida"))</f>
        <v/>
      </c>
    </row>
    <row r="1029" spans="1:7">
      <c r="A1029" s="21"/>
      <c r="B1029" s="15"/>
      <c r="C1029" s="15"/>
      <c r="D1029" s="17"/>
      <c r="E1029" s="22">
        <f>IF($A1029="","",YEAR($A1029))</f>
        <v/>
      </c>
      <c r="F1029" s="22">
        <f>IF($A1029="","",MONTH($A1029))</f>
        <v/>
      </c>
      <c r="G1029" s="22">
        <f>IF($B1029="","",IFERROR(INDEX(ContaComp,MATCH($B1029,ContaNome,0)),"Conta inválida"))</f>
        <v/>
      </c>
    </row>
    <row r="1030" spans="1:7">
      <c r="A1030" s="21"/>
      <c r="B1030" s="15"/>
      <c r="C1030" s="15"/>
      <c r="D1030" s="17"/>
      <c r="E1030" s="22">
        <f>IF($A1030="","",YEAR($A1030))</f>
        <v/>
      </c>
      <c r="F1030" s="22">
        <f>IF($A1030="","",MONTH($A1030))</f>
        <v/>
      </c>
      <c r="G1030" s="22">
        <f>IF($B1030="","",IFERROR(INDEX(ContaComp,MATCH($B1030,ContaNome,0)),"Conta inválida"))</f>
        <v/>
      </c>
    </row>
    <row r="1031" spans="1:7">
      <c r="A1031" s="21"/>
      <c r="B1031" s="15"/>
      <c r="C1031" s="15"/>
      <c r="D1031" s="17"/>
      <c r="E1031" s="22">
        <f>IF($A1031="","",YEAR($A1031))</f>
        <v/>
      </c>
      <c r="F1031" s="22">
        <f>IF($A1031="","",MONTH($A1031))</f>
        <v/>
      </c>
      <c r="G1031" s="22">
        <f>IF($B1031="","",IFERROR(INDEX(ContaComp,MATCH($B1031,ContaNome,0)),"Conta inválida"))</f>
        <v/>
      </c>
    </row>
    <row r="1032" spans="1:7">
      <c r="A1032" s="21"/>
      <c r="B1032" s="15"/>
      <c r="C1032" s="15"/>
      <c r="D1032" s="17"/>
      <c r="E1032" s="22">
        <f>IF($A1032="","",YEAR($A1032))</f>
        <v/>
      </c>
      <c r="F1032" s="22">
        <f>IF($A1032="","",MONTH($A1032))</f>
        <v/>
      </c>
      <c r="G1032" s="22">
        <f>IF($B1032="","",IFERROR(INDEX(ContaComp,MATCH($B1032,ContaNome,0)),"Conta inválida"))</f>
        <v/>
      </c>
    </row>
    <row r="1033" spans="1:7">
      <c r="A1033" s="21"/>
      <c r="B1033" s="15"/>
      <c r="C1033" s="15"/>
      <c r="D1033" s="17"/>
      <c r="E1033" s="22">
        <f>IF($A1033="","",YEAR($A1033))</f>
        <v/>
      </c>
      <c r="F1033" s="22">
        <f>IF($A1033="","",MONTH($A1033))</f>
        <v/>
      </c>
      <c r="G1033" s="22">
        <f>IF($B1033="","",IFERROR(INDEX(ContaComp,MATCH($B1033,ContaNome,0)),"Conta inválida"))</f>
        <v/>
      </c>
    </row>
    <row r="1034" spans="1:7">
      <c r="A1034" s="21"/>
      <c r="B1034" s="15"/>
      <c r="C1034" s="15"/>
      <c r="D1034" s="17"/>
      <c r="E1034" s="22">
        <f>IF($A1034="","",YEAR($A1034))</f>
        <v/>
      </c>
      <c r="F1034" s="22">
        <f>IF($A1034="","",MONTH($A1034))</f>
        <v/>
      </c>
      <c r="G1034" s="22">
        <f>IF($B1034="","",IFERROR(INDEX(ContaComp,MATCH($B1034,ContaNome,0)),"Conta inválida"))</f>
        <v/>
      </c>
    </row>
    <row r="1035" spans="1:7">
      <c r="A1035" s="21"/>
      <c r="B1035" s="15"/>
      <c r="C1035" s="15"/>
      <c r="D1035" s="17"/>
      <c r="E1035" s="22">
        <f>IF($A1035="","",YEAR($A1035))</f>
        <v/>
      </c>
      <c r="F1035" s="22">
        <f>IF($A1035="","",MONTH($A1035))</f>
        <v/>
      </c>
      <c r="G1035" s="22">
        <f>IF($B1035="","",IFERROR(INDEX(ContaComp,MATCH($B1035,ContaNome,0)),"Conta inválida"))</f>
        <v/>
      </c>
    </row>
    <row r="1036" spans="1:7">
      <c r="A1036" s="21"/>
      <c r="B1036" s="15"/>
      <c r="C1036" s="15"/>
      <c r="D1036" s="17"/>
      <c r="E1036" s="22">
        <f>IF($A1036="","",YEAR($A1036))</f>
        <v/>
      </c>
      <c r="F1036" s="22">
        <f>IF($A1036="","",MONTH($A1036))</f>
        <v/>
      </c>
      <c r="G1036" s="22">
        <f>IF($B1036="","",IFERROR(INDEX(ContaComp,MATCH($B1036,ContaNome,0)),"Conta inválida"))</f>
        <v/>
      </c>
    </row>
    <row r="1037" spans="1:7">
      <c r="A1037" s="21"/>
      <c r="B1037" s="15"/>
      <c r="C1037" s="15"/>
      <c r="D1037" s="17"/>
      <c r="E1037" s="22">
        <f>IF($A1037="","",YEAR($A1037))</f>
        <v/>
      </c>
      <c r="F1037" s="22">
        <f>IF($A1037="","",MONTH($A1037))</f>
        <v/>
      </c>
      <c r="G1037" s="22">
        <f>IF($B1037="","",IFERROR(INDEX(ContaComp,MATCH($B1037,ContaNome,0)),"Conta inválida"))</f>
        <v/>
      </c>
    </row>
    <row r="1038" spans="1:7">
      <c r="A1038" s="21"/>
      <c r="B1038" s="15"/>
      <c r="C1038" s="15"/>
      <c r="D1038" s="17"/>
      <c r="E1038" s="22">
        <f>IF($A1038="","",YEAR($A1038))</f>
        <v/>
      </c>
      <c r="F1038" s="22">
        <f>IF($A1038="","",MONTH($A1038))</f>
        <v/>
      </c>
      <c r="G1038" s="22">
        <f>IF($B1038="","",IFERROR(INDEX(ContaComp,MATCH($B1038,ContaNome,0)),"Conta inválida"))</f>
        <v/>
      </c>
    </row>
    <row r="1039" spans="1:7">
      <c r="A1039" s="21"/>
      <c r="B1039" s="15"/>
      <c r="C1039" s="15"/>
      <c r="D1039" s="17"/>
      <c r="E1039" s="22">
        <f>IF($A1039="","",YEAR($A1039))</f>
        <v/>
      </c>
      <c r="F1039" s="22">
        <f>IF($A1039="","",MONTH($A1039))</f>
        <v/>
      </c>
      <c r="G1039" s="22">
        <f>IF($B1039="","",IFERROR(INDEX(ContaComp,MATCH($B1039,ContaNome,0)),"Conta inválida"))</f>
        <v/>
      </c>
    </row>
    <row r="1040" spans="1:7">
      <c r="A1040" s="21"/>
      <c r="B1040" s="15"/>
      <c r="C1040" s="15"/>
      <c r="D1040" s="17"/>
      <c r="E1040" s="22">
        <f>IF($A1040="","",YEAR($A1040))</f>
        <v/>
      </c>
      <c r="F1040" s="22">
        <f>IF($A1040="","",MONTH($A1040))</f>
        <v/>
      </c>
      <c r="G1040" s="22">
        <f>IF($B1040="","",IFERROR(INDEX(ContaComp,MATCH($B1040,ContaNome,0)),"Conta inválida"))</f>
        <v/>
      </c>
    </row>
    <row r="1041" spans="1:7">
      <c r="A1041" s="21"/>
      <c r="B1041" s="15"/>
      <c r="C1041" s="15"/>
      <c r="D1041" s="17"/>
      <c r="E1041" s="22">
        <f>IF($A1041="","",YEAR($A1041))</f>
        <v/>
      </c>
      <c r="F1041" s="22">
        <f>IF($A1041="","",MONTH($A1041))</f>
        <v/>
      </c>
      <c r="G1041" s="22">
        <f>IF($B1041="","",IFERROR(INDEX(ContaComp,MATCH($B1041,ContaNome,0)),"Conta inválida"))</f>
        <v/>
      </c>
    </row>
    <row r="1042" spans="1:7">
      <c r="A1042" s="21"/>
      <c r="B1042" s="15"/>
      <c r="C1042" s="15"/>
      <c r="D1042" s="17"/>
      <c r="E1042" s="22">
        <f>IF($A1042="","",YEAR($A1042))</f>
        <v/>
      </c>
      <c r="F1042" s="22">
        <f>IF($A1042="","",MONTH($A1042))</f>
        <v/>
      </c>
      <c r="G1042" s="22">
        <f>IF($B1042="","",IFERROR(INDEX(ContaComp,MATCH($B1042,ContaNome,0)),"Conta inválida"))</f>
        <v/>
      </c>
    </row>
    <row r="1043" spans="1:7">
      <c r="A1043" s="21"/>
      <c r="B1043" s="15"/>
      <c r="C1043" s="15"/>
      <c r="D1043" s="17"/>
      <c r="E1043" s="22">
        <f>IF($A1043="","",YEAR($A1043))</f>
        <v/>
      </c>
      <c r="F1043" s="22">
        <f>IF($A1043="","",MONTH($A1043))</f>
        <v/>
      </c>
      <c r="G1043" s="22">
        <f>IF($B1043="","",IFERROR(INDEX(ContaComp,MATCH($B1043,ContaNome,0)),"Conta inválida"))</f>
        <v/>
      </c>
    </row>
    <row r="1044" spans="1:7">
      <c r="A1044" s="21"/>
      <c r="B1044" s="15"/>
      <c r="C1044" s="15"/>
      <c r="D1044" s="17"/>
      <c r="E1044" s="22">
        <f>IF($A1044="","",YEAR($A1044))</f>
        <v/>
      </c>
      <c r="F1044" s="22">
        <f>IF($A1044="","",MONTH($A1044))</f>
        <v/>
      </c>
      <c r="G1044" s="22">
        <f>IF($B1044="","",IFERROR(INDEX(ContaComp,MATCH($B1044,ContaNome,0)),"Conta inválida"))</f>
        <v/>
      </c>
    </row>
    <row r="1045" spans="1:7">
      <c r="A1045" s="21"/>
      <c r="B1045" s="15"/>
      <c r="C1045" s="15"/>
      <c r="D1045" s="17"/>
      <c r="E1045" s="22">
        <f>IF($A1045="","",YEAR($A1045))</f>
        <v/>
      </c>
      <c r="F1045" s="22">
        <f>IF($A1045="","",MONTH($A1045))</f>
        <v/>
      </c>
      <c r="G1045" s="22">
        <f>IF($B1045="","",IFERROR(INDEX(ContaComp,MATCH($B1045,ContaNome,0)),"Conta inválida"))</f>
        <v/>
      </c>
    </row>
    <row r="1046" spans="1:7">
      <c r="A1046" s="21"/>
      <c r="B1046" s="15"/>
      <c r="C1046" s="15"/>
      <c r="D1046" s="17"/>
      <c r="E1046" s="22">
        <f>IF($A1046="","",YEAR($A1046))</f>
        <v/>
      </c>
      <c r="F1046" s="22">
        <f>IF($A1046="","",MONTH($A1046))</f>
        <v/>
      </c>
      <c r="G1046" s="22">
        <f>IF($B1046="","",IFERROR(INDEX(ContaComp,MATCH($B1046,ContaNome,0)),"Conta inválida"))</f>
        <v/>
      </c>
    </row>
    <row r="1047" spans="1:7">
      <c r="A1047" s="21"/>
      <c r="B1047" s="15"/>
      <c r="C1047" s="15"/>
      <c r="D1047" s="17"/>
      <c r="E1047" s="22">
        <f>IF($A1047="","",YEAR($A1047))</f>
        <v/>
      </c>
      <c r="F1047" s="22">
        <f>IF($A1047="","",MONTH($A1047))</f>
        <v/>
      </c>
      <c r="G1047" s="22">
        <f>IF($B1047="","",IFERROR(INDEX(ContaComp,MATCH($B1047,ContaNome,0)),"Conta inválida"))</f>
        <v/>
      </c>
    </row>
    <row r="1048" spans="1:7">
      <c r="A1048" s="21"/>
      <c r="B1048" s="15"/>
      <c r="C1048" s="15"/>
      <c r="D1048" s="17"/>
      <c r="E1048" s="22">
        <f>IF($A1048="","",YEAR($A1048))</f>
        <v/>
      </c>
      <c r="F1048" s="22">
        <f>IF($A1048="","",MONTH($A1048))</f>
        <v/>
      </c>
      <c r="G1048" s="22">
        <f>IF($B1048="","",IFERROR(INDEX(ContaComp,MATCH($B1048,ContaNome,0)),"Conta inválida"))</f>
        <v/>
      </c>
    </row>
    <row r="1049" spans="1:7">
      <c r="A1049" s="21"/>
      <c r="B1049" s="15"/>
      <c r="C1049" s="15"/>
      <c r="D1049" s="17"/>
      <c r="E1049" s="22">
        <f>IF($A1049="","",YEAR($A1049))</f>
        <v/>
      </c>
      <c r="F1049" s="22">
        <f>IF($A1049="","",MONTH($A1049))</f>
        <v/>
      </c>
      <c r="G1049" s="22">
        <f>IF($B1049="","",IFERROR(INDEX(ContaComp,MATCH($B1049,ContaNome,0)),"Conta inválida"))</f>
        <v/>
      </c>
    </row>
    <row r="1050" spans="1:7">
      <c r="A1050" s="21"/>
      <c r="B1050" s="15"/>
      <c r="C1050" s="15"/>
      <c r="D1050" s="17"/>
      <c r="E1050" s="22">
        <f>IF($A1050="","",YEAR($A1050))</f>
        <v/>
      </c>
      <c r="F1050" s="22">
        <f>IF($A1050="","",MONTH($A1050))</f>
        <v/>
      </c>
      <c r="G1050" s="22">
        <f>IF($B1050="","",IFERROR(INDEX(ContaComp,MATCH($B1050,ContaNome,0)),"Conta inválida"))</f>
        <v/>
      </c>
    </row>
    <row r="1051" spans="1:7">
      <c r="A1051" s="21"/>
      <c r="B1051" s="15"/>
      <c r="C1051" s="15"/>
      <c r="D1051" s="17"/>
      <c r="E1051" s="22">
        <f>IF($A1051="","",YEAR($A1051))</f>
        <v/>
      </c>
      <c r="F1051" s="22">
        <f>IF($A1051="","",MONTH($A1051))</f>
        <v/>
      </c>
      <c r="G1051" s="22">
        <f>IF($B1051="","",IFERROR(INDEX(ContaComp,MATCH($B1051,ContaNome,0)),"Conta inválida"))</f>
        <v/>
      </c>
    </row>
    <row r="1052" spans="1:7">
      <c r="A1052" s="21"/>
      <c r="B1052" s="15"/>
      <c r="C1052" s="15"/>
      <c r="D1052" s="17"/>
      <c r="E1052" s="22">
        <f>IF($A1052="","",YEAR($A1052))</f>
        <v/>
      </c>
      <c r="F1052" s="22">
        <f>IF($A1052="","",MONTH($A1052))</f>
        <v/>
      </c>
      <c r="G1052" s="22">
        <f>IF($B1052="","",IFERROR(INDEX(ContaComp,MATCH($B1052,ContaNome,0)),"Conta inválida"))</f>
        <v/>
      </c>
    </row>
    <row r="1053" spans="1:7">
      <c r="A1053" s="21"/>
      <c r="B1053" s="15"/>
      <c r="C1053" s="15"/>
      <c r="D1053" s="17"/>
      <c r="E1053" s="22">
        <f>IF($A1053="","",YEAR($A1053))</f>
        <v/>
      </c>
      <c r="F1053" s="22">
        <f>IF($A1053="","",MONTH($A1053))</f>
        <v/>
      </c>
      <c r="G1053" s="22">
        <f>IF($B1053="","",IFERROR(INDEX(ContaComp,MATCH($B1053,ContaNome,0)),"Conta inválida"))</f>
        <v/>
      </c>
    </row>
    <row r="1054" spans="1:7">
      <c r="A1054" s="21"/>
      <c r="B1054" s="15"/>
      <c r="C1054" s="15"/>
      <c r="D1054" s="17"/>
      <c r="E1054" s="22">
        <f>IF($A1054="","",YEAR($A1054))</f>
        <v/>
      </c>
      <c r="F1054" s="22">
        <f>IF($A1054="","",MONTH($A1054))</f>
        <v/>
      </c>
      <c r="G1054" s="22">
        <f>IF($B1054="","",IFERROR(INDEX(ContaComp,MATCH($B1054,ContaNome,0)),"Conta inválida"))</f>
        <v/>
      </c>
    </row>
    <row r="1055" spans="1:7">
      <c r="A1055" s="21"/>
      <c r="B1055" s="15"/>
      <c r="C1055" s="15"/>
      <c r="D1055" s="17"/>
      <c r="E1055" s="22">
        <f>IF($A1055="","",YEAR($A1055))</f>
        <v/>
      </c>
      <c r="F1055" s="22">
        <f>IF($A1055="","",MONTH($A1055))</f>
        <v/>
      </c>
      <c r="G1055" s="22">
        <f>IF($B1055="","",IFERROR(INDEX(ContaComp,MATCH($B1055,ContaNome,0)),"Conta inválida"))</f>
        <v/>
      </c>
    </row>
    <row r="1056" spans="1:7">
      <c r="A1056" s="21"/>
      <c r="B1056" s="15"/>
      <c r="C1056" s="15"/>
      <c r="D1056" s="17"/>
      <c r="E1056" s="22">
        <f>IF($A1056="","",YEAR($A1056))</f>
        <v/>
      </c>
      <c r="F1056" s="22">
        <f>IF($A1056="","",MONTH($A1056))</f>
        <v/>
      </c>
      <c r="G1056" s="22">
        <f>IF($B1056="","",IFERROR(INDEX(ContaComp,MATCH($B1056,ContaNome,0)),"Conta inválida"))</f>
        <v/>
      </c>
    </row>
    <row r="1057" spans="1:7">
      <c r="A1057" s="21"/>
      <c r="B1057" s="15"/>
      <c r="C1057" s="15"/>
      <c r="D1057" s="17"/>
      <c r="E1057" s="22">
        <f>IF($A1057="","",YEAR($A1057))</f>
        <v/>
      </c>
      <c r="F1057" s="22">
        <f>IF($A1057="","",MONTH($A1057))</f>
        <v/>
      </c>
      <c r="G1057" s="22">
        <f>IF($B1057="","",IFERROR(INDEX(ContaComp,MATCH($B1057,ContaNome,0)),"Conta inválida"))</f>
        <v/>
      </c>
    </row>
    <row r="1058" spans="1:7">
      <c r="A1058" s="21"/>
      <c r="B1058" s="15"/>
      <c r="C1058" s="15"/>
      <c r="D1058" s="17"/>
      <c r="E1058" s="22">
        <f>IF($A1058="","",YEAR($A1058))</f>
        <v/>
      </c>
      <c r="F1058" s="22">
        <f>IF($A1058="","",MONTH($A1058))</f>
        <v/>
      </c>
      <c r="G1058" s="22">
        <f>IF($B1058="","",IFERROR(INDEX(ContaComp,MATCH($B1058,ContaNome,0)),"Conta inválida"))</f>
        <v/>
      </c>
    </row>
    <row r="1059" spans="1:7">
      <c r="A1059" s="21"/>
      <c r="B1059" s="15"/>
      <c r="C1059" s="15"/>
      <c r="D1059" s="17"/>
      <c r="E1059" s="22">
        <f>IF($A1059="","",YEAR($A1059))</f>
        <v/>
      </c>
      <c r="F1059" s="22">
        <f>IF($A1059="","",MONTH($A1059))</f>
        <v/>
      </c>
      <c r="G1059" s="22">
        <f>IF($B1059="","",IFERROR(INDEX(ContaComp,MATCH($B1059,ContaNome,0)),"Conta inválida"))</f>
        <v/>
      </c>
    </row>
    <row r="1060" spans="1:7">
      <c r="A1060" s="21"/>
      <c r="B1060" s="15"/>
      <c r="C1060" s="15"/>
      <c r="D1060" s="17"/>
      <c r="E1060" s="22">
        <f>IF($A1060="","",YEAR($A1060))</f>
        <v/>
      </c>
      <c r="F1060" s="22">
        <f>IF($A1060="","",MONTH($A1060))</f>
        <v/>
      </c>
      <c r="G1060" s="22">
        <f>IF($B1060="","",IFERROR(INDEX(ContaComp,MATCH($B1060,ContaNome,0)),"Conta inválida"))</f>
        <v/>
      </c>
    </row>
    <row r="1061" spans="1:7">
      <c r="A1061" s="21"/>
      <c r="B1061" s="15"/>
      <c r="C1061" s="15"/>
      <c r="D1061" s="17"/>
      <c r="E1061" s="22">
        <f>IF($A1061="","",YEAR($A1061))</f>
        <v/>
      </c>
      <c r="F1061" s="22">
        <f>IF($A1061="","",MONTH($A1061))</f>
        <v/>
      </c>
      <c r="G1061" s="22">
        <f>IF($B1061="","",IFERROR(INDEX(ContaComp,MATCH($B1061,ContaNome,0)),"Conta inválida"))</f>
        <v/>
      </c>
    </row>
    <row r="1062" spans="1:7">
      <c r="A1062" s="21"/>
      <c r="B1062" s="15"/>
      <c r="C1062" s="15"/>
      <c r="D1062" s="17"/>
      <c r="E1062" s="22">
        <f>IF($A1062="","",YEAR($A1062))</f>
        <v/>
      </c>
      <c r="F1062" s="22">
        <f>IF($A1062="","",MONTH($A1062))</f>
        <v/>
      </c>
      <c r="G1062" s="22">
        <f>IF($B1062="","",IFERROR(INDEX(ContaComp,MATCH($B1062,ContaNome,0)),"Conta inválida"))</f>
        <v/>
      </c>
    </row>
    <row r="1063" spans="1:7">
      <c r="A1063" s="21"/>
      <c r="B1063" s="15"/>
      <c r="C1063" s="15"/>
      <c r="D1063" s="17"/>
      <c r="E1063" s="22">
        <f>IF($A1063="","",YEAR($A1063))</f>
        <v/>
      </c>
      <c r="F1063" s="22">
        <f>IF($A1063="","",MONTH($A1063))</f>
        <v/>
      </c>
      <c r="G1063" s="22">
        <f>IF($B1063="","",IFERROR(INDEX(ContaComp,MATCH($B1063,ContaNome,0)),"Conta inválida"))</f>
        <v/>
      </c>
    </row>
    <row r="1064" spans="1:7">
      <c r="A1064" s="21"/>
      <c r="B1064" s="15"/>
      <c r="C1064" s="15"/>
      <c r="D1064" s="17"/>
      <c r="E1064" s="22">
        <f>IF($A1064="","",YEAR($A1064))</f>
        <v/>
      </c>
      <c r="F1064" s="22">
        <f>IF($A1064="","",MONTH($A1064))</f>
        <v/>
      </c>
      <c r="G1064" s="22">
        <f>IF($B1064="","",IFERROR(INDEX(ContaComp,MATCH($B1064,ContaNome,0)),"Conta inválida"))</f>
        <v/>
      </c>
    </row>
    <row r="1065" spans="1:7">
      <c r="A1065" s="21"/>
      <c r="B1065" s="15"/>
      <c r="C1065" s="15"/>
      <c r="D1065" s="17"/>
      <c r="E1065" s="22">
        <f>IF($A1065="","",YEAR($A1065))</f>
        <v/>
      </c>
      <c r="F1065" s="22">
        <f>IF($A1065="","",MONTH($A1065))</f>
        <v/>
      </c>
      <c r="G1065" s="22">
        <f>IF($B1065="","",IFERROR(INDEX(ContaComp,MATCH($B1065,ContaNome,0)),"Conta inválida"))</f>
        <v/>
      </c>
    </row>
    <row r="1066" spans="1:7">
      <c r="A1066" s="21"/>
      <c r="B1066" s="15"/>
      <c r="C1066" s="15"/>
      <c r="D1066" s="17"/>
      <c r="E1066" s="22">
        <f>IF($A1066="","",YEAR($A1066))</f>
        <v/>
      </c>
      <c r="F1066" s="22">
        <f>IF($A1066="","",MONTH($A1066))</f>
        <v/>
      </c>
      <c r="G1066" s="22">
        <f>IF($B1066="","",IFERROR(INDEX(ContaComp,MATCH($B1066,ContaNome,0)),"Conta inválida"))</f>
        <v/>
      </c>
    </row>
    <row r="1067" spans="1:7">
      <c r="A1067" s="21"/>
      <c r="B1067" s="15"/>
      <c r="C1067" s="15"/>
      <c r="D1067" s="17"/>
      <c r="E1067" s="22">
        <f>IF($A1067="","",YEAR($A1067))</f>
        <v/>
      </c>
      <c r="F1067" s="22">
        <f>IF($A1067="","",MONTH($A1067))</f>
        <v/>
      </c>
      <c r="G1067" s="22">
        <f>IF($B1067="","",IFERROR(INDEX(ContaComp,MATCH($B1067,ContaNome,0)),"Conta inválida"))</f>
        <v/>
      </c>
    </row>
    <row r="1068" spans="1:7">
      <c r="A1068" s="21"/>
      <c r="B1068" s="15"/>
      <c r="C1068" s="15"/>
      <c r="D1068" s="17"/>
      <c r="E1068" s="22">
        <f>IF($A1068="","",YEAR($A1068))</f>
        <v/>
      </c>
      <c r="F1068" s="22">
        <f>IF($A1068="","",MONTH($A1068))</f>
        <v/>
      </c>
      <c r="G1068" s="22">
        <f>IF($B1068="","",IFERROR(INDEX(ContaComp,MATCH($B1068,ContaNome,0)),"Conta inválida"))</f>
        <v/>
      </c>
    </row>
    <row r="1069" spans="1:7">
      <c r="A1069" s="21"/>
      <c r="B1069" s="15"/>
      <c r="C1069" s="15"/>
      <c r="D1069" s="17"/>
      <c r="E1069" s="22">
        <f>IF($A1069="","",YEAR($A1069))</f>
        <v/>
      </c>
      <c r="F1069" s="22">
        <f>IF($A1069="","",MONTH($A1069))</f>
        <v/>
      </c>
      <c r="G1069" s="22">
        <f>IF($B1069="","",IFERROR(INDEX(ContaComp,MATCH($B1069,ContaNome,0)),"Conta inválida"))</f>
        <v/>
      </c>
    </row>
    <row r="1070" spans="1:7">
      <c r="A1070" s="21"/>
      <c r="B1070" s="15"/>
      <c r="C1070" s="15"/>
      <c r="D1070" s="17"/>
      <c r="E1070" s="22">
        <f>IF($A1070="","",YEAR($A1070))</f>
        <v/>
      </c>
      <c r="F1070" s="22">
        <f>IF($A1070="","",MONTH($A1070))</f>
        <v/>
      </c>
      <c r="G1070" s="22">
        <f>IF($B1070="","",IFERROR(INDEX(ContaComp,MATCH($B1070,ContaNome,0)),"Conta inválida"))</f>
        <v/>
      </c>
    </row>
    <row r="1071" spans="1:7">
      <c r="A1071" s="21"/>
      <c r="B1071" s="15"/>
      <c r="C1071" s="15"/>
      <c r="D1071" s="17"/>
      <c r="E1071" s="22">
        <f>IF($A1071="","",YEAR($A1071))</f>
        <v/>
      </c>
      <c r="F1071" s="22">
        <f>IF($A1071="","",MONTH($A1071))</f>
        <v/>
      </c>
      <c r="G1071" s="22">
        <f>IF($B1071="","",IFERROR(INDEX(ContaComp,MATCH($B1071,ContaNome,0)),"Conta inválida"))</f>
        <v/>
      </c>
    </row>
    <row r="1072" spans="1:7">
      <c r="A1072" s="21"/>
      <c r="B1072" s="15"/>
      <c r="C1072" s="15"/>
      <c r="D1072" s="17"/>
      <c r="E1072" s="22">
        <f>IF($A1072="","",YEAR($A1072))</f>
        <v/>
      </c>
      <c r="F1072" s="22">
        <f>IF($A1072="","",MONTH($A1072))</f>
        <v/>
      </c>
      <c r="G1072" s="22">
        <f>IF($B1072="","",IFERROR(INDEX(ContaComp,MATCH($B1072,ContaNome,0)),"Conta inválida"))</f>
        <v/>
      </c>
    </row>
    <row r="1073" spans="1:7">
      <c r="A1073" s="21"/>
      <c r="B1073" s="15"/>
      <c r="C1073" s="15"/>
      <c r="D1073" s="17"/>
      <c r="E1073" s="22">
        <f>IF($A1073="","",YEAR($A1073))</f>
        <v/>
      </c>
      <c r="F1073" s="22">
        <f>IF($A1073="","",MONTH($A1073))</f>
        <v/>
      </c>
      <c r="G1073" s="22">
        <f>IF($B1073="","",IFERROR(INDEX(ContaComp,MATCH($B1073,ContaNome,0)),"Conta inválida"))</f>
        <v/>
      </c>
    </row>
    <row r="1074" spans="1:7">
      <c r="A1074" s="21"/>
      <c r="B1074" s="15"/>
      <c r="C1074" s="15"/>
      <c r="D1074" s="17"/>
      <c r="E1074" s="22">
        <f>IF($A1074="","",YEAR($A1074))</f>
        <v/>
      </c>
      <c r="F1074" s="22">
        <f>IF($A1074="","",MONTH($A1074))</f>
        <v/>
      </c>
      <c r="G1074" s="22">
        <f>IF($B1074="","",IFERROR(INDEX(ContaComp,MATCH($B1074,ContaNome,0)),"Conta inválida"))</f>
        <v/>
      </c>
    </row>
    <row r="1075" spans="1:7">
      <c r="A1075" s="21"/>
      <c r="B1075" s="15"/>
      <c r="C1075" s="15"/>
      <c r="D1075" s="17"/>
      <c r="E1075" s="22">
        <f>IF($A1075="","",YEAR($A1075))</f>
        <v/>
      </c>
      <c r="F1075" s="22">
        <f>IF($A1075="","",MONTH($A1075))</f>
        <v/>
      </c>
      <c r="G1075" s="22">
        <f>IF($B1075="","",IFERROR(INDEX(ContaComp,MATCH($B1075,ContaNome,0)),"Conta inválida"))</f>
        <v/>
      </c>
    </row>
    <row r="1076" spans="1:7">
      <c r="A1076" s="21"/>
      <c r="B1076" s="15"/>
      <c r="C1076" s="15"/>
      <c r="D1076" s="17"/>
      <c r="E1076" s="22">
        <f>IF($A1076="","",YEAR($A1076))</f>
        <v/>
      </c>
      <c r="F1076" s="22">
        <f>IF($A1076="","",MONTH($A1076))</f>
        <v/>
      </c>
      <c r="G1076" s="22">
        <f>IF($B1076="","",IFERROR(INDEX(ContaComp,MATCH($B1076,ContaNome,0)),"Conta inválida"))</f>
        <v/>
      </c>
    </row>
    <row r="1077" spans="1:7">
      <c r="A1077" s="21"/>
      <c r="B1077" s="15"/>
      <c r="C1077" s="15"/>
      <c r="D1077" s="17"/>
      <c r="E1077" s="22">
        <f>IF($A1077="","",YEAR($A1077))</f>
        <v/>
      </c>
      <c r="F1077" s="22">
        <f>IF($A1077="","",MONTH($A1077))</f>
        <v/>
      </c>
      <c r="G1077" s="22">
        <f>IF($B1077="","",IFERROR(INDEX(ContaComp,MATCH($B1077,ContaNome,0)),"Conta inválida"))</f>
        <v/>
      </c>
    </row>
    <row r="1078" spans="1:7">
      <c r="A1078" s="21"/>
      <c r="B1078" s="15"/>
      <c r="C1078" s="15"/>
      <c r="D1078" s="17"/>
      <c r="E1078" s="22">
        <f>IF($A1078="","",YEAR($A1078))</f>
        <v/>
      </c>
      <c r="F1078" s="22">
        <f>IF($A1078="","",MONTH($A1078))</f>
        <v/>
      </c>
      <c r="G1078" s="22">
        <f>IF($B1078="","",IFERROR(INDEX(ContaComp,MATCH($B1078,ContaNome,0)),"Conta inválida"))</f>
        <v/>
      </c>
    </row>
    <row r="1079" spans="1:7">
      <c r="A1079" s="21"/>
      <c r="B1079" s="15"/>
      <c r="C1079" s="15"/>
      <c r="D1079" s="17"/>
      <c r="E1079" s="22">
        <f>IF($A1079="","",YEAR($A1079))</f>
        <v/>
      </c>
      <c r="F1079" s="22">
        <f>IF($A1079="","",MONTH($A1079))</f>
        <v/>
      </c>
      <c r="G1079" s="22">
        <f>IF($B1079="","",IFERROR(INDEX(ContaComp,MATCH($B1079,ContaNome,0)),"Conta inválida"))</f>
        <v/>
      </c>
    </row>
    <row r="1080" spans="1:7">
      <c r="A1080" s="21"/>
      <c r="B1080" s="15"/>
      <c r="C1080" s="15"/>
      <c r="D1080" s="17"/>
      <c r="E1080" s="22">
        <f>IF($A1080="","",YEAR($A1080))</f>
        <v/>
      </c>
      <c r="F1080" s="22">
        <f>IF($A1080="","",MONTH($A1080))</f>
        <v/>
      </c>
      <c r="G1080" s="22">
        <f>IF($B1080="","",IFERROR(INDEX(ContaComp,MATCH($B1080,ContaNome,0)),"Conta inválida"))</f>
        <v/>
      </c>
    </row>
    <row r="1081" spans="1:7">
      <c r="A1081" s="21"/>
      <c r="B1081" s="15"/>
      <c r="C1081" s="15"/>
      <c r="D1081" s="17"/>
      <c r="E1081" s="22">
        <f>IF($A1081="","",YEAR($A1081))</f>
        <v/>
      </c>
      <c r="F1081" s="22">
        <f>IF($A1081="","",MONTH($A1081))</f>
        <v/>
      </c>
      <c r="G1081" s="22">
        <f>IF($B1081="","",IFERROR(INDEX(ContaComp,MATCH($B1081,ContaNome,0)),"Conta inválida"))</f>
        <v/>
      </c>
    </row>
    <row r="1082" spans="1:7">
      <c r="A1082" s="21"/>
      <c r="B1082" s="15"/>
      <c r="C1082" s="15"/>
      <c r="D1082" s="17"/>
      <c r="E1082" s="22">
        <f>IF($A1082="","",YEAR($A1082))</f>
        <v/>
      </c>
      <c r="F1082" s="22">
        <f>IF($A1082="","",MONTH($A1082))</f>
        <v/>
      </c>
      <c r="G1082" s="22">
        <f>IF($B1082="","",IFERROR(INDEX(ContaComp,MATCH($B1082,ContaNome,0)),"Conta inválida"))</f>
        <v/>
      </c>
    </row>
    <row r="1083" spans="1:7">
      <c r="A1083" s="21"/>
      <c r="B1083" s="15"/>
      <c r="C1083" s="15"/>
      <c r="D1083" s="17"/>
      <c r="E1083" s="22">
        <f>IF($A1083="","",YEAR($A1083))</f>
        <v/>
      </c>
      <c r="F1083" s="22">
        <f>IF($A1083="","",MONTH($A1083))</f>
        <v/>
      </c>
      <c r="G1083" s="22">
        <f>IF($B1083="","",IFERROR(INDEX(ContaComp,MATCH($B1083,ContaNome,0)),"Conta inválida"))</f>
        <v/>
      </c>
    </row>
    <row r="1084" spans="1:7">
      <c r="A1084" s="21"/>
      <c r="B1084" s="15"/>
      <c r="C1084" s="15"/>
      <c r="D1084" s="17"/>
      <c r="E1084" s="22">
        <f>IF($A1084="","",YEAR($A1084))</f>
        <v/>
      </c>
      <c r="F1084" s="22">
        <f>IF($A1084="","",MONTH($A1084))</f>
        <v/>
      </c>
      <c r="G1084" s="22">
        <f>IF($B1084="","",IFERROR(INDEX(ContaComp,MATCH($B1084,ContaNome,0)),"Conta inválida"))</f>
        <v/>
      </c>
    </row>
    <row r="1085" spans="1:7">
      <c r="A1085" s="21"/>
      <c r="B1085" s="15"/>
      <c r="C1085" s="15"/>
      <c r="D1085" s="17"/>
      <c r="E1085" s="22">
        <f>IF($A1085="","",YEAR($A1085))</f>
        <v/>
      </c>
      <c r="F1085" s="22">
        <f>IF($A1085="","",MONTH($A1085))</f>
        <v/>
      </c>
      <c r="G1085" s="22">
        <f>IF($B1085="","",IFERROR(INDEX(ContaComp,MATCH($B1085,ContaNome,0)),"Conta inválida"))</f>
        <v/>
      </c>
    </row>
    <row r="1086" spans="1:7">
      <c r="A1086" s="21"/>
      <c r="B1086" s="15"/>
      <c r="C1086" s="15"/>
      <c r="D1086" s="17"/>
      <c r="E1086" s="22">
        <f>IF($A1086="","",YEAR($A1086))</f>
        <v/>
      </c>
      <c r="F1086" s="22">
        <f>IF($A1086="","",MONTH($A1086))</f>
        <v/>
      </c>
      <c r="G1086" s="22">
        <f>IF($B1086="","",IFERROR(INDEX(ContaComp,MATCH($B1086,ContaNome,0)),"Conta inválida"))</f>
        <v/>
      </c>
    </row>
    <row r="1087" spans="1:7">
      <c r="A1087" s="21"/>
      <c r="B1087" s="15"/>
      <c r="C1087" s="15"/>
      <c r="D1087" s="17"/>
      <c r="E1087" s="22">
        <f>IF($A1087="","",YEAR($A1087))</f>
        <v/>
      </c>
      <c r="F1087" s="22">
        <f>IF($A1087="","",MONTH($A1087))</f>
        <v/>
      </c>
      <c r="G1087" s="22">
        <f>IF($B1087="","",IFERROR(INDEX(ContaComp,MATCH($B1087,ContaNome,0)),"Conta inválida"))</f>
        <v/>
      </c>
    </row>
    <row r="1088" spans="1:7">
      <c r="A1088" s="21"/>
      <c r="B1088" s="15"/>
      <c r="C1088" s="15"/>
      <c r="D1088" s="17"/>
      <c r="E1088" s="22">
        <f>IF($A1088="","",YEAR($A1088))</f>
        <v/>
      </c>
      <c r="F1088" s="22">
        <f>IF($A1088="","",MONTH($A1088))</f>
        <v/>
      </c>
      <c r="G1088" s="22">
        <f>IF($B1088="","",IFERROR(INDEX(ContaComp,MATCH($B1088,ContaNome,0)),"Conta inválida"))</f>
        <v/>
      </c>
    </row>
    <row r="1089" spans="1:7">
      <c r="A1089" s="21"/>
      <c r="B1089" s="15"/>
      <c r="C1089" s="15"/>
      <c r="D1089" s="17"/>
      <c r="E1089" s="22">
        <f>IF($A1089="","",YEAR($A1089))</f>
        <v/>
      </c>
      <c r="F1089" s="22">
        <f>IF($A1089="","",MONTH($A1089))</f>
        <v/>
      </c>
      <c r="G1089" s="22">
        <f>IF($B1089="","",IFERROR(INDEX(ContaComp,MATCH($B1089,ContaNome,0)),"Conta inválida"))</f>
        <v/>
      </c>
    </row>
    <row r="1090" spans="1:7">
      <c r="A1090" s="21"/>
      <c r="B1090" s="15"/>
      <c r="C1090" s="15"/>
      <c r="D1090" s="17"/>
      <c r="E1090" s="22">
        <f>IF($A1090="","",YEAR($A1090))</f>
        <v/>
      </c>
      <c r="F1090" s="22">
        <f>IF($A1090="","",MONTH($A1090))</f>
        <v/>
      </c>
      <c r="G1090" s="22">
        <f>IF($B1090="","",IFERROR(INDEX(ContaComp,MATCH($B1090,ContaNome,0)),"Conta inválida"))</f>
        <v/>
      </c>
    </row>
    <row r="1091" spans="1:7">
      <c r="A1091" s="21"/>
      <c r="B1091" s="15"/>
      <c r="C1091" s="15"/>
      <c r="D1091" s="17"/>
      <c r="E1091" s="22">
        <f>IF($A1091="","",YEAR($A1091))</f>
        <v/>
      </c>
      <c r="F1091" s="22">
        <f>IF($A1091="","",MONTH($A1091))</f>
        <v/>
      </c>
      <c r="G1091" s="22">
        <f>IF($B1091="","",IFERROR(INDEX(ContaComp,MATCH($B1091,ContaNome,0)),"Conta inválida"))</f>
        <v/>
      </c>
    </row>
    <row r="1092" spans="1:7">
      <c r="A1092" s="21"/>
      <c r="B1092" s="15"/>
      <c r="C1092" s="15"/>
      <c r="D1092" s="17"/>
      <c r="E1092" s="22">
        <f>IF($A1092="","",YEAR($A1092))</f>
        <v/>
      </c>
      <c r="F1092" s="22">
        <f>IF($A1092="","",MONTH($A1092))</f>
        <v/>
      </c>
      <c r="G1092" s="22">
        <f>IF($B1092="","",IFERROR(INDEX(ContaComp,MATCH($B1092,ContaNome,0)),"Conta inválida"))</f>
        <v/>
      </c>
    </row>
    <row r="1093" spans="1:7">
      <c r="A1093" s="21"/>
      <c r="B1093" s="15"/>
      <c r="C1093" s="15"/>
      <c r="D1093" s="17"/>
      <c r="E1093" s="22">
        <f>IF($A1093="","",YEAR($A1093))</f>
        <v/>
      </c>
      <c r="F1093" s="22">
        <f>IF($A1093="","",MONTH($A1093))</f>
        <v/>
      </c>
      <c r="G1093" s="22">
        <f>IF($B1093="","",IFERROR(INDEX(ContaComp,MATCH($B1093,ContaNome,0)),"Conta inválida"))</f>
        <v/>
      </c>
    </row>
    <row r="1094" spans="1:7">
      <c r="A1094" s="21"/>
      <c r="B1094" s="15"/>
      <c r="C1094" s="15"/>
      <c r="D1094" s="17"/>
      <c r="E1094" s="22">
        <f>IF($A1094="","",YEAR($A1094))</f>
        <v/>
      </c>
      <c r="F1094" s="22">
        <f>IF($A1094="","",MONTH($A1094))</f>
        <v/>
      </c>
      <c r="G1094" s="22">
        <f>IF($B1094="","",IFERROR(INDEX(ContaComp,MATCH($B1094,ContaNome,0)),"Conta inválida"))</f>
        <v/>
      </c>
    </row>
    <row r="1095" spans="1:7">
      <c r="A1095" s="21"/>
      <c r="B1095" s="15"/>
      <c r="C1095" s="15"/>
      <c r="D1095" s="17"/>
      <c r="E1095" s="22">
        <f>IF($A1095="","",YEAR($A1095))</f>
        <v/>
      </c>
      <c r="F1095" s="22">
        <f>IF($A1095="","",MONTH($A1095))</f>
        <v/>
      </c>
      <c r="G1095" s="22">
        <f>IF($B1095="","",IFERROR(INDEX(ContaComp,MATCH($B1095,ContaNome,0)),"Conta inválida"))</f>
        <v/>
      </c>
    </row>
    <row r="1096" spans="1:7">
      <c r="A1096" s="21"/>
      <c r="B1096" s="15"/>
      <c r="C1096" s="15"/>
      <c r="D1096" s="17"/>
      <c r="E1096" s="22">
        <f>IF($A1096="","",YEAR($A1096))</f>
        <v/>
      </c>
      <c r="F1096" s="22">
        <f>IF($A1096="","",MONTH($A1096))</f>
        <v/>
      </c>
      <c r="G1096" s="22">
        <f>IF($B1096="","",IFERROR(INDEX(ContaComp,MATCH($B1096,ContaNome,0)),"Conta inválida"))</f>
        <v/>
      </c>
    </row>
    <row r="1097" spans="1:7">
      <c r="A1097" s="21"/>
      <c r="B1097" s="15"/>
      <c r="C1097" s="15"/>
      <c r="D1097" s="17"/>
      <c r="E1097" s="22">
        <f>IF($A1097="","",YEAR($A1097))</f>
        <v/>
      </c>
      <c r="F1097" s="22">
        <f>IF($A1097="","",MONTH($A1097))</f>
        <v/>
      </c>
      <c r="G1097" s="22">
        <f>IF($B1097="","",IFERROR(INDEX(ContaComp,MATCH($B1097,ContaNome,0)),"Conta inválida"))</f>
        <v/>
      </c>
    </row>
    <row r="1098" spans="1:7">
      <c r="A1098" s="21"/>
      <c r="B1098" s="15"/>
      <c r="C1098" s="15"/>
      <c r="D1098" s="17"/>
      <c r="E1098" s="22">
        <f>IF($A1098="","",YEAR($A1098))</f>
        <v/>
      </c>
      <c r="F1098" s="22">
        <f>IF($A1098="","",MONTH($A1098))</f>
        <v/>
      </c>
      <c r="G1098" s="22">
        <f>IF($B1098="","",IFERROR(INDEX(ContaComp,MATCH($B1098,ContaNome,0)),"Conta inválida"))</f>
        <v/>
      </c>
    </row>
    <row r="1099" spans="1:7">
      <c r="A1099" s="21"/>
      <c r="B1099" s="15"/>
      <c r="C1099" s="15"/>
      <c r="D1099" s="17"/>
      <c r="E1099" s="22">
        <f>IF($A1099="","",YEAR($A1099))</f>
        <v/>
      </c>
      <c r="F1099" s="22">
        <f>IF($A1099="","",MONTH($A1099))</f>
        <v/>
      </c>
      <c r="G1099" s="22">
        <f>IF($B1099="","",IFERROR(INDEX(ContaComp,MATCH($B1099,ContaNome,0)),"Conta inválida"))</f>
        <v/>
      </c>
    </row>
    <row r="1100" spans="1:7">
      <c r="A1100" s="21"/>
      <c r="B1100" s="15"/>
      <c r="C1100" s="15"/>
      <c r="D1100" s="17"/>
      <c r="E1100" s="22">
        <f>IF($A1100="","",YEAR($A1100))</f>
        <v/>
      </c>
      <c r="F1100" s="22">
        <f>IF($A1100="","",MONTH($A1100))</f>
        <v/>
      </c>
      <c r="G1100" s="22">
        <f>IF($B1100="","",IFERROR(INDEX(ContaComp,MATCH($B1100,ContaNome,0)),"Conta inválida"))</f>
        <v/>
      </c>
    </row>
    <row r="1101" spans="1:7">
      <c r="A1101" s="21"/>
      <c r="B1101" s="15"/>
      <c r="C1101" s="15"/>
      <c r="D1101" s="17"/>
      <c r="E1101" s="22">
        <f>IF($A1101="","",YEAR($A1101))</f>
        <v/>
      </c>
      <c r="F1101" s="22">
        <f>IF($A1101="","",MONTH($A1101))</f>
        <v/>
      </c>
      <c r="G1101" s="22">
        <f>IF($B1101="","",IFERROR(INDEX(ContaComp,MATCH($B1101,ContaNome,0)),"Conta inválida"))</f>
        <v/>
      </c>
    </row>
    <row r="1102" spans="1:7">
      <c r="A1102" s="21"/>
      <c r="B1102" s="15"/>
      <c r="C1102" s="15"/>
      <c r="D1102" s="17"/>
      <c r="E1102" s="22">
        <f>IF($A1102="","",YEAR($A1102))</f>
        <v/>
      </c>
      <c r="F1102" s="22">
        <f>IF($A1102="","",MONTH($A1102))</f>
        <v/>
      </c>
      <c r="G1102" s="22">
        <f>IF($B1102="","",IFERROR(INDEX(ContaComp,MATCH($B1102,ContaNome,0)),"Conta inválida"))</f>
        <v/>
      </c>
    </row>
    <row r="1103" spans="1:7">
      <c r="A1103" s="21"/>
      <c r="B1103" s="15"/>
      <c r="C1103" s="15"/>
      <c r="D1103" s="17"/>
      <c r="E1103" s="22">
        <f>IF($A1103="","",YEAR($A1103))</f>
        <v/>
      </c>
      <c r="F1103" s="22">
        <f>IF($A1103="","",MONTH($A1103))</f>
        <v/>
      </c>
      <c r="G1103" s="22">
        <f>IF($B1103="","",IFERROR(INDEX(ContaComp,MATCH($B1103,ContaNome,0)),"Conta inválida"))</f>
        <v/>
      </c>
    </row>
    <row r="1104" spans="1:7">
      <c r="A1104" s="21"/>
      <c r="B1104" s="15"/>
      <c r="C1104" s="15"/>
      <c r="D1104" s="17"/>
      <c r="E1104" s="22">
        <f>IF($A1104="","",YEAR($A1104))</f>
        <v/>
      </c>
      <c r="F1104" s="22">
        <f>IF($A1104="","",MONTH($A1104))</f>
        <v/>
      </c>
      <c r="G1104" s="22">
        <f>IF($B1104="","",IFERROR(INDEX(ContaComp,MATCH($B1104,ContaNome,0)),"Conta inválida"))</f>
        <v/>
      </c>
    </row>
    <row r="1105" spans="1:7">
      <c r="A1105" s="21"/>
      <c r="B1105" s="15"/>
      <c r="C1105" s="15"/>
      <c r="D1105" s="17"/>
      <c r="E1105" s="22">
        <f>IF($A1105="","",YEAR($A1105))</f>
        <v/>
      </c>
      <c r="F1105" s="22">
        <f>IF($A1105="","",MONTH($A1105))</f>
        <v/>
      </c>
      <c r="G1105" s="22">
        <f>IF($B1105="","",IFERROR(INDEX(ContaComp,MATCH($B1105,ContaNome,0)),"Conta inválida"))</f>
        <v/>
      </c>
    </row>
    <row r="1106" spans="1:7">
      <c r="A1106" s="21"/>
      <c r="B1106" s="15"/>
      <c r="C1106" s="15"/>
      <c r="D1106" s="17"/>
      <c r="E1106" s="22">
        <f>IF($A1106="","",YEAR($A1106))</f>
        <v/>
      </c>
      <c r="F1106" s="22">
        <f>IF($A1106="","",MONTH($A1106))</f>
        <v/>
      </c>
      <c r="G1106" s="22">
        <f>IF($B1106="","",IFERROR(INDEX(ContaComp,MATCH($B1106,ContaNome,0)),"Conta inválida"))</f>
        <v/>
      </c>
    </row>
    <row r="1107" spans="1:7">
      <c r="A1107" s="21"/>
      <c r="B1107" s="15"/>
      <c r="C1107" s="15"/>
      <c r="D1107" s="17"/>
      <c r="E1107" s="22">
        <f>IF($A1107="","",YEAR($A1107))</f>
        <v/>
      </c>
      <c r="F1107" s="22">
        <f>IF($A1107="","",MONTH($A1107))</f>
        <v/>
      </c>
      <c r="G1107" s="22">
        <f>IF($B1107="","",IFERROR(INDEX(ContaComp,MATCH($B1107,ContaNome,0)),"Conta inválida"))</f>
        <v/>
      </c>
    </row>
    <row r="1108" spans="1:7">
      <c r="A1108" s="21"/>
      <c r="B1108" s="15"/>
      <c r="C1108" s="15"/>
      <c r="D1108" s="17"/>
      <c r="E1108" s="22">
        <f>IF($A1108="","",YEAR($A1108))</f>
        <v/>
      </c>
      <c r="F1108" s="22">
        <f>IF($A1108="","",MONTH($A1108))</f>
        <v/>
      </c>
      <c r="G1108" s="22">
        <f>IF($B1108="","",IFERROR(INDEX(ContaComp,MATCH($B1108,ContaNome,0)),"Conta inválida"))</f>
        <v/>
      </c>
    </row>
    <row r="1109" spans="1:7">
      <c r="A1109" s="21"/>
      <c r="B1109" s="15"/>
      <c r="C1109" s="15"/>
      <c r="D1109" s="17"/>
      <c r="E1109" s="22">
        <f>IF($A1109="","",YEAR($A1109))</f>
        <v/>
      </c>
      <c r="F1109" s="22">
        <f>IF($A1109="","",MONTH($A1109))</f>
        <v/>
      </c>
      <c r="G1109" s="22">
        <f>IF($B1109="","",IFERROR(INDEX(ContaComp,MATCH($B1109,ContaNome,0)),"Conta inválida"))</f>
        <v/>
      </c>
    </row>
    <row r="1110" spans="1:7">
      <c r="A1110" s="21"/>
      <c r="B1110" s="15"/>
      <c r="C1110" s="15"/>
      <c r="D1110" s="17"/>
      <c r="E1110" s="22">
        <f>IF($A1110="","",YEAR($A1110))</f>
        <v/>
      </c>
      <c r="F1110" s="22">
        <f>IF($A1110="","",MONTH($A1110))</f>
        <v/>
      </c>
      <c r="G1110" s="22">
        <f>IF($B1110="","",IFERROR(INDEX(ContaComp,MATCH($B1110,ContaNome,0)),"Conta inválida"))</f>
        <v/>
      </c>
    </row>
    <row r="1111" spans="1:7">
      <c r="A1111" s="21"/>
      <c r="B1111" s="15"/>
      <c r="C1111" s="15"/>
      <c r="D1111" s="17"/>
      <c r="E1111" s="22">
        <f>IF($A1111="","",YEAR($A1111))</f>
        <v/>
      </c>
      <c r="F1111" s="22">
        <f>IF($A1111="","",MONTH($A1111))</f>
        <v/>
      </c>
      <c r="G1111" s="22">
        <f>IF($B1111="","",IFERROR(INDEX(ContaComp,MATCH($B1111,ContaNome,0)),"Conta inválida"))</f>
        <v/>
      </c>
    </row>
    <row r="1112" spans="1:7">
      <c r="A1112" s="21"/>
      <c r="B1112" s="15"/>
      <c r="C1112" s="15"/>
      <c r="D1112" s="17"/>
      <c r="E1112" s="22">
        <f>IF($A1112="","",YEAR($A1112))</f>
        <v/>
      </c>
      <c r="F1112" s="22">
        <f>IF($A1112="","",MONTH($A1112))</f>
        <v/>
      </c>
      <c r="G1112" s="22">
        <f>IF($B1112="","",IFERROR(INDEX(ContaComp,MATCH($B1112,ContaNome,0)),"Conta inválida"))</f>
        <v/>
      </c>
    </row>
    <row r="1113" spans="1:7">
      <c r="A1113" s="21"/>
      <c r="B1113" s="15"/>
      <c r="C1113" s="15"/>
      <c r="D1113" s="17"/>
      <c r="E1113" s="22">
        <f>IF($A1113="","",YEAR($A1113))</f>
        <v/>
      </c>
      <c r="F1113" s="22">
        <f>IF($A1113="","",MONTH($A1113))</f>
        <v/>
      </c>
      <c r="G1113" s="22">
        <f>IF($B1113="","",IFERROR(INDEX(ContaComp,MATCH($B1113,ContaNome,0)),"Conta inválida"))</f>
        <v/>
      </c>
    </row>
    <row r="1114" spans="1:7">
      <c r="A1114" s="21"/>
      <c r="B1114" s="15"/>
      <c r="C1114" s="15"/>
      <c r="D1114" s="17"/>
      <c r="E1114" s="22">
        <f>IF($A1114="","",YEAR($A1114))</f>
        <v/>
      </c>
      <c r="F1114" s="22">
        <f>IF($A1114="","",MONTH($A1114))</f>
        <v/>
      </c>
      <c r="G1114" s="22">
        <f>IF($B1114="","",IFERROR(INDEX(ContaComp,MATCH($B1114,ContaNome,0)),"Conta inválida"))</f>
        <v/>
      </c>
    </row>
    <row r="1115" spans="1:7">
      <c r="A1115" s="21"/>
      <c r="B1115" s="15"/>
      <c r="C1115" s="15"/>
      <c r="D1115" s="17"/>
      <c r="E1115" s="22">
        <f>IF($A1115="","",YEAR($A1115))</f>
        <v/>
      </c>
      <c r="F1115" s="22">
        <f>IF($A1115="","",MONTH($A1115))</f>
        <v/>
      </c>
      <c r="G1115" s="22">
        <f>IF($B1115="","",IFERROR(INDEX(ContaComp,MATCH($B1115,ContaNome,0)),"Conta inválida"))</f>
        <v/>
      </c>
    </row>
    <row r="1116" spans="1:7">
      <c r="A1116" s="21"/>
      <c r="B1116" s="15"/>
      <c r="C1116" s="15"/>
      <c r="D1116" s="17"/>
      <c r="E1116" s="22">
        <f>IF($A1116="","",YEAR($A1116))</f>
        <v/>
      </c>
      <c r="F1116" s="22">
        <f>IF($A1116="","",MONTH($A1116))</f>
        <v/>
      </c>
      <c r="G1116" s="22">
        <f>IF($B1116="","",IFERROR(INDEX(ContaComp,MATCH($B1116,ContaNome,0)),"Conta inválida"))</f>
        <v/>
      </c>
    </row>
    <row r="1117" spans="1:7">
      <c r="A1117" s="21"/>
      <c r="B1117" s="15"/>
      <c r="C1117" s="15"/>
      <c r="D1117" s="17"/>
      <c r="E1117" s="22">
        <f>IF($A1117="","",YEAR($A1117))</f>
        <v/>
      </c>
      <c r="F1117" s="22">
        <f>IF($A1117="","",MONTH($A1117))</f>
        <v/>
      </c>
      <c r="G1117" s="22">
        <f>IF($B1117="","",IFERROR(INDEX(ContaComp,MATCH($B1117,ContaNome,0)),"Conta inválida"))</f>
        <v/>
      </c>
    </row>
    <row r="1118" spans="1:7">
      <c r="A1118" s="21"/>
      <c r="B1118" s="15"/>
      <c r="C1118" s="15"/>
      <c r="D1118" s="17"/>
      <c r="E1118" s="22">
        <f>IF($A1118="","",YEAR($A1118))</f>
        <v/>
      </c>
      <c r="F1118" s="22">
        <f>IF($A1118="","",MONTH($A1118))</f>
        <v/>
      </c>
      <c r="G1118" s="22">
        <f>IF($B1118="","",IFERROR(INDEX(ContaComp,MATCH($B1118,ContaNome,0)),"Conta inválida"))</f>
        <v/>
      </c>
    </row>
    <row r="1119" spans="1:7">
      <c r="A1119" s="21"/>
      <c r="B1119" s="15"/>
      <c r="C1119" s="15"/>
      <c r="D1119" s="17"/>
      <c r="E1119" s="22">
        <f>IF($A1119="","",YEAR($A1119))</f>
        <v/>
      </c>
      <c r="F1119" s="22">
        <f>IF($A1119="","",MONTH($A1119))</f>
        <v/>
      </c>
      <c r="G1119" s="22">
        <f>IF($B1119="","",IFERROR(INDEX(ContaComp,MATCH($B1119,ContaNome,0)),"Conta inválida"))</f>
        <v/>
      </c>
    </row>
    <row r="1120" spans="1:7">
      <c r="A1120" s="21"/>
      <c r="B1120" s="15"/>
      <c r="C1120" s="15"/>
      <c r="D1120" s="17"/>
      <c r="E1120" s="22">
        <f>IF($A1120="","",YEAR($A1120))</f>
        <v/>
      </c>
      <c r="F1120" s="22">
        <f>IF($A1120="","",MONTH($A1120))</f>
        <v/>
      </c>
      <c r="G1120" s="22">
        <f>IF($B1120="","",IFERROR(INDEX(ContaComp,MATCH($B1120,ContaNome,0)),"Conta inválida"))</f>
        <v/>
      </c>
    </row>
    <row r="1121" spans="1:7">
      <c r="A1121" s="21"/>
      <c r="B1121" s="15"/>
      <c r="C1121" s="15"/>
      <c r="D1121" s="17"/>
      <c r="E1121" s="22">
        <f>IF($A1121="","",YEAR($A1121))</f>
        <v/>
      </c>
      <c r="F1121" s="22">
        <f>IF($A1121="","",MONTH($A1121))</f>
        <v/>
      </c>
      <c r="G1121" s="22">
        <f>IF($B1121="","",IFERROR(INDEX(ContaComp,MATCH($B1121,ContaNome,0)),"Conta inválida"))</f>
        <v/>
      </c>
    </row>
    <row r="1122" spans="1:7">
      <c r="A1122" s="21"/>
      <c r="B1122" s="15"/>
      <c r="C1122" s="15"/>
      <c r="D1122" s="17"/>
      <c r="E1122" s="22">
        <f>IF($A1122="","",YEAR($A1122))</f>
        <v/>
      </c>
      <c r="F1122" s="22">
        <f>IF($A1122="","",MONTH($A1122))</f>
        <v/>
      </c>
      <c r="G1122" s="22">
        <f>IF($B1122="","",IFERROR(INDEX(ContaComp,MATCH($B1122,ContaNome,0)),"Conta inválida"))</f>
        <v/>
      </c>
    </row>
    <row r="1123" spans="1:7">
      <c r="A1123" s="21"/>
      <c r="B1123" s="15"/>
      <c r="C1123" s="15"/>
      <c r="D1123" s="17"/>
      <c r="E1123" s="22">
        <f>IF($A1123="","",YEAR($A1123))</f>
        <v/>
      </c>
      <c r="F1123" s="22">
        <f>IF($A1123="","",MONTH($A1123))</f>
        <v/>
      </c>
      <c r="G1123" s="22">
        <f>IF($B1123="","",IFERROR(INDEX(ContaComp,MATCH($B1123,ContaNome,0)),"Conta inválida"))</f>
        <v/>
      </c>
    </row>
    <row r="1124" spans="1:7">
      <c r="A1124" s="21"/>
      <c r="B1124" s="15"/>
      <c r="C1124" s="15"/>
      <c r="D1124" s="17"/>
      <c r="E1124" s="22">
        <f>IF($A1124="","",YEAR($A1124))</f>
        <v/>
      </c>
      <c r="F1124" s="22">
        <f>IF($A1124="","",MONTH($A1124))</f>
        <v/>
      </c>
      <c r="G1124" s="22">
        <f>IF($B1124="","",IFERROR(INDEX(ContaComp,MATCH($B1124,ContaNome,0)),"Conta inválida"))</f>
        <v/>
      </c>
    </row>
    <row r="1125" spans="1:7">
      <c r="A1125" s="21"/>
      <c r="B1125" s="15"/>
      <c r="C1125" s="15"/>
      <c r="D1125" s="17"/>
      <c r="E1125" s="22">
        <f>IF($A1125="","",YEAR($A1125))</f>
        <v/>
      </c>
      <c r="F1125" s="22">
        <f>IF($A1125="","",MONTH($A1125))</f>
        <v/>
      </c>
      <c r="G1125" s="22">
        <f>IF($B1125="","",IFERROR(INDEX(ContaComp,MATCH($B1125,ContaNome,0)),"Conta inválida"))</f>
        <v/>
      </c>
    </row>
    <row r="1126" spans="1:7">
      <c r="A1126" s="21"/>
      <c r="B1126" s="15"/>
      <c r="C1126" s="15"/>
      <c r="D1126" s="17"/>
      <c r="E1126" s="22">
        <f>IF($A1126="","",YEAR($A1126))</f>
        <v/>
      </c>
      <c r="F1126" s="22">
        <f>IF($A1126="","",MONTH($A1126))</f>
        <v/>
      </c>
      <c r="G1126" s="22">
        <f>IF($B1126="","",IFERROR(INDEX(ContaComp,MATCH($B1126,ContaNome,0)),"Conta inválida"))</f>
        <v/>
      </c>
    </row>
    <row r="1127" spans="1:7">
      <c r="A1127" s="21"/>
      <c r="B1127" s="15"/>
      <c r="C1127" s="15"/>
      <c r="D1127" s="17"/>
      <c r="E1127" s="22">
        <f>IF($A1127="","",YEAR($A1127))</f>
        <v/>
      </c>
      <c r="F1127" s="22">
        <f>IF($A1127="","",MONTH($A1127))</f>
        <v/>
      </c>
      <c r="G1127" s="22">
        <f>IF($B1127="","",IFERROR(INDEX(ContaComp,MATCH($B1127,ContaNome,0)),"Conta inválida"))</f>
        <v/>
      </c>
    </row>
    <row r="1128" spans="1:7">
      <c r="A1128" s="21"/>
      <c r="B1128" s="15"/>
      <c r="C1128" s="15"/>
      <c r="D1128" s="17"/>
      <c r="E1128" s="22">
        <f>IF($A1128="","",YEAR($A1128))</f>
        <v/>
      </c>
      <c r="F1128" s="22">
        <f>IF($A1128="","",MONTH($A1128))</f>
        <v/>
      </c>
      <c r="G1128" s="22">
        <f>IF($B1128="","",IFERROR(INDEX(ContaComp,MATCH($B1128,ContaNome,0)),"Conta inválida"))</f>
        <v/>
      </c>
    </row>
    <row r="1129" spans="1:7">
      <c r="A1129" s="21"/>
      <c r="B1129" s="15"/>
      <c r="C1129" s="15"/>
      <c r="D1129" s="17"/>
      <c r="E1129" s="22">
        <f>IF($A1129="","",YEAR($A1129))</f>
        <v/>
      </c>
      <c r="F1129" s="22">
        <f>IF($A1129="","",MONTH($A1129))</f>
        <v/>
      </c>
      <c r="G1129" s="22">
        <f>IF($B1129="","",IFERROR(INDEX(ContaComp,MATCH($B1129,ContaNome,0)),"Conta inválida"))</f>
        <v/>
      </c>
    </row>
    <row r="1130" spans="1:7">
      <c r="A1130" s="21"/>
      <c r="B1130" s="15"/>
      <c r="C1130" s="15"/>
      <c r="D1130" s="17"/>
      <c r="E1130" s="22">
        <f>IF($A1130="","",YEAR($A1130))</f>
        <v/>
      </c>
      <c r="F1130" s="22">
        <f>IF($A1130="","",MONTH($A1130))</f>
        <v/>
      </c>
      <c r="G1130" s="22">
        <f>IF($B1130="","",IFERROR(INDEX(ContaComp,MATCH($B1130,ContaNome,0)),"Conta inválida"))</f>
        <v/>
      </c>
    </row>
    <row r="1131" spans="1:7">
      <c r="A1131" s="21"/>
      <c r="B1131" s="15"/>
      <c r="C1131" s="15"/>
      <c r="D1131" s="17"/>
      <c r="E1131" s="22">
        <f>IF($A1131="","",YEAR($A1131))</f>
        <v/>
      </c>
      <c r="F1131" s="22">
        <f>IF($A1131="","",MONTH($A1131))</f>
        <v/>
      </c>
      <c r="G1131" s="22">
        <f>IF($B1131="","",IFERROR(INDEX(ContaComp,MATCH($B1131,ContaNome,0)),"Conta inválida"))</f>
        <v/>
      </c>
    </row>
    <row r="1132" spans="1:7">
      <c r="A1132" s="21"/>
      <c r="B1132" s="15"/>
      <c r="C1132" s="15"/>
      <c r="D1132" s="17"/>
      <c r="E1132" s="22">
        <f>IF($A1132="","",YEAR($A1132))</f>
        <v/>
      </c>
      <c r="F1132" s="22">
        <f>IF($A1132="","",MONTH($A1132))</f>
        <v/>
      </c>
      <c r="G1132" s="22">
        <f>IF($B1132="","",IFERROR(INDEX(ContaComp,MATCH($B1132,ContaNome,0)),"Conta inválida"))</f>
        <v/>
      </c>
    </row>
    <row r="1133" spans="1:7">
      <c r="A1133" s="21"/>
      <c r="B1133" s="15"/>
      <c r="C1133" s="15"/>
      <c r="D1133" s="17"/>
      <c r="E1133" s="22">
        <f>IF($A1133="","",YEAR($A1133))</f>
        <v/>
      </c>
      <c r="F1133" s="22">
        <f>IF($A1133="","",MONTH($A1133))</f>
        <v/>
      </c>
      <c r="G1133" s="22">
        <f>IF($B1133="","",IFERROR(INDEX(ContaComp,MATCH($B1133,ContaNome,0)),"Conta inválida"))</f>
        <v/>
      </c>
    </row>
    <row r="1134" spans="1:7">
      <c r="A1134" s="21"/>
      <c r="B1134" s="15"/>
      <c r="C1134" s="15"/>
      <c r="D1134" s="17"/>
      <c r="E1134" s="22">
        <f>IF($A1134="","",YEAR($A1134))</f>
        <v/>
      </c>
      <c r="F1134" s="22">
        <f>IF($A1134="","",MONTH($A1134))</f>
        <v/>
      </c>
      <c r="G1134" s="22">
        <f>IF($B1134="","",IFERROR(INDEX(ContaComp,MATCH($B1134,ContaNome,0)),"Conta inválida"))</f>
        <v/>
      </c>
    </row>
    <row r="1135" spans="1:7">
      <c r="A1135" s="21"/>
      <c r="B1135" s="15"/>
      <c r="C1135" s="15"/>
      <c r="D1135" s="17"/>
      <c r="E1135" s="22">
        <f>IF($A1135="","",YEAR($A1135))</f>
        <v/>
      </c>
      <c r="F1135" s="22">
        <f>IF($A1135="","",MONTH($A1135))</f>
        <v/>
      </c>
      <c r="G1135" s="22">
        <f>IF($B1135="","",IFERROR(INDEX(ContaComp,MATCH($B1135,ContaNome,0)),"Conta inválida"))</f>
        <v/>
      </c>
    </row>
    <row r="1136" spans="1:7">
      <c r="A1136" s="21"/>
      <c r="B1136" s="15"/>
      <c r="C1136" s="15"/>
      <c r="D1136" s="17"/>
      <c r="E1136" s="22">
        <f>IF($A1136="","",YEAR($A1136))</f>
        <v/>
      </c>
      <c r="F1136" s="22">
        <f>IF($A1136="","",MONTH($A1136))</f>
        <v/>
      </c>
      <c r="G1136" s="22">
        <f>IF($B1136="","",IFERROR(INDEX(ContaComp,MATCH($B1136,ContaNome,0)),"Conta inválida"))</f>
        <v/>
      </c>
    </row>
    <row r="1137" spans="1:7">
      <c r="A1137" s="21"/>
      <c r="B1137" s="15"/>
      <c r="C1137" s="15"/>
      <c r="D1137" s="17"/>
      <c r="E1137" s="22">
        <f>IF($A1137="","",YEAR($A1137))</f>
        <v/>
      </c>
      <c r="F1137" s="22">
        <f>IF($A1137="","",MONTH($A1137))</f>
        <v/>
      </c>
      <c r="G1137" s="22">
        <f>IF($B1137="","",IFERROR(INDEX(ContaComp,MATCH($B1137,ContaNome,0)),"Conta inválida"))</f>
        <v/>
      </c>
    </row>
    <row r="1138" spans="1:7">
      <c r="A1138" s="21"/>
      <c r="B1138" s="15"/>
      <c r="C1138" s="15"/>
      <c r="D1138" s="17"/>
      <c r="E1138" s="22">
        <f>IF($A1138="","",YEAR($A1138))</f>
        <v/>
      </c>
      <c r="F1138" s="22">
        <f>IF($A1138="","",MONTH($A1138))</f>
        <v/>
      </c>
      <c r="G1138" s="22">
        <f>IF($B1138="","",IFERROR(INDEX(ContaComp,MATCH($B1138,ContaNome,0)),"Conta inválida"))</f>
        <v/>
      </c>
    </row>
    <row r="1139" spans="1:7">
      <c r="A1139" s="21"/>
      <c r="B1139" s="15"/>
      <c r="C1139" s="15"/>
      <c r="D1139" s="17"/>
      <c r="E1139" s="22">
        <f>IF($A1139="","",YEAR($A1139))</f>
        <v/>
      </c>
      <c r="F1139" s="22">
        <f>IF($A1139="","",MONTH($A1139))</f>
        <v/>
      </c>
      <c r="G1139" s="22">
        <f>IF($B1139="","",IFERROR(INDEX(ContaComp,MATCH($B1139,ContaNome,0)),"Conta inválida"))</f>
        <v/>
      </c>
    </row>
    <row r="1140" spans="1:7">
      <c r="A1140" s="21"/>
      <c r="B1140" s="15"/>
      <c r="C1140" s="15"/>
      <c r="D1140" s="17"/>
      <c r="E1140" s="22">
        <f>IF($A1140="","",YEAR($A1140))</f>
        <v/>
      </c>
      <c r="F1140" s="22">
        <f>IF($A1140="","",MONTH($A1140))</f>
        <v/>
      </c>
      <c r="G1140" s="22">
        <f>IF($B1140="","",IFERROR(INDEX(ContaComp,MATCH($B1140,ContaNome,0)),"Conta inválida"))</f>
        <v/>
      </c>
    </row>
    <row r="1141" spans="1:7">
      <c r="A1141" s="21"/>
      <c r="B1141" s="15"/>
      <c r="C1141" s="15"/>
      <c r="D1141" s="17"/>
      <c r="E1141" s="22">
        <f>IF($A1141="","",YEAR($A1141))</f>
        <v/>
      </c>
      <c r="F1141" s="22">
        <f>IF($A1141="","",MONTH($A1141))</f>
        <v/>
      </c>
      <c r="G1141" s="22">
        <f>IF($B1141="","",IFERROR(INDEX(ContaComp,MATCH($B1141,ContaNome,0)),"Conta inválida"))</f>
        <v/>
      </c>
    </row>
    <row r="1142" spans="1:7">
      <c r="A1142" s="21"/>
      <c r="B1142" s="15"/>
      <c r="C1142" s="15"/>
      <c r="D1142" s="17"/>
      <c r="E1142" s="22">
        <f>IF($A1142="","",YEAR($A1142))</f>
        <v/>
      </c>
      <c r="F1142" s="22">
        <f>IF($A1142="","",MONTH($A1142))</f>
        <v/>
      </c>
      <c r="G1142" s="22">
        <f>IF($B1142="","",IFERROR(INDEX(ContaComp,MATCH($B1142,ContaNome,0)),"Conta inválida"))</f>
        <v/>
      </c>
    </row>
    <row r="1143" spans="1:7">
      <c r="A1143" s="21"/>
      <c r="B1143" s="15"/>
      <c r="C1143" s="15"/>
      <c r="D1143" s="17"/>
      <c r="E1143" s="22">
        <f>IF($A1143="","",YEAR($A1143))</f>
        <v/>
      </c>
      <c r="F1143" s="22">
        <f>IF($A1143="","",MONTH($A1143))</f>
        <v/>
      </c>
      <c r="G1143" s="22">
        <f>IF($B1143="","",IFERROR(INDEX(ContaComp,MATCH($B1143,ContaNome,0)),"Conta inválida"))</f>
        <v/>
      </c>
    </row>
    <row r="1144" spans="1:7">
      <c r="A1144" s="21"/>
      <c r="B1144" s="15"/>
      <c r="C1144" s="15"/>
      <c r="D1144" s="17"/>
      <c r="E1144" s="22">
        <f>IF($A1144="","",YEAR($A1144))</f>
        <v/>
      </c>
      <c r="F1144" s="22">
        <f>IF($A1144="","",MONTH($A1144))</f>
        <v/>
      </c>
      <c r="G1144" s="22">
        <f>IF($B1144="","",IFERROR(INDEX(ContaComp,MATCH($B1144,ContaNome,0)),"Conta inválida"))</f>
        <v/>
      </c>
    </row>
    <row r="1145" spans="1:7">
      <c r="A1145" s="21"/>
      <c r="B1145" s="15"/>
      <c r="C1145" s="15"/>
      <c r="D1145" s="17"/>
      <c r="E1145" s="22">
        <f>IF($A1145="","",YEAR($A1145))</f>
        <v/>
      </c>
      <c r="F1145" s="22">
        <f>IF($A1145="","",MONTH($A1145))</f>
        <v/>
      </c>
      <c r="G1145" s="22">
        <f>IF($B1145="","",IFERROR(INDEX(ContaComp,MATCH($B1145,ContaNome,0)),"Conta inválida"))</f>
        <v/>
      </c>
    </row>
    <row r="1146" spans="1:7">
      <c r="A1146" s="21"/>
      <c r="B1146" s="15"/>
      <c r="C1146" s="15"/>
      <c r="D1146" s="17"/>
      <c r="E1146" s="22">
        <f>IF($A1146="","",YEAR($A1146))</f>
        <v/>
      </c>
      <c r="F1146" s="22">
        <f>IF($A1146="","",MONTH($A1146))</f>
        <v/>
      </c>
      <c r="G1146" s="22">
        <f>IF($B1146="","",IFERROR(INDEX(ContaComp,MATCH($B1146,ContaNome,0)),"Conta inválida"))</f>
        <v/>
      </c>
    </row>
    <row r="1147" spans="1:7">
      <c r="A1147" s="21"/>
      <c r="B1147" s="15"/>
      <c r="C1147" s="15"/>
      <c r="D1147" s="17"/>
      <c r="E1147" s="22">
        <f>IF($A1147="","",YEAR($A1147))</f>
        <v/>
      </c>
      <c r="F1147" s="22">
        <f>IF($A1147="","",MONTH($A1147))</f>
        <v/>
      </c>
      <c r="G1147" s="22">
        <f>IF($B1147="","",IFERROR(INDEX(ContaComp,MATCH($B1147,ContaNome,0)),"Conta inválida"))</f>
        <v/>
      </c>
    </row>
    <row r="1148" spans="1:7">
      <c r="A1148" s="21"/>
      <c r="B1148" s="15"/>
      <c r="C1148" s="15"/>
      <c r="D1148" s="17"/>
      <c r="E1148" s="22">
        <f>IF($A1148="","",YEAR($A1148))</f>
        <v/>
      </c>
      <c r="F1148" s="22">
        <f>IF($A1148="","",MONTH($A1148))</f>
        <v/>
      </c>
      <c r="G1148" s="22">
        <f>IF($B1148="","",IFERROR(INDEX(ContaComp,MATCH($B1148,ContaNome,0)),"Conta inválida"))</f>
        <v/>
      </c>
    </row>
    <row r="1149" spans="1:7">
      <c r="A1149" s="21"/>
      <c r="B1149" s="15"/>
      <c r="C1149" s="15"/>
      <c r="D1149" s="17"/>
      <c r="E1149" s="22">
        <f>IF($A1149="","",YEAR($A1149))</f>
        <v/>
      </c>
      <c r="F1149" s="22">
        <f>IF($A1149="","",MONTH($A1149))</f>
        <v/>
      </c>
      <c r="G1149" s="22">
        <f>IF($B1149="","",IFERROR(INDEX(ContaComp,MATCH($B1149,ContaNome,0)),"Conta inválida"))</f>
        <v/>
      </c>
    </row>
    <row r="1150" spans="1:7">
      <c r="A1150" s="21"/>
      <c r="B1150" s="15"/>
      <c r="C1150" s="15"/>
      <c r="D1150" s="17"/>
      <c r="E1150" s="22">
        <f>IF($A1150="","",YEAR($A1150))</f>
        <v/>
      </c>
      <c r="F1150" s="22">
        <f>IF($A1150="","",MONTH($A1150))</f>
        <v/>
      </c>
      <c r="G1150" s="22">
        <f>IF($B1150="","",IFERROR(INDEX(ContaComp,MATCH($B1150,ContaNome,0)),"Conta inválida"))</f>
        <v/>
      </c>
    </row>
    <row r="1151" spans="1:7">
      <c r="A1151" s="21"/>
      <c r="B1151" s="15"/>
      <c r="C1151" s="15"/>
      <c r="D1151" s="17"/>
      <c r="E1151" s="22">
        <f>IF($A1151="","",YEAR($A1151))</f>
        <v/>
      </c>
      <c r="F1151" s="22">
        <f>IF($A1151="","",MONTH($A1151))</f>
        <v/>
      </c>
      <c r="G1151" s="22">
        <f>IF($B1151="","",IFERROR(INDEX(ContaComp,MATCH($B1151,ContaNome,0)),"Conta inválida"))</f>
        <v/>
      </c>
    </row>
    <row r="1152" spans="1:7">
      <c r="A1152" s="21"/>
      <c r="B1152" s="15"/>
      <c r="C1152" s="15"/>
      <c r="D1152" s="17"/>
      <c r="E1152" s="22">
        <f>IF($A1152="","",YEAR($A1152))</f>
        <v/>
      </c>
      <c r="F1152" s="22">
        <f>IF($A1152="","",MONTH($A1152))</f>
        <v/>
      </c>
      <c r="G1152" s="22">
        <f>IF($B1152="","",IFERROR(INDEX(ContaComp,MATCH($B1152,ContaNome,0)),"Conta inválida"))</f>
        <v/>
      </c>
    </row>
    <row r="1153" spans="1:7">
      <c r="A1153" s="21"/>
      <c r="B1153" s="15"/>
      <c r="C1153" s="15"/>
      <c r="D1153" s="17"/>
      <c r="E1153" s="22">
        <f>IF($A1153="","",YEAR($A1153))</f>
        <v/>
      </c>
      <c r="F1153" s="22">
        <f>IF($A1153="","",MONTH($A1153))</f>
        <v/>
      </c>
      <c r="G1153" s="22">
        <f>IF($B1153="","",IFERROR(INDEX(ContaComp,MATCH($B1153,ContaNome,0)),"Conta inválida"))</f>
        <v/>
      </c>
    </row>
    <row r="1154" spans="1:7">
      <c r="A1154" s="21"/>
      <c r="B1154" s="15"/>
      <c r="C1154" s="15"/>
      <c r="D1154" s="17"/>
      <c r="E1154" s="22">
        <f>IF($A1154="","",YEAR($A1154))</f>
        <v/>
      </c>
      <c r="F1154" s="22">
        <f>IF($A1154="","",MONTH($A1154))</f>
        <v/>
      </c>
      <c r="G1154" s="22">
        <f>IF($B1154="","",IFERROR(INDEX(ContaComp,MATCH($B1154,ContaNome,0)),"Conta inválida"))</f>
        <v/>
      </c>
    </row>
    <row r="1155" spans="1:7">
      <c r="A1155" s="21"/>
      <c r="B1155" s="15"/>
      <c r="C1155" s="15"/>
      <c r="D1155" s="17"/>
      <c r="E1155" s="22">
        <f>IF($A1155="","",YEAR($A1155))</f>
        <v/>
      </c>
      <c r="F1155" s="22">
        <f>IF($A1155="","",MONTH($A1155))</f>
        <v/>
      </c>
      <c r="G1155" s="22">
        <f>IF($B1155="","",IFERROR(INDEX(ContaComp,MATCH($B1155,ContaNome,0)),"Conta inválida"))</f>
        <v/>
      </c>
    </row>
    <row r="1156" spans="1:7">
      <c r="A1156" s="21"/>
      <c r="B1156" s="15"/>
      <c r="C1156" s="15"/>
      <c r="D1156" s="17"/>
      <c r="E1156" s="22">
        <f>IF($A1156="","",YEAR($A1156))</f>
        <v/>
      </c>
      <c r="F1156" s="22">
        <f>IF($A1156="","",MONTH($A1156))</f>
        <v/>
      </c>
      <c r="G1156" s="22">
        <f>IF($B1156="","",IFERROR(INDEX(ContaComp,MATCH($B1156,ContaNome,0)),"Conta inválida"))</f>
        <v/>
      </c>
    </row>
    <row r="1157" spans="1:7">
      <c r="A1157" s="21"/>
      <c r="B1157" s="15"/>
      <c r="C1157" s="15"/>
      <c r="D1157" s="17"/>
      <c r="E1157" s="22">
        <f>IF($A1157="","",YEAR($A1157))</f>
        <v/>
      </c>
      <c r="F1157" s="22">
        <f>IF($A1157="","",MONTH($A1157))</f>
        <v/>
      </c>
      <c r="G1157" s="22">
        <f>IF($B1157="","",IFERROR(INDEX(ContaComp,MATCH($B1157,ContaNome,0)),"Conta inválida"))</f>
        <v/>
      </c>
    </row>
    <row r="1158" spans="1:7">
      <c r="A1158" s="21"/>
      <c r="B1158" s="15"/>
      <c r="C1158" s="15"/>
      <c r="D1158" s="17"/>
      <c r="E1158" s="22">
        <f>IF($A1158="","",YEAR($A1158))</f>
        <v/>
      </c>
      <c r="F1158" s="22">
        <f>IF($A1158="","",MONTH($A1158))</f>
        <v/>
      </c>
      <c r="G1158" s="22">
        <f>IF($B1158="","",IFERROR(INDEX(ContaComp,MATCH($B1158,ContaNome,0)),"Conta inválida"))</f>
        <v/>
      </c>
    </row>
    <row r="1159" spans="1:7">
      <c r="A1159" s="21"/>
      <c r="B1159" s="15"/>
      <c r="C1159" s="15"/>
      <c r="D1159" s="17"/>
      <c r="E1159" s="22">
        <f>IF($A1159="","",YEAR($A1159))</f>
        <v/>
      </c>
      <c r="F1159" s="22">
        <f>IF($A1159="","",MONTH($A1159))</f>
        <v/>
      </c>
      <c r="G1159" s="22">
        <f>IF($B1159="","",IFERROR(INDEX(ContaComp,MATCH($B1159,ContaNome,0)),"Conta inválida"))</f>
        <v/>
      </c>
    </row>
    <row r="1160" spans="1:7">
      <c r="A1160" s="21"/>
      <c r="B1160" s="15"/>
      <c r="C1160" s="15"/>
      <c r="D1160" s="17"/>
      <c r="E1160" s="22">
        <f>IF($A1160="","",YEAR($A1160))</f>
        <v/>
      </c>
      <c r="F1160" s="22">
        <f>IF($A1160="","",MONTH($A1160))</f>
        <v/>
      </c>
      <c r="G1160" s="22">
        <f>IF($B1160="","",IFERROR(INDEX(ContaComp,MATCH($B1160,ContaNome,0)),"Conta inválida"))</f>
        <v/>
      </c>
    </row>
    <row r="1161" spans="1:7">
      <c r="A1161" s="21"/>
      <c r="B1161" s="15"/>
      <c r="C1161" s="15"/>
      <c r="D1161" s="17"/>
      <c r="E1161" s="22">
        <f>IF($A1161="","",YEAR($A1161))</f>
        <v/>
      </c>
      <c r="F1161" s="22">
        <f>IF($A1161="","",MONTH($A1161))</f>
        <v/>
      </c>
      <c r="G1161" s="22">
        <f>IF($B1161="","",IFERROR(INDEX(ContaComp,MATCH($B1161,ContaNome,0)),"Conta inválida"))</f>
        <v/>
      </c>
    </row>
    <row r="1162" spans="1:7">
      <c r="A1162" s="21"/>
      <c r="B1162" s="15"/>
      <c r="C1162" s="15"/>
      <c r="D1162" s="17"/>
      <c r="E1162" s="22">
        <f>IF($A1162="","",YEAR($A1162))</f>
        <v/>
      </c>
      <c r="F1162" s="22">
        <f>IF($A1162="","",MONTH($A1162))</f>
        <v/>
      </c>
      <c r="G1162" s="22">
        <f>IF($B1162="","",IFERROR(INDEX(ContaComp,MATCH($B1162,ContaNome,0)),"Conta inválida"))</f>
        <v/>
      </c>
    </row>
    <row r="1163" spans="1:7">
      <c r="A1163" s="21"/>
      <c r="B1163" s="15"/>
      <c r="C1163" s="15"/>
      <c r="D1163" s="17"/>
      <c r="E1163" s="22">
        <f>IF($A1163="","",YEAR($A1163))</f>
        <v/>
      </c>
      <c r="F1163" s="22">
        <f>IF($A1163="","",MONTH($A1163))</f>
        <v/>
      </c>
      <c r="G1163" s="22">
        <f>IF($B1163="","",IFERROR(INDEX(ContaComp,MATCH($B1163,ContaNome,0)),"Conta inválida"))</f>
        <v/>
      </c>
    </row>
    <row r="1164" spans="1:7">
      <c r="A1164" s="21"/>
      <c r="B1164" s="15"/>
      <c r="C1164" s="15"/>
      <c r="D1164" s="17"/>
      <c r="E1164" s="22">
        <f>IF($A1164="","",YEAR($A1164))</f>
        <v/>
      </c>
      <c r="F1164" s="22">
        <f>IF($A1164="","",MONTH($A1164))</f>
        <v/>
      </c>
      <c r="G1164" s="22">
        <f>IF($B1164="","",IFERROR(INDEX(ContaComp,MATCH($B1164,ContaNome,0)),"Conta inválida"))</f>
        <v/>
      </c>
    </row>
    <row r="1165" spans="1:7">
      <c r="A1165" s="21"/>
      <c r="B1165" s="15"/>
      <c r="C1165" s="15"/>
      <c r="D1165" s="17"/>
      <c r="E1165" s="22">
        <f>IF($A1165="","",YEAR($A1165))</f>
        <v/>
      </c>
      <c r="F1165" s="22">
        <f>IF($A1165="","",MONTH($A1165))</f>
        <v/>
      </c>
      <c r="G1165" s="22">
        <f>IF($B1165="","",IFERROR(INDEX(ContaComp,MATCH($B1165,ContaNome,0)),"Conta inválida"))</f>
        <v/>
      </c>
    </row>
    <row r="1166" spans="1:7">
      <c r="A1166" s="21"/>
      <c r="B1166" s="15"/>
      <c r="C1166" s="15"/>
      <c r="D1166" s="17"/>
      <c r="E1166" s="22">
        <f>IF($A1166="","",YEAR($A1166))</f>
        <v/>
      </c>
      <c r="F1166" s="22">
        <f>IF($A1166="","",MONTH($A1166))</f>
        <v/>
      </c>
      <c r="G1166" s="22">
        <f>IF($B1166="","",IFERROR(INDEX(ContaComp,MATCH($B1166,ContaNome,0)),"Conta inválida"))</f>
        <v/>
      </c>
    </row>
    <row r="1167" spans="1:7">
      <c r="A1167" s="21"/>
      <c r="B1167" s="15"/>
      <c r="C1167" s="15"/>
      <c r="D1167" s="17"/>
      <c r="E1167" s="22">
        <f>IF($A1167="","",YEAR($A1167))</f>
        <v/>
      </c>
      <c r="F1167" s="22">
        <f>IF($A1167="","",MONTH($A1167))</f>
        <v/>
      </c>
      <c r="G1167" s="22">
        <f>IF($B1167="","",IFERROR(INDEX(ContaComp,MATCH($B1167,ContaNome,0)),"Conta inválida"))</f>
        <v/>
      </c>
    </row>
    <row r="1168" spans="1:7">
      <c r="A1168" s="21"/>
      <c r="B1168" s="15"/>
      <c r="C1168" s="15"/>
      <c r="D1168" s="17"/>
      <c r="E1168" s="22">
        <f>IF($A1168="","",YEAR($A1168))</f>
        <v/>
      </c>
      <c r="F1168" s="22">
        <f>IF($A1168="","",MONTH($A1168))</f>
        <v/>
      </c>
      <c r="G1168" s="22">
        <f>IF($B1168="","",IFERROR(INDEX(ContaComp,MATCH($B1168,ContaNome,0)),"Conta inválida"))</f>
        <v/>
      </c>
    </row>
    <row r="1169" spans="1:7">
      <c r="A1169" s="21"/>
      <c r="B1169" s="15"/>
      <c r="C1169" s="15"/>
      <c r="D1169" s="17"/>
      <c r="E1169" s="22">
        <f>IF($A1169="","",YEAR($A1169))</f>
        <v/>
      </c>
      <c r="F1169" s="22">
        <f>IF($A1169="","",MONTH($A1169))</f>
        <v/>
      </c>
      <c r="G1169" s="22">
        <f>IF($B1169="","",IFERROR(INDEX(ContaComp,MATCH($B1169,ContaNome,0)),"Conta inválida"))</f>
        <v/>
      </c>
    </row>
    <row r="1170" spans="1:7">
      <c r="A1170" s="21"/>
      <c r="B1170" s="15"/>
      <c r="C1170" s="15"/>
      <c r="D1170" s="17"/>
      <c r="E1170" s="22">
        <f>IF($A1170="","",YEAR($A1170))</f>
        <v/>
      </c>
      <c r="F1170" s="22">
        <f>IF($A1170="","",MONTH($A1170))</f>
        <v/>
      </c>
      <c r="G1170" s="22">
        <f>IF($B1170="","",IFERROR(INDEX(ContaComp,MATCH($B1170,ContaNome,0)),"Conta inválida"))</f>
        <v/>
      </c>
    </row>
    <row r="1171" spans="1:7">
      <c r="A1171" s="21"/>
      <c r="B1171" s="15"/>
      <c r="C1171" s="15"/>
      <c r="D1171" s="17"/>
      <c r="E1171" s="22">
        <f>IF($A1171="","",YEAR($A1171))</f>
        <v/>
      </c>
      <c r="F1171" s="22">
        <f>IF($A1171="","",MONTH($A1171))</f>
        <v/>
      </c>
      <c r="G1171" s="22">
        <f>IF($B1171="","",IFERROR(INDEX(ContaComp,MATCH($B1171,ContaNome,0)),"Conta inválida"))</f>
        <v/>
      </c>
    </row>
    <row r="1172" spans="1:7">
      <c r="A1172" s="21"/>
      <c r="B1172" s="15"/>
      <c r="C1172" s="15"/>
      <c r="D1172" s="17"/>
      <c r="E1172" s="22">
        <f>IF($A1172="","",YEAR($A1172))</f>
        <v/>
      </c>
      <c r="F1172" s="22">
        <f>IF($A1172="","",MONTH($A1172))</f>
        <v/>
      </c>
      <c r="G1172" s="22">
        <f>IF($B1172="","",IFERROR(INDEX(ContaComp,MATCH($B1172,ContaNome,0)),"Conta inválida"))</f>
        <v/>
      </c>
    </row>
    <row r="1173" spans="1:7">
      <c r="A1173" s="21"/>
      <c r="B1173" s="15"/>
      <c r="C1173" s="15"/>
      <c r="D1173" s="17"/>
      <c r="E1173" s="22">
        <f>IF($A1173="","",YEAR($A1173))</f>
        <v/>
      </c>
      <c r="F1173" s="22">
        <f>IF($A1173="","",MONTH($A1173))</f>
        <v/>
      </c>
      <c r="G1173" s="22">
        <f>IF($B1173="","",IFERROR(INDEX(ContaComp,MATCH($B1173,ContaNome,0)),"Conta inválida"))</f>
        <v/>
      </c>
    </row>
    <row r="1174" spans="1:7">
      <c r="A1174" s="21"/>
      <c r="B1174" s="15"/>
      <c r="C1174" s="15"/>
      <c r="D1174" s="17"/>
      <c r="E1174" s="22">
        <f>IF($A1174="","",YEAR($A1174))</f>
        <v/>
      </c>
      <c r="F1174" s="22">
        <f>IF($A1174="","",MONTH($A1174))</f>
        <v/>
      </c>
      <c r="G1174" s="22">
        <f>IF($B1174="","",IFERROR(INDEX(ContaComp,MATCH($B1174,ContaNome,0)),"Conta inválida"))</f>
        <v/>
      </c>
    </row>
    <row r="1175" spans="1:7">
      <c r="A1175" s="21"/>
      <c r="B1175" s="15"/>
      <c r="C1175" s="15"/>
      <c r="D1175" s="17"/>
      <c r="E1175" s="22">
        <f>IF($A1175="","",YEAR($A1175))</f>
        <v/>
      </c>
      <c r="F1175" s="22">
        <f>IF($A1175="","",MONTH($A1175))</f>
        <v/>
      </c>
      <c r="G1175" s="22">
        <f>IF($B1175="","",IFERROR(INDEX(ContaComp,MATCH($B1175,ContaNome,0)),"Conta inválida"))</f>
        <v/>
      </c>
    </row>
    <row r="1176" spans="1:7">
      <c r="A1176" s="21"/>
      <c r="B1176" s="15"/>
      <c r="C1176" s="15"/>
      <c r="D1176" s="17"/>
      <c r="E1176" s="22">
        <f>IF($A1176="","",YEAR($A1176))</f>
        <v/>
      </c>
      <c r="F1176" s="22">
        <f>IF($A1176="","",MONTH($A1176))</f>
        <v/>
      </c>
      <c r="G1176" s="22">
        <f>IF($B1176="","",IFERROR(INDEX(ContaComp,MATCH($B1176,ContaNome,0)),"Conta inválida"))</f>
        <v/>
      </c>
    </row>
    <row r="1177" spans="1:7">
      <c r="A1177" s="21"/>
      <c r="B1177" s="15"/>
      <c r="C1177" s="15"/>
      <c r="D1177" s="17"/>
      <c r="E1177" s="22">
        <f>IF($A1177="","",YEAR($A1177))</f>
        <v/>
      </c>
      <c r="F1177" s="22">
        <f>IF($A1177="","",MONTH($A1177))</f>
        <v/>
      </c>
      <c r="G1177" s="22">
        <f>IF($B1177="","",IFERROR(INDEX(ContaComp,MATCH($B1177,ContaNome,0)),"Conta inválida"))</f>
        <v/>
      </c>
    </row>
    <row r="1178" spans="1:7">
      <c r="A1178" s="21"/>
      <c r="B1178" s="15"/>
      <c r="C1178" s="15"/>
      <c r="D1178" s="17"/>
      <c r="E1178" s="22">
        <f>IF($A1178="","",YEAR($A1178))</f>
        <v/>
      </c>
      <c r="F1178" s="22">
        <f>IF($A1178="","",MONTH($A1178))</f>
        <v/>
      </c>
      <c r="G1178" s="22">
        <f>IF($B1178="","",IFERROR(INDEX(ContaComp,MATCH($B1178,ContaNome,0)),"Conta inválida"))</f>
        <v/>
      </c>
    </row>
    <row r="1179" spans="1:7">
      <c r="A1179" s="21"/>
      <c r="B1179" s="15"/>
      <c r="C1179" s="15"/>
      <c r="D1179" s="17"/>
      <c r="E1179" s="22">
        <f>IF($A1179="","",YEAR($A1179))</f>
        <v/>
      </c>
      <c r="F1179" s="22">
        <f>IF($A1179="","",MONTH($A1179))</f>
        <v/>
      </c>
      <c r="G1179" s="22">
        <f>IF($B1179="","",IFERROR(INDEX(ContaComp,MATCH($B1179,ContaNome,0)),"Conta inválida"))</f>
        <v/>
      </c>
    </row>
    <row r="1180" spans="1:7">
      <c r="A1180" s="21"/>
      <c r="B1180" s="15"/>
      <c r="C1180" s="15"/>
      <c r="D1180" s="17"/>
      <c r="E1180" s="22">
        <f>IF($A1180="","",YEAR($A1180))</f>
        <v/>
      </c>
      <c r="F1180" s="22">
        <f>IF($A1180="","",MONTH($A1180))</f>
        <v/>
      </c>
      <c r="G1180" s="22">
        <f>IF($B1180="","",IFERROR(INDEX(ContaComp,MATCH($B1180,ContaNome,0)),"Conta inválida"))</f>
        <v/>
      </c>
    </row>
    <row r="1181" spans="1:7">
      <c r="A1181" s="21"/>
      <c r="B1181" s="15"/>
      <c r="C1181" s="15"/>
      <c r="D1181" s="17"/>
      <c r="E1181" s="22">
        <f>IF($A1181="","",YEAR($A1181))</f>
        <v/>
      </c>
      <c r="F1181" s="22">
        <f>IF($A1181="","",MONTH($A1181))</f>
        <v/>
      </c>
      <c r="G1181" s="22">
        <f>IF($B1181="","",IFERROR(INDEX(ContaComp,MATCH($B1181,ContaNome,0)),"Conta inválida"))</f>
        <v/>
      </c>
    </row>
    <row r="1182" spans="1:7">
      <c r="A1182" s="21"/>
      <c r="B1182" s="15"/>
      <c r="C1182" s="15"/>
      <c r="D1182" s="17"/>
      <c r="E1182" s="22">
        <f>IF($A1182="","",YEAR($A1182))</f>
        <v/>
      </c>
      <c r="F1182" s="22">
        <f>IF($A1182="","",MONTH($A1182))</f>
        <v/>
      </c>
      <c r="G1182" s="22">
        <f>IF($B1182="","",IFERROR(INDEX(ContaComp,MATCH($B1182,ContaNome,0)),"Conta inválida"))</f>
        <v/>
      </c>
    </row>
    <row r="1183" spans="1:7">
      <c r="A1183" s="21"/>
      <c r="B1183" s="15"/>
      <c r="C1183" s="15"/>
      <c r="D1183" s="17"/>
      <c r="E1183" s="22">
        <f>IF($A1183="","",YEAR($A1183))</f>
        <v/>
      </c>
      <c r="F1183" s="22">
        <f>IF($A1183="","",MONTH($A1183))</f>
        <v/>
      </c>
      <c r="G1183" s="22">
        <f>IF($B1183="","",IFERROR(INDEX(ContaComp,MATCH($B1183,ContaNome,0)),"Conta inválida"))</f>
        <v/>
      </c>
    </row>
    <row r="1184" spans="1:7">
      <c r="A1184" s="21"/>
      <c r="B1184" s="15"/>
      <c r="C1184" s="15"/>
      <c r="D1184" s="17"/>
      <c r="E1184" s="22">
        <f>IF($A1184="","",YEAR($A1184))</f>
        <v/>
      </c>
      <c r="F1184" s="22">
        <f>IF($A1184="","",MONTH($A1184))</f>
        <v/>
      </c>
      <c r="G1184" s="22">
        <f>IF($B1184="","",IFERROR(INDEX(ContaComp,MATCH($B1184,ContaNome,0)),"Conta inválida"))</f>
        <v/>
      </c>
    </row>
    <row r="1185" spans="1:7">
      <c r="A1185" s="21"/>
      <c r="B1185" s="15"/>
      <c r="C1185" s="15"/>
      <c r="D1185" s="17"/>
      <c r="E1185" s="22">
        <f>IF($A1185="","",YEAR($A1185))</f>
        <v/>
      </c>
      <c r="F1185" s="22">
        <f>IF($A1185="","",MONTH($A1185))</f>
        <v/>
      </c>
      <c r="G1185" s="22">
        <f>IF($B1185="","",IFERROR(INDEX(ContaComp,MATCH($B1185,ContaNome,0)),"Conta inválida"))</f>
        <v/>
      </c>
    </row>
    <row r="1186" spans="1:7">
      <c r="A1186" s="21"/>
      <c r="B1186" s="15"/>
      <c r="C1186" s="15"/>
      <c r="D1186" s="17"/>
      <c r="E1186" s="22">
        <f>IF($A1186="","",YEAR($A1186))</f>
        <v/>
      </c>
      <c r="F1186" s="22">
        <f>IF($A1186="","",MONTH($A1186))</f>
        <v/>
      </c>
      <c r="G1186" s="22">
        <f>IF($B1186="","",IFERROR(INDEX(ContaComp,MATCH($B1186,ContaNome,0)),"Conta inválida"))</f>
        <v/>
      </c>
    </row>
    <row r="1187" spans="1:7">
      <c r="A1187" s="21"/>
      <c r="B1187" s="15"/>
      <c r="C1187" s="15"/>
      <c r="D1187" s="17"/>
      <c r="E1187" s="22">
        <f>IF($A1187="","",YEAR($A1187))</f>
        <v/>
      </c>
      <c r="F1187" s="22">
        <f>IF($A1187="","",MONTH($A1187))</f>
        <v/>
      </c>
      <c r="G1187" s="22">
        <f>IF($B1187="","",IFERROR(INDEX(ContaComp,MATCH($B1187,ContaNome,0)),"Conta inválida"))</f>
        <v/>
      </c>
    </row>
    <row r="1188" spans="1:7">
      <c r="A1188" s="21"/>
      <c r="B1188" s="15"/>
      <c r="C1188" s="15"/>
      <c r="D1188" s="17"/>
      <c r="E1188" s="22">
        <f>IF($A1188="","",YEAR($A1188))</f>
        <v/>
      </c>
      <c r="F1188" s="22">
        <f>IF($A1188="","",MONTH($A1188))</f>
        <v/>
      </c>
      <c r="G1188" s="22">
        <f>IF($B1188="","",IFERROR(INDEX(ContaComp,MATCH($B1188,ContaNome,0)),"Conta inválida"))</f>
        <v/>
      </c>
    </row>
    <row r="1189" spans="1:7">
      <c r="A1189" s="21"/>
      <c r="B1189" s="15"/>
      <c r="C1189" s="15"/>
      <c r="D1189" s="17"/>
      <c r="E1189" s="22">
        <f>IF($A1189="","",YEAR($A1189))</f>
        <v/>
      </c>
      <c r="F1189" s="22">
        <f>IF($A1189="","",MONTH($A1189))</f>
        <v/>
      </c>
      <c r="G1189" s="22">
        <f>IF($B1189="","",IFERROR(INDEX(ContaComp,MATCH($B1189,ContaNome,0)),"Conta inválida"))</f>
        <v/>
      </c>
    </row>
    <row r="1190" spans="1:7">
      <c r="A1190" s="21"/>
      <c r="B1190" s="15"/>
      <c r="C1190" s="15"/>
      <c r="D1190" s="17"/>
      <c r="E1190" s="22">
        <f>IF($A1190="","",YEAR($A1190))</f>
        <v/>
      </c>
      <c r="F1190" s="22">
        <f>IF($A1190="","",MONTH($A1190))</f>
        <v/>
      </c>
      <c r="G1190" s="22">
        <f>IF($B1190="","",IFERROR(INDEX(ContaComp,MATCH($B1190,ContaNome,0)),"Conta inválida"))</f>
        <v/>
      </c>
    </row>
    <row r="1191" spans="1:7">
      <c r="A1191" s="21"/>
      <c r="B1191" s="15"/>
      <c r="C1191" s="15"/>
      <c r="D1191" s="17"/>
      <c r="E1191" s="22">
        <f>IF($A1191="","",YEAR($A1191))</f>
        <v/>
      </c>
      <c r="F1191" s="22">
        <f>IF($A1191="","",MONTH($A1191))</f>
        <v/>
      </c>
      <c r="G1191" s="22">
        <f>IF($B1191="","",IFERROR(INDEX(ContaComp,MATCH($B1191,ContaNome,0)),"Conta inválida"))</f>
        <v/>
      </c>
    </row>
    <row r="1192" spans="1:7">
      <c r="A1192" s="21"/>
      <c r="B1192" s="15"/>
      <c r="C1192" s="15"/>
      <c r="D1192" s="17"/>
      <c r="E1192" s="22">
        <f>IF($A1192="","",YEAR($A1192))</f>
        <v/>
      </c>
      <c r="F1192" s="22">
        <f>IF($A1192="","",MONTH($A1192))</f>
        <v/>
      </c>
      <c r="G1192" s="22">
        <f>IF($B1192="","",IFERROR(INDEX(ContaComp,MATCH($B1192,ContaNome,0)),"Conta inválida"))</f>
        <v/>
      </c>
    </row>
    <row r="1193" spans="1:7">
      <c r="A1193" s="21"/>
      <c r="B1193" s="15"/>
      <c r="C1193" s="15"/>
      <c r="D1193" s="17"/>
      <c r="E1193" s="22">
        <f>IF($A1193="","",YEAR($A1193))</f>
        <v/>
      </c>
      <c r="F1193" s="22">
        <f>IF($A1193="","",MONTH($A1193))</f>
        <v/>
      </c>
      <c r="G1193" s="22">
        <f>IF($B1193="","",IFERROR(INDEX(ContaComp,MATCH($B1193,ContaNome,0)),"Conta inválida"))</f>
        <v/>
      </c>
    </row>
    <row r="1194" spans="1:7">
      <c r="A1194" s="21"/>
      <c r="B1194" s="15"/>
      <c r="C1194" s="15"/>
      <c r="D1194" s="17"/>
      <c r="E1194" s="22">
        <f>IF($A1194="","",YEAR($A1194))</f>
        <v/>
      </c>
      <c r="F1194" s="22">
        <f>IF($A1194="","",MONTH($A1194))</f>
        <v/>
      </c>
      <c r="G1194" s="22">
        <f>IF($B1194="","",IFERROR(INDEX(ContaComp,MATCH($B1194,ContaNome,0)),"Conta inválida"))</f>
        <v/>
      </c>
    </row>
    <row r="1195" spans="1:7">
      <c r="A1195" s="21"/>
      <c r="B1195" s="15"/>
      <c r="C1195" s="15"/>
      <c r="D1195" s="17"/>
      <c r="E1195" s="22">
        <f>IF($A1195="","",YEAR($A1195))</f>
        <v/>
      </c>
      <c r="F1195" s="22">
        <f>IF($A1195="","",MONTH($A1195))</f>
        <v/>
      </c>
      <c r="G1195" s="22">
        <f>IF($B1195="","",IFERROR(INDEX(ContaComp,MATCH($B1195,ContaNome,0)),"Conta inválida"))</f>
        <v/>
      </c>
    </row>
    <row r="1196" spans="1:7">
      <c r="A1196" s="21"/>
      <c r="B1196" s="15"/>
      <c r="C1196" s="15"/>
      <c r="D1196" s="17"/>
      <c r="E1196" s="22">
        <f>IF($A1196="","",YEAR($A1196))</f>
        <v/>
      </c>
      <c r="F1196" s="22">
        <f>IF($A1196="","",MONTH($A1196))</f>
        <v/>
      </c>
      <c r="G1196" s="22">
        <f>IF($B1196="","",IFERROR(INDEX(ContaComp,MATCH($B1196,ContaNome,0)),"Conta inválida"))</f>
        <v/>
      </c>
    </row>
    <row r="1197" spans="1:7">
      <c r="A1197" s="21"/>
      <c r="B1197" s="15"/>
      <c r="C1197" s="15"/>
      <c r="D1197" s="17"/>
      <c r="E1197" s="22">
        <f>IF($A1197="","",YEAR($A1197))</f>
        <v/>
      </c>
      <c r="F1197" s="22">
        <f>IF($A1197="","",MONTH($A1197))</f>
        <v/>
      </c>
      <c r="G1197" s="22">
        <f>IF($B1197="","",IFERROR(INDEX(ContaComp,MATCH($B1197,ContaNome,0)),"Conta inválida"))</f>
        <v/>
      </c>
    </row>
    <row r="1198" spans="1:7">
      <c r="A1198" s="21"/>
      <c r="B1198" s="15"/>
      <c r="C1198" s="15"/>
      <c r="D1198" s="17"/>
      <c r="E1198" s="22">
        <f>IF($A1198="","",YEAR($A1198))</f>
        <v/>
      </c>
      <c r="F1198" s="22">
        <f>IF($A1198="","",MONTH($A1198))</f>
        <v/>
      </c>
      <c r="G1198" s="22">
        <f>IF($B1198="","",IFERROR(INDEX(ContaComp,MATCH($B1198,ContaNome,0)),"Conta inválida"))</f>
        <v/>
      </c>
    </row>
    <row r="1199" spans="1:7">
      <c r="A1199" s="21"/>
      <c r="B1199" s="15"/>
      <c r="C1199" s="15"/>
      <c r="D1199" s="17"/>
      <c r="E1199" s="22">
        <f>IF($A1199="","",YEAR($A1199))</f>
        <v/>
      </c>
      <c r="F1199" s="22">
        <f>IF($A1199="","",MONTH($A1199))</f>
        <v/>
      </c>
      <c r="G1199" s="22">
        <f>IF($B1199="","",IFERROR(INDEX(ContaComp,MATCH($B1199,ContaNome,0)),"Conta inválida"))</f>
        <v/>
      </c>
    </row>
    <row r="1200" spans="1:7">
      <c r="A1200" s="21"/>
      <c r="B1200" s="15"/>
      <c r="C1200" s="15"/>
      <c r="D1200" s="17"/>
      <c r="E1200" s="22">
        <f>IF($A1200="","",YEAR($A1200))</f>
        <v/>
      </c>
      <c r="F1200" s="22">
        <f>IF($A1200="","",MONTH($A1200))</f>
        <v/>
      </c>
      <c r="G1200" s="22">
        <f>IF($B1200="","",IFERROR(INDEX(ContaComp,MATCH($B1200,ContaNome,0)),"Conta inválida"))</f>
        <v/>
      </c>
    </row>
    <row r="1201" spans="1:7">
      <c r="A1201" s="21"/>
      <c r="B1201" s="15"/>
      <c r="C1201" s="15"/>
      <c r="D1201" s="17"/>
      <c r="E1201" s="22">
        <f>IF($A1201="","",YEAR($A1201))</f>
        <v/>
      </c>
      <c r="F1201" s="22">
        <f>IF($A1201="","",MONTH($A1201))</f>
        <v/>
      </c>
      <c r="G1201" s="22">
        <f>IF($B1201="","",IFERROR(INDEX(ContaComp,MATCH($B1201,ContaNome,0)),"Conta inválida"))</f>
        <v/>
      </c>
    </row>
    <row r="1202" spans="1:7">
      <c r="A1202" s="21"/>
      <c r="B1202" s="15"/>
      <c r="C1202" s="15"/>
      <c r="D1202" s="17"/>
      <c r="E1202" s="22">
        <f>IF($A1202="","",YEAR($A1202))</f>
        <v/>
      </c>
      <c r="F1202" s="22">
        <f>IF($A1202="","",MONTH($A1202))</f>
        <v/>
      </c>
      <c r="G1202" s="22">
        <f>IF($B1202="","",IFERROR(INDEX(ContaComp,MATCH($B1202,ContaNome,0)),"Conta inválida"))</f>
        <v/>
      </c>
    </row>
    <row r="1203" spans="1:7">
      <c r="A1203" s="21"/>
      <c r="B1203" s="15"/>
      <c r="C1203" s="15"/>
      <c r="D1203" s="17"/>
      <c r="E1203" s="22">
        <f>IF($A1203="","",YEAR($A1203))</f>
        <v/>
      </c>
      <c r="F1203" s="22">
        <f>IF($A1203="","",MONTH($A1203))</f>
        <v/>
      </c>
      <c r="G1203" s="22">
        <f>IF($B1203="","",IFERROR(INDEX(ContaComp,MATCH($B1203,ContaNome,0)),"Conta inválida"))</f>
        <v/>
      </c>
    </row>
    <row r="1204" spans="1:7">
      <c r="A1204" s="21"/>
      <c r="B1204" s="15"/>
      <c r="C1204" s="15"/>
      <c r="D1204" s="17"/>
      <c r="E1204" s="22">
        <f>IF($A1204="","",YEAR($A1204))</f>
        <v/>
      </c>
      <c r="F1204" s="22">
        <f>IF($A1204="","",MONTH($A1204))</f>
        <v/>
      </c>
      <c r="G1204" s="22">
        <f>IF($B1204="","",IFERROR(INDEX(ContaComp,MATCH($B1204,ContaNome,0)),"Conta inválida"))</f>
        <v/>
      </c>
    </row>
    <row r="1205" spans="1:7">
      <c r="A1205" s="21"/>
      <c r="B1205" s="15"/>
      <c r="C1205" s="15"/>
      <c r="D1205" s="17"/>
      <c r="E1205" s="22">
        <f>IF($A1205="","",YEAR($A1205))</f>
        <v/>
      </c>
      <c r="F1205" s="22">
        <f>IF($A1205="","",MONTH($A1205))</f>
        <v/>
      </c>
      <c r="G1205" s="22">
        <f>IF($B1205="","",IFERROR(INDEX(ContaComp,MATCH($B1205,ContaNome,0)),"Conta inválida"))</f>
        <v/>
      </c>
    </row>
    <row r="1206" spans="1:7">
      <c r="A1206" s="21"/>
      <c r="B1206" s="15"/>
      <c r="C1206" s="15"/>
      <c r="D1206" s="17"/>
      <c r="E1206" s="22">
        <f>IF($A1206="","",YEAR($A1206))</f>
        <v/>
      </c>
      <c r="F1206" s="22">
        <f>IF($A1206="","",MONTH($A1206))</f>
        <v/>
      </c>
      <c r="G1206" s="22">
        <f>IF($B1206="","",IFERROR(INDEX(ContaComp,MATCH($B1206,ContaNome,0)),"Conta inválida"))</f>
        <v/>
      </c>
    </row>
    <row r="1207" spans="1:7">
      <c r="A1207" s="21"/>
      <c r="B1207" s="15"/>
      <c r="C1207" s="15"/>
      <c r="D1207" s="17"/>
      <c r="E1207" s="22">
        <f>IF($A1207="","",YEAR($A1207))</f>
        <v/>
      </c>
      <c r="F1207" s="22">
        <f>IF($A1207="","",MONTH($A1207))</f>
        <v/>
      </c>
      <c r="G1207" s="22">
        <f>IF($B1207="","",IFERROR(INDEX(ContaComp,MATCH($B1207,ContaNome,0)),"Conta inválida"))</f>
        <v/>
      </c>
    </row>
    <row r="1208" spans="1:7">
      <c r="A1208" s="21"/>
      <c r="B1208" s="15"/>
      <c r="C1208" s="15"/>
      <c r="D1208" s="17"/>
      <c r="E1208" s="22">
        <f>IF($A1208="","",YEAR($A1208))</f>
        <v/>
      </c>
      <c r="F1208" s="22">
        <f>IF($A1208="","",MONTH($A1208))</f>
        <v/>
      </c>
      <c r="G1208" s="22">
        <f>IF($B1208="","",IFERROR(INDEX(ContaComp,MATCH($B1208,ContaNome,0)),"Conta inválida"))</f>
        <v/>
      </c>
    </row>
    <row r="1209" spans="1:7">
      <c r="A1209" s="21"/>
      <c r="B1209" s="15"/>
      <c r="C1209" s="15"/>
      <c r="D1209" s="17"/>
      <c r="E1209" s="22">
        <f>IF($A1209="","",YEAR($A1209))</f>
        <v/>
      </c>
      <c r="F1209" s="22">
        <f>IF($A1209="","",MONTH($A1209))</f>
        <v/>
      </c>
      <c r="G1209" s="22">
        <f>IF($B1209="","",IFERROR(INDEX(ContaComp,MATCH($B1209,ContaNome,0)),"Conta inválida"))</f>
        <v/>
      </c>
    </row>
    <row r="1210" spans="1:7">
      <c r="A1210" s="21"/>
      <c r="B1210" s="15"/>
      <c r="C1210" s="15"/>
      <c r="D1210" s="17"/>
      <c r="E1210" s="22">
        <f>IF($A1210="","",YEAR($A1210))</f>
        <v/>
      </c>
      <c r="F1210" s="22">
        <f>IF($A1210="","",MONTH($A1210))</f>
        <v/>
      </c>
      <c r="G1210" s="22">
        <f>IF($B1210="","",IFERROR(INDEX(ContaComp,MATCH($B1210,ContaNome,0)),"Conta inválida"))</f>
        <v/>
      </c>
    </row>
    <row r="1211" spans="1:7">
      <c r="A1211" s="21"/>
      <c r="B1211" s="15"/>
      <c r="C1211" s="15"/>
      <c r="D1211" s="17"/>
      <c r="E1211" s="22">
        <f>IF($A1211="","",YEAR($A1211))</f>
        <v/>
      </c>
      <c r="F1211" s="22">
        <f>IF($A1211="","",MONTH($A1211))</f>
        <v/>
      </c>
      <c r="G1211" s="22">
        <f>IF($B1211="","",IFERROR(INDEX(ContaComp,MATCH($B1211,ContaNome,0)),"Conta inválida"))</f>
        <v/>
      </c>
    </row>
    <row r="1212" spans="1:7">
      <c r="A1212" s="21"/>
      <c r="B1212" s="15"/>
      <c r="C1212" s="15"/>
      <c r="D1212" s="17"/>
      <c r="E1212" s="22">
        <f>IF($A1212="","",YEAR($A1212))</f>
        <v/>
      </c>
      <c r="F1212" s="22">
        <f>IF($A1212="","",MONTH($A1212))</f>
        <v/>
      </c>
      <c r="G1212" s="22">
        <f>IF($B1212="","",IFERROR(INDEX(ContaComp,MATCH($B1212,ContaNome,0)),"Conta inválida"))</f>
        <v/>
      </c>
    </row>
    <row r="1213" spans="1:7">
      <c r="A1213" s="21"/>
      <c r="B1213" s="15"/>
      <c r="C1213" s="15"/>
      <c r="D1213" s="17"/>
      <c r="E1213" s="22">
        <f>IF($A1213="","",YEAR($A1213))</f>
        <v/>
      </c>
      <c r="F1213" s="22">
        <f>IF($A1213="","",MONTH($A1213))</f>
        <v/>
      </c>
      <c r="G1213" s="22">
        <f>IF($B1213="","",IFERROR(INDEX(ContaComp,MATCH($B1213,ContaNome,0)),"Conta inválida"))</f>
        <v/>
      </c>
    </row>
    <row r="1214" spans="1:7">
      <c r="A1214" s="21"/>
      <c r="B1214" s="15"/>
      <c r="C1214" s="15"/>
      <c r="D1214" s="17"/>
      <c r="E1214" s="22">
        <f>IF($A1214="","",YEAR($A1214))</f>
        <v/>
      </c>
      <c r="F1214" s="22">
        <f>IF($A1214="","",MONTH($A1214))</f>
        <v/>
      </c>
      <c r="G1214" s="22">
        <f>IF($B1214="","",IFERROR(INDEX(ContaComp,MATCH($B1214,ContaNome,0)),"Conta inválida"))</f>
        <v/>
      </c>
    </row>
    <row r="1215" spans="1:7">
      <c r="A1215" s="21"/>
      <c r="B1215" s="15"/>
      <c r="C1215" s="15"/>
      <c r="D1215" s="17"/>
      <c r="E1215" s="22">
        <f>IF($A1215="","",YEAR($A1215))</f>
        <v/>
      </c>
      <c r="F1215" s="22">
        <f>IF($A1215="","",MONTH($A1215))</f>
        <v/>
      </c>
      <c r="G1215" s="22">
        <f>IF($B1215="","",IFERROR(INDEX(ContaComp,MATCH($B1215,ContaNome,0)),"Conta inválida"))</f>
        <v/>
      </c>
    </row>
    <row r="1216" spans="1:7">
      <c r="A1216" s="21"/>
      <c r="B1216" s="15"/>
      <c r="C1216" s="15"/>
      <c r="D1216" s="17"/>
      <c r="E1216" s="22">
        <f>IF($A1216="","",YEAR($A1216))</f>
        <v/>
      </c>
      <c r="F1216" s="22">
        <f>IF($A1216="","",MONTH($A1216))</f>
        <v/>
      </c>
      <c r="G1216" s="22">
        <f>IF($B1216="","",IFERROR(INDEX(ContaComp,MATCH($B1216,ContaNome,0)),"Conta inválida"))</f>
        <v/>
      </c>
    </row>
    <row r="1217" spans="1:7">
      <c r="A1217" s="21"/>
      <c r="B1217" s="15"/>
      <c r="C1217" s="15"/>
      <c r="D1217" s="17"/>
      <c r="E1217" s="22">
        <f>IF($A1217="","",YEAR($A1217))</f>
        <v/>
      </c>
      <c r="F1217" s="22">
        <f>IF($A1217="","",MONTH($A1217))</f>
        <v/>
      </c>
      <c r="G1217" s="22">
        <f>IF($B1217="","",IFERROR(INDEX(ContaComp,MATCH($B1217,ContaNome,0)),"Conta inválida"))</f>
        <v/>
      </c>
    </row>
    <row r="1218" spans="1:7">
      <c r="A1218" s="21"/>
      <c r="B1218" s="15"/>
      <c r="C1218" s="15"/>
      <c r="D1218" s="17"/>
      <c r="E1218" s="22">
        <f>IF($A1218="","",YEAR($A1218))</f>
        <v/>
      </c>
      <c r="F1218" s="22">
        <f>IF($A1218="","",MONTH($A1218))</f>
        <v/>
      </c>
      <c r="G1218" s="22">
        <f>IF($B1218="","",IFERROR(INDEX(ContaComp,MATCH($B1218,ContaNome,0)),"Conta inválida"))</f>
        <v/>
      </c>
    </row>
    <row r="1219" spans="1:7">
      <c r="A1219" s="21"/>
      <c r="B1219" s="15"/>
      <c r="C1219" s="15"/>
      <c r="D1219" s="17"/>
      <c r="E1219" s="22">
        <f>IF($A1219="","",YEAR($A1219))</f>
        <v/>
      </c>
      <c r="F1219" s="22">
        <f>IF($A1219="","",MONTH($A1219))</f>
        <v/>
      </c>
      <c r="G1219" s="22">
        <f>IF($B1219="","",IFERROR(INDEX(ContaComp,MATCH($B1219,ContaNome,0)),"Conta inválida"))</f>
        <v/>
      </c>
    </row>
    <row r="1220" spans="1:7">
      <c r="A1220" s="21"/>
      <c r="B1220" s="15"/>
      <c r="C1220" s="15"/>
      <c r="D1220" s="17"/>
      <c r="E1220" s="22">
        <f>IF($A1220="","",YEAR($A1220))</f>
        <v/>
      </c>
      <c r="F1220" s="22">
        <f>IF($A1220="","",MONTH($A1220))</f>
        <v/>
      </c>
      <c r="G1220" s="22">
        <f>IF($B1220="","",IFERROR(INDEX(ContaComp,MATCH($B1220,ContaNome,0)),"Conta inválida"))</f>
        <v/>
      </c>
    </row>
    <row r="1221" spans="1:7">
      <c r="A1221" s="21"/>
      <c r="B1221" s="15"/>
      <c r="C1221" s="15"/>
      <c r="D1221" s="17"/>
      <c r="E1221" s="22">
        <f>IF($A1221="","",YEAR($A1221))</f>
        <v/>
      </c>
      <c r="F1221" s="22">
        <f>IF($A1221="","",MONTH($A1221))</f>
        <v/>
      </c>
      <c r="G1221" s="22">
        <f>IF($B1221="","",IFERROR(INDEX(ContaComp,MATCH($B1221,ContaNome,0)),"Conta inválida"))</f>
        <v/>
      </c>
    </row>
    <row r="1222" spans="1:7">
      <c r="A1222" s="21"/>
      <c r="B1222" s="15"/>
      <c r="C1222" s="15"/>
      <c r="D1222" s="17"/>
      <c r="E1222" s="22">
        <f>IF($A1222="","",YEAR($A1222))</f>
        <v/>
      </c>
      <c r="F1222" s="22">
        <f>IF($A1222="","",MONTH($A1222))</f>
        <v/>
      </c>
      <c r="G1222" s="22">
        <f>IF($B1222="","",IFERROR(INDEX(ContaComp,MATCH($B1222,ContaNome,0)),"Conta inválida"))</f>
        <v/>
      </c>
    </row>
    <row r="1223" spans="1:7">
      <c r="A1223" s="21"/>
      <c r="B1223" s="15"/>
      <c r="C1223" s="15"/>
      <c r="D1223" s="17"/>
      <c r="E1223" s="22">
        <f>IF($A1223="","",YEAR($A1223))</f>
        <v/>
      </c>
      <c r="F1223" s="22">
        <f>IF($A1223="","",MONTH($A1223))</f>
        <v/>
      </c>
      <c r="G1223" s="22">
        <f>IF($B1223="","",IFERROR(INDEX(ContaComp,MATCH($B1223,ContaNome,0)),"Conta inválida"))</f>
        <v/>
      </c>
    </row>
    <row r="1224" spans="1:7">
      <c r="A1224" s="21"/>
      <c r="B1224" s="15"/>
      <c r="C1224" s="15"/>
      <c r="D1224" s="17"/>
      <c r="E1224" s="22">
        <f>IF($A1224="","",YEAR($A1224))</f>
        <v/>
      </c>
      <c r="F1224" s="22">
        <f>IF($A1224="","",MONTH($A1224))</f>
        <v/>
      </c>
      <c r="G1224" s="22">
        <f>IF($B1224="","",IFERROR(INDEX(ContaComp,MATCH($B1224,ContaNome,0)),"Conta inválida"))</f>
        <v/>
      </c>
    </row>
    <row r="1225" spans="1:7">
      <c r="A1225" s="21"/>
      <c r="B1225" s="15"/>
      <c r="C1225" s="15"/>
      <c r="D1225" s="17"/>
      <c r="E1225" s="22">
        <f>IF($A1225="","",YEAR($A1225))</f>
        <v/>
      </c>
      <c r="F1225" s="22">
        <f>IF($A1225="","",MONTH($A1225))</f>
        <v/>
      </c>
      <c r="G1225" s="22">
        <f>IF($B1225="","",IFERROR(INDEX(ContaComp,MATCH($B1225,ContaNome,0)),"Conta inválida"))</f>
        <v/>
      </c>
    </row>
    <row r="1226" spans="1:7">
      <c r="A1226" s="21"/>
      <c r="B1226" s="15"/>
      <c r="C1226" s="15"/>
      <c r="D1226" s="17"/>
      <c r="E1226" s="22">
        <f>IF($A1226="","",YEAR($A1226))</f>
        <v/>
      </c>
      <c r="F1226" s="22">
        <f>IF($A1226="","",MONTH($A1226))</f>
        <v/>
      </c>
      <c r="G1226" s="22">
        <f>IF($B1226="","",IFERROR(INDEX(ContaComp,MATCH($B1226,ContaNome,0)),"Conta inválida"))</f>
        <v/>
      </c>
    </row>
    <row r="1227" spans="1:7">
      <c r="A1227" s="21"/>
      <c r="B1227" s="15"/>
      <c r="C1227" s="15"/>
      <c r="D1227" s="17"/>
      <c r="E1227" s="22">
        <f>IF($A1227="","",YEAR($A1227))</f>
        <v/>
      </c>
      <c r="F1227" s="22">
        <f>IF($A1227="","",MONTH($A1227))</f>
        <v/>
      </c>
      <c r="G1227" s="22">
        <f>IF($B1227="","",IFERROR(INDEX(ContaComp,MATCH($B1227,ContaNome,0)),"Conta inválida"))</f>
        <v/>
      </c>
    </row>
    <row r="1228" spans="1:7">
      <c r="A1228" s="21"/>
      <c r="B1228" s="15"/>
      <c r="C1228" s="15"/>
      <c r="D1228" s="17"/>
      <c r="E1228" s="22">
        <f>IF($A1228="","",YEAR($A1228))</f>
        <v/>
      </c>
      <c r="F1228" s="22">
        <f>IF($A1228="","",MONTH($A1228))</f>
        <v/>
      </c>
      <c r="G1228" s="22">
        <f>IF($B1228="","",IFERROR(INDEX(ContaComp,MATCH($B1228,ContaNome,0)),"Conta inválida"))</f>
        <v/>
      </c>
    </row>
    <row r="1229" spans="1:7">
      <c r="A1229" s="21"/>
      <c r="B1229" s="15"/>
      <c r="C1229" s="15"/>
      <c r="D1229" s="17"/>
      <c r="E1229" s="22">
        <f>IF($A1229="","",YEAR($A1229))</f>
        <v/>
      </c>
      <c r="F1229" s="22">
        <f>IF($A1229="","",MONTH($A1229))</f>
        <v/>
      </c>
      <c r="G1229" s="22">
        <f>IF($B1229="","",IFERROR(INDEX(ContaComp,MATCH($B1229,ContaNome,0)),"Conta inválida"))</f>
        <v/>
      </c>
    </row>
    <row r="1230" spans="1:7">
      <c r="A1230" s="21"/>
      <c r="B1230" s="15"/>
      <c r="C1230" s="15"/>
      <c r="D1230" s="17"/>
      <c r="E1230" s="22">
        <f>IF($A1230="","",YEAR($A1230))</f>
        <v/>
      </c>
      <c r="F1230" s="22">
        <f>IF($A1230="","",MONTH($A1230))</f>
        <v/>
      </c>
      <c r="G1230" s="22">
        <f>IF($B1230="","",IFERROR(INDEX(ContaComp,MATCH($B1230,ContaNome,0)),"Conta inválida"))</f>
        <v/>
      </c>
    </row>
    <row r="1231" spans="1:7">
      <c r="A1231" s="21"/>
      <c r="B1231" s="15"/>
      <c r="C1231" s="15"/>
      <c r="D1231" s="17"/>
      <c r="E1231" s="22">
        <f>IF($A1231="","",YEAR($A1231))</f>
        <v/>
      </c>
      <c r="F1231" s="22">
        <f>IF($A1231="","",MONTH($A1231))</f>
        <v/>
      </c>
      <c r="G1231" s="22">
        <f>IF($B1231="","",IFERROR(INDEX(ContaComp,MATCH($B1231,ContaNome,0)),"Conta inválida"))</f>
        <v/>
      </c>
    </row>
    <row r="1232" spans="1:7">
      <c r="A1232" s="21"/>
      <c r="B1232" s="15"/>
      <c r="C1232" s="15"/>
      <c r="D1232" s="17"/>
      <c r="E1232" s="22">
        <f>IF($A1232="","",YEAR($A1232))</f>
        <v/>
      </c>
      <c r="F1232" s="22">
        <f>IF($A1232="","",MONTH($A1232))</f>
        <v/>
      </c>
      <c r="G1232" s="22">
        <f>IF($B1232="","",IFERROR(INDEX(ContaComp,MATCH($B1232,ContaNome,0)),"Conta inválida"))</f>
        <v/>
      </c>
    </row>
    <row r="1233" spans="1:7">
      <c r="A1233" s="21"/>
      <c r="B1233" s="15"/>
      <c r="C1233" s="15"/>
      <c r="D1233" s="17"/>
      <c r="E1233" s="22">
        <f>IF($A1233="","",YEAR($A1233))</f>
        <v/>
      </c>
      <c r="F1233" s="22">
        <f>IF($A1233="","",MONTH($A1233))</f>
        <v/>
      </c>
      <c r="G1233" s="22">
        <f>IF($B1233="","",IFERROR(INDEX(ContaComp,MATCH($B1233,ContaNome,0)),"Conta inválida"))</f>
        <v/>
      </c>
    </row>
    <row r="1234" spans="1:7">
      <c r="A1234" s="21"/>
      <c r="B1234" s="15"/>
      <c r="C1234" s="15"/>
      <c r="D1234" s="17"/>
      <c r="E1234" s="22">
        <f>IF($A1234="","",YEAR($A1234))</f>
        <v/>
      </c>
      <c r="F1234" s="22">
        <f>IF($A1234="","",MONTH($A1234))</f>
        <v/>
      </c>
      <c r="G1234" s="22">
        <f>IF($B1234="","",IFERROR(INDEX(ContaComp,MATCH($B1234,ContaNome,0)),"Conta inválida"))</f>
        <v/>
      </c>
    </row>
    <row r="1235" spans="1:7">
      <c r="A1235" s="21"/>
      <c r="B1235" s="15"/>
      <c r="C1235" s="15"/>
      <c r="D1235" s="17"/>
      <c r="E1235" s="22">
        <f>IF($A1235="","",YEAR($A1235))</f>
        <v/>
      </c>
      <c r="F1235" s="22">
        <f>IF($A1235="","",MONTH($A1235))</f>
        <v/>
      </c>
      <c r="G1235" s="22">
        <f>IF($B1235="","",IFERROR(INDEX(ContaComp,MATCH($B1235,ContaNome,0)),"Conta inválida"))</f>
        <v/>
      </c>
    </row>
    <row r="1236" spans="1:7">
      <c r="A1236" s="21"/>
      <c r="B1236" s="15"/>
      <c r="C1236" s="15"/>
      <c r="D1236" s="17"/>
      <c r="E1236" s="22">
        <f>IF($A1236="","",YEAR($A1236))</f>
        <v/>
      </c>
      <c r="F1236" s="22">
        <f>IF($A1236="","",MONTH($A1236))</f>
        <v/>
      </c>
      <c r="G1236" s="22">
        <f>IF($B1236="","",IFERROR(INDEX(ContaComp,MATCH($B1236,ContaNome,0)),"Conta inválida"))</f>
        <v/>
      </c>
    </row>
    <row r="1237" spans="1:7">
      <c r="A1237" s="21"/>
      <c r="B1237" s="15"/>
      <c r="C1237" s="15"/>
      <c r="D1237" s="17"/>
      <c r="E1237" s="22">
        <f>IF($A1237="","",YEAR($A1237))</f>
        <v/>
      </c>
      <c r="F1237" s="22">
        <f>IF($A1237="","",MONTH($A1237))</f>
        <v/>
      </c>
      <c r="G1237" s="22">
        <f>IF($B1237="","",IFERROR(INDEX(ContaComp,MATCH($B1237,ContaNome,0)),"Conta inválida"))</f>
        <v/>
      </c>
    </row>
    <row r="1238" spans="1:7">
      <c r="A1238" s="21"/>
      <c r="B1238" s="15"/>
      <c r="C1238" s="15"/>
      <c r="D1238" s="17"/>
      <c r="E1238" s="22">
        <f>IF($A1238="","",YEAR($A1238))</f>
        <v/>
      </c>
      <c r="F1238" s="22">
        <f>IF($A1238="","",MONTH($A1238))</f>
        <v/>
      </c>
      <c r="G1238" s="22">
        <f>IF($B1238="","",IFERROR(INDEX(ContaComp,MATCH($B1238,ContaNome,0)),"Conta inválida"))</f>
        <v/>
      </c>
    </row>
    <row r="1239" spans="1:7">
      <c r="A1239" s="21"/>
      <c r="B1239" s="15"/>
      <c r="C1239" s="15"/>
      <c r="D1239" s="17"/>
      <c r="E1239" s="22">
        <f>IF($A1239="","",YEAR($A1239))</f>
        <v/>
      </c>
      <c r="F1239" s="22">
        <f>IF($A1239="","",MONTH($A1239))</f>
        <v/>
      </c>
      <c r="G1239" s="22">
        <f>IF($B1239="","",IFERROR(INDEX(ContaComp,MATCH($B1239,ContaNome,0)),"Conta inválida"))</f>
        <v/>
      </c>
    </row>
    <row r="1240" spans="1:7">
      <c r="A1240" s="21"/>
      <c r="B1240" s="15"/>
      <c r="C1240" s="15"/>
      <c r="D1240" s="17"/>
      <c r="E1240" s="22">
        <f>IF($A1240="","",YEAR($A1240))</f>
        <v/>
      </c>
      <c r="F1240" s="22">
        <f>IF($A1240="","",MONTH($A1240))</f>
        <v/>
      </c>
      <c r="G1240" s="22">
        <f>IF($B1240="","",IFERROR(INDEX(ContaComp,MATCH($B1240,ContaNome,0)),"Conta inválida"))</f>
        <v/>
      </c>
    </row>
    <row r="1241" spans="1:7">
      <c r="A1241" s="21"/>
      <c r="B1241" s="15"/>
      <c r="C1241" s="15"/>
      <c r="D1241" s="17"/>
      <c r="E1241" s="22">
        <f>IF($A1241="","",YEAR($A1241))</f>
        <v/>
      </c>
      <c r="F1241" s="22">
        <f>IF($A1241="","",MONTH($A1241))</f>
        <v/>
      </c>
      <c r="G1241" s="22">
        <f>IF($B1241="","",IFERROR(INDEX(ContaComp,MATCH($B1241,ContaNome,0)),"Conta inválida"))</f>
        <v/>
      </c>
    </row>
    <row r="1242" spans="1:7">
      <c r="A1242" s="21"/>
      <c r="B1242" s="15"/>
      <c r="C1242" s="15"/>
      <c r="D1242" s="17"/>
      <c r="E1242" s="22">
        <f>IF($A1242="","",YEAR($A1242))</f>
        <v/>
      </c>
      <c r="F1242" s="22">
        <f>IF($A1242="","",MONTH($A1242))</f>
        <v/>
      </c>
      <c r="G1242" s="22">
        <f>IF($B1242="","",IFERROR(INDEX(ContaComp,MATCH($B1242,ContaNome,0)),"Conta inválida"))</f>
        <v/>
      </c>
    </row>
    <row r="1243" spans="1:7">
      <c r="A1243" s="21"/>
      <c r="B1243" s="15"/>
      <c r="C1243" s="15"/>
      <c r="D1243" s="17"/>
      <c r="E1243" s="22">
        <f>IF($A1243="","",YEAR($A1243))</f>
        <v/>
      </c>
      <c r="F1243" s="22">
        <f>IF($A1243="","",MONTH($A1243))</f>
        <v/>
      </c>
      <c r="G1243" s="22">
        <f>IF($B1243="","",IFERROR(INDEX(ContaComp,MATCH($B1243,ContaNome,0)),"Conta inválida"))</f>
        <v/>
      </c>
    </row>
    <row r="1244" spans="1:7">
      <c r="A1244" s="21"/>
      <c r="B1244" s="15"/>
      <c r="C1244" s="15"/>
      <c r="D1244" s="17"/>
      <c r="E1244" s="22">
        <f>IF($A1244="","",YEAR($A1244))</f>
        <v/>
      </c>
      <c r="F1244" s="22">
        <f>IF($A1244="","",MONTH($A1244))</f>
        <v/>
      </c>
      <c r="G1244" s="22">
        <f>IF($B1244="","",IFERROR(INDEX(ContaComp,MATCH($B1244,ContaNome,0)),"Conta inválida"))</f>
        <v/>
      </c>
    </row>
    <row r="1245" spans="1:7">
      <c r="A1245" s="21"/>
      <c r="B1245" s="15"/>
      <c r="C1245" s="15"/>
      <c r="D1245" s="17"/>
      <c r="E1245" s="22">
        <f>IF($A1245="","",YEAR($A1245))</f>
        <v/>
      </c>
      <c r="F1245" s="22">
        <f>IF($A1245="","",MONTH($A1245))</f>
        <v/>
      </c>
      <c r="G1245" s="22">
        <f>IF($B1245="","",IFERROR(INDEX(ContaComp,MATCH($B1245,ContaNome,0)),"Conta inválida"))</f>
        <v/>
      </c>
    </row>
    <row r="1246" spans="1:7">
      <c r="A1246" s="21"/>
      <c r="B1246" s="15"/>
      <c r="C1246" s="15"/>
      <c r="D1246" s="17"/>
      <c r="E1246" s="22">
        <f>IF($A1246="","",YEAR($A1246))</f>
        <v/>
      </c>
      <c r="F1246" s="22">
        <f>IF($A1246="","",MONTH($A1246))</f>
        <v/>
      </c>
      <c r="G1246" s="22">
        <f>IF($B1246="","",IFERROR(INDEX(ContaComp,MATCH($B1246,ContaNome,0)),"Conta inválida"))</f>
        <v/>
      </c>
    </row>
    <row r="1247" spans="1:7">
      <c r="A1247" s="21"/>
      <c r="B1247" s="15"/>
      <c r="C1247" s="15"/>
      <c r="D1247" s="17"/>
      <c r="E1247" s="22">
        <f>IF($A1247="","",YEAR($A1247))</f>
        <v/>
      </c>
      <c r="F1247" s="22">
        <f>IF($A1247="","",MONTH($A1247))</f>
        <v/>
      </c>
      <c r="G1247" s="22">
        <f>IF($B1247="","",IFERROR(INDEX(ContaComp,MATCH($B1247,ContaNome,0)),"Conta inválida"))</f>
        <v/>
      </c>
    </row>
    <row r="1248" spans="1:7">
      <c r="A1248" s="21"/>
      <c r="B1248" s="15"/>
      <c r="C1248" s="15"/>
      <c r="D1248" s="17"/>
      <c r="E1248" s="22">
        <f>IF($A1248="","",YEAR($A1248))</f>
        <v/>
      </c>
      <c r="F1248" s="22">
        <f>IF($A1248="","",MONTH($A1248))</f>
        <v/>
      </c>
      <c r="G1248" s="22">
        <f>IF($B1248="","",IFERROR(INDEX(ContaComp,MATCH($B1248,ContaNome,0)),"Conta inválida"))</f>
        <v/>
      </c>
    </row>
    <row r="1249" spans="1:7">
      <c r="A1249" s="21"/>
      <c r="B1249" s="15"/>
      <c r="C1249" s="15"/>
      <c r="D1249" s="17"/>
      <c r="E1249" s="22">
        <f>IF($A1249="","",YEAR($A1249))</f>
        <v/>
      </c>
      <c r="F1249" s="22">
        <f>IF($A1249="","",MONTH($A1249))</f>
        <v/>
      </c>
      <c r="G1249" s="22">
        <f>IF($B1249="","",IFERROR(INDEX(ContaComp,MATCH($B1249,ContaNome,0)),"Conta inválida"))</f>
        <v/>
      </c>
    </row>
    <row r="1250" spans="1:7">
      <c r="A1250" s="21"/>
      <c r="B1250" s="15"/>
      <c r="C1250" s="15"/>
      <c r="D1250" s="17"/>
      <c r="E1250" s="22">
        <f>IF($A1250="","",YEAR($A1250))</f>
        <v/>
      </c>
      <c r="F1250" s="22">
        <f>IF($A1250="","",MONTH($A1250))</f>
        <v/>
      </c>
      <c r="G1250" s="22">
        <f>IF($B1250="","",IFERROR(INDEX(ContaComp,MATCH($B1250,ContaNome,0)),"Conta inválida"))</f>
        <v/>
      </c>
    </row>
    <row r="1251" spans="1:7">
      <c r="A1251" s="21"/>
      <c r="B1251" s="15"/>
      <c r="C1251" s="15"/>
      <c r="D1251" s="17"/>
      <c r="E1251" s="22">
        <f>IF($A1251="","",YEAR($A1251))</f>
        <v/>
      </c>
      <c r="F1251" s="22">
        <f>IF($A1251="","",MONTH($A1251))</f>
        <v/>
      </c>
      <c r="G1251" s="22">
        <f>IF($B1251="","",IFERROR(INDEX(ContaComp,MATCH($B1251,ContaNome,0)),"Conta inválida"))</f>
        <v/>
      </c>
    </row>
    <row r="1252" spans="1:7">
      <c r="A1252" s="21"/>
      <c r="B1252" s="15"/>
      <c r="C1252" s="15"/>
      <c r="D1252" s="17"/>
      <c r="E1252" s="22">
        <f>IF($A1252="","",YEAR($A1252))</f>
        <v/>
      </c>
      <c r="F1252" s="22">
        <f>IF($A1252="","",MONTH($A1252))</f>
        <v/>
      </c>
      <c r="G1252" s="22">
        <f>IF($B1252="","",IFERROR(INDEX(ContaComp,MATCH($B1252,ContaNome,0)),"Conta inválida"))</f>
        <v/>
      </c>
    </row>
    <row r="1253" spans="1:7">
      <c r="A1253" s="21"/>
      <c r="B1253" s="15"/>
      <c r="C1253" s="15"/>
      <c r="D1253" s="17"/>
      <c r="E1253" s="22">
        <f>IF($A1253="","",YEAR($A1253))</f>
        <v/>
      </c>
      <c r="F1253" s="22">
        <f>IF($A1253="","",MONTH($A1253))</f>
        <v/>
      </c>
      <c r="G1253" s="22">
        <f>IF($B1253="","",IFERROR(INDEX(ContaComp,MATCH($B1253,ContaNome,0)),"Conta inválida"))</f>
        <v/>
      </c>
    </row>
    <row r="1254" spans="1:7">
      <c r="A1254" s="21"/>
      <c r="B1254" s="15"/>
      <c r="C1254" s="15"/>
      <c r="D1254" s="17"/>
      <c r="E1254" s="22">
        <f>IF($A1254="","",YEAR($A1254))</f>
        <v/>
      </c>
      <c r="F1254" s="22">
        <f>IF($A1254="","",MONTH($A1254))</f>
        <v/>
      </c>
      <c r="G1254" s="22">
        <f>IF($B1254="","",IFERROR(INDEX(ContaComp,MATCH($B1254,ContaNome,0)),"Conta inválida"))</f>
        <v/>
      </c>
    </row>
    <row r="1255" spans="1:7">
      <c r="A1255" s="21"/>
      <c r="B1255" s="15"/>
      <c r="C1255" s="15"/>
      <c r="D1255" s="17"/>
      <c r="E1255" s="22">
        <f>IF($A1255="","",YEAR($A1255))</f>
        <v/>
      </c>
      <c r="F1255" s="22">
        <f>IF($A1255="","",MONTH($A1255))</f>
        <v/>
      </c>
      <c r="G1255" s="22">
        <f>IF($B1255="","",IFERROR(INDEX(ContaComp,MATCH($B1255,ContaNome,0)),"Conta inválida"))</f>
        <v/>
      </c>
    </row>
    <row r="1256" spans="1:7">
      <c r="A1256" s="21"/>
      <c r="B1256" s="15"/>
      <c r="C1256" s="15"/>
      <c r="D1256" s="17"/>
      <c r="E1256" s="22">
        <f>IF($A1256="","",YEAR($A1256))</f>
        <v/>
      </c>
      <c r="F1256" s="22">
        <f>IF($A1256="","",MONTH($A1256))</f>
        <v/>
      </c>
      <c r="G1256" s="22">
        <f>IF($B1256="","",IFERROR(INDEX(ContaComp,MATCH($B1256,ContaNome,0)),"Conta inválida"))</f>
        <v/>
      </c>
    </row>
    <row r="1257" spans="1:7">
      <c r="A1257" s="21"/>
      <c r="B1257" s="15"/>
      <c r="C1257" s="15"/>
      <c r="D1257" s="17"/>
      <c r="E1257" s="22">
        <f>IF($A1257="","",YEAR($A1257))</f>
        <v/>
      </c>
      <c r="F1257" s="22">
        <f>IF($A1257="","",MONTH($A1257))</f>
        <v/>
      </c>
      <c r="G1257" s="22">
        <f>IF($B1257="","",IFERROR(INDEX(ContaComp,MATCH($B1257,ContaNome,0)),"Conta inválida"))</f>
        <v/>
      </c>
    </row>
    <row r="1258" spans="1:7">
      <c r="A1258" s="21"/>
      <c r="B1258" s="15"/>
      <c r="C1258" s="15"/>
      <c r="D1258" s="17"/>
      <c r="E1258" s="22">
        <f>IF($A1258="","",YEAR($A1258))</f>
        <v/>
      </c>
      <c r="F1258" s="22">
        <f>IF($A1258="","",MONTH($A1258))</f>
        <v/>
      </c>
      <c r="G1258" s="22">
        <f>IF($B1258="","",IFERROR(INDEX(ContaComp,MATCH($B1258,ContaNome,0)),"Conta inválida"))</f>
        <v/>
      </c>
    </row>
    <row r="1259" spans="1:7">
      <c r="A1259" s="21"/>
      <c r="B1259" s="15"/>
      <c r="C1259" s="15"/>
      <c r="D1259" s="17"/>
      <c r="E1259" s="22">
        <f>IF($A1259="","",YEAR($A1259))</f>
        <v/>
      </c>
      <c r="F1259" s="22">
        <f>IF($A1259="","",MONTH($A1259))</f>
        <v/>
      </c>
      <c r="G1259" s="22">
        <f>IF($B1259="","",IFERROR(INDEX(ContaComp,MATCH($B1259,ContaNome,0)),"Conta inválida"))</f>
        <v/>
      </c>
    </row>
    <row r="1260" spans="1:7">
      <c r="A1260" s="21"/>
      <c r="B1260" s="15"/>
      <c r="C1260" s="15"/>
      <c r="D1260" s="17"/>
      <c r="E1260" s="22">
        <f>IF($A1260="","",YEAR($A1260))</f>
        <v/>
      </c>
      <c r="F1260" s="22">
        <f>IF($A1260="","",MONTH($A1260))</f>
        <v/>
      </c>
      <c r="G1260" s="22">
        <f>IF($B1260="","",IFERROR(INDEX(ContaComp,MATCH($B1260,ContaNome,0)),"Conta inválida"))</f>
        <v/>
      </c>
    </row>
    <row r="1261" spans="1:7">
      <c r="A1261" s="21"/>
      <c r="B1261" s="15"/>
      <c r="C1261" s="15"/>
      <c r="D1261" s="17"/>
      <c r="E1261" s="22">
        <f>IF($A1261="","",YEAR($A1261))</f>
        <v/>
      </c>
      <c r="F1261" s="22">
        <f>IF($A1261="","",MONTH($A1261))</f>
        <v/>
      </c>
      <c r="G1261" s="22">
        <f>IF($B1261="","",IFERROR(INDEX(ContaComp,MATCH($B1261,ContaNome,0)),"Conta inválida"))</f>
        <v/>
      </c>
    </row>
    <row r="1262" spans="1:7">
      <c r="A1262" s="21"/>
      <c r="B1262" s="15"/>
      <c r="C1262" s="15"/>
      <c r="D1262" s="17"/>
      <c r="E1262" s="22">
        <f>IF($A1262="","",YEAR($A1262))</f>
        <v/>
      </c>
      <c r="F1262" s="22">
        <f>IF($A1262="","",MONTH($A1262))</f>
        <v/>
      </c>
      <c r="G1262" s="22">
        <f>IF($B1262="","",IFERROR(INDEX(ContaComp,MATCH($B1262,ContaNome,0)),"Conta inválida"))</f>
        <v/>
      </c>
    </row>
    <row r="1263" spans="1:7">
      <c r="A1263" s="21"/>
      <c r="B1263" s="15"/>
      <c r="C1263" s="15"/>
      <c r="D1263" s="17"/>
      <c r="E1263" s="22">
        <f>IF($A1263="","",YEAR($A1263))</f>
        <v/>
      </c>
      <c r="F1263" s="22">
        <f>IF($A1263="","",MONTH($A1263))</f>
        <v/>
      </c>
      <c r="G1263" s="22">
        <f>IF($B1263="","",IFERROR(INDEX(ContaComp,MATCH($B1263,ContaNome,0)),"Conta inválida"))</f>
        <v/>
      </c>
    </row>
    <row r="1264" spans="1:7">
      <c r="A1264" s="21"/>
      <c r="B1264" s="15"/>
      <c r="C1264" s="15"/>
      <c r="D1264" s="17"/>
      <c r="E1264" s="22">
        <f>IF($A1264="","",YEAR($A1264))</f>
        <v/>
      </c>
      <c r="F1264" s="22">
        <f>IF($A1264="","",MONTH($A1264))</f>
        <v/>
      </c>
      <c r="G1264" s="22">
        <f>IF($B1264="","",IFERROR(INDEX(ContaComp,MATCH($B1264,ContaNome,0)),"Conta inválida"))</f>
        <v/>
      </c>
    </row>
    <row r="1265" spans="1:7">
      <c r="A1265" s="21"/>
      <c r="B1265" s="15"/>
      <c r="C1265" s="15"/>
      <c r="D1265" s="17"/>
      <c r="E1265" s="22">
        <f>IF($A1265="","",YEAR($A1265))</f>
        <v/>
      </c>
      <c r="F1265" s="22">
        <f>IF($A1265="","",MONTH($A1265))</f>
        <v/>
      </c>
      <c r="G1265" s="22">
        <f>IF($B1265="","",IFERROR(INDEX(ContaComp,MATCH($B1265,ContaNome,0)),"Conta inválida"))</f>
        <v/>
      </c>
    </row>
    <row r="1266" spans="1:7">
      <c r="A1266" s="21"/>
      <c r="B1266" s="15"/>
      <c r="C1266" s="15"/>
      <c r="D1266" s="17"/>
      <c r="E1266" s="22">
        <f>IF($A1266="","",YEAR($A1266))</f>
        <v/>
      </c>
      <c r="F1266" s="22">
        <f>IF($A1266="","",MONTH($A1266))</f>
        <v/>
      </c>
      <c r="G1266" s="22">
        <f>IF($B1266="","",IFERROR(INDEX(ContaComp,MATCH($B1266,ContaNome,0)),"Conta inválida"))</f>
        <v/>
      </c>
    </row>
    <row r="1267" spans="1:7">
      <c r="A1267" s="21"/>
      <c r="B1267" s="15"/>
      <c r="C1267" s="15"/>
      <c r="D1267" s="17"/>
      <c r="E1267" s="22">
        <f>IF($A1267="","",YEAR($A1267))</f>
        <v/>
      </c>
      <c r="F1267" s="22">
        <f>IF($A1267="","",MONTH($A1267))</f>
        <v/>
      </c>
      <c r="G1267" s="22">
        <f>IF($B1267="","",IFERROR(INDEX(ContaComp,MATCH($B1267,ContaNome,0)),"Conta inválida"))</f>
        <v/>
      </c>
    </row>
    <row r="1268" spans="1:7">
      <c r="A1268" s="21"/>
      <c r="B1268" s="15"/>
      <c r="C1268" s="15"/>
      <c r="D1268" s="17"/>
      <c r="E1268" s="22">
        <f>IF($A1268="","",YEAR($A1268))</f>
        <v/>
      </c>
      <c r="F1268" s="22">
        <f>IF($A1268="","",MONTH($A1268))</f>
        <v/>
      </c>
      <c r="G1268" s="22">
        <f>IF($B1268="","",IFERROR(INDEX(ContaComp,MATCH($B1268,ContaNome,0)),"Conta inválida"))</f>
        <v/>
      </c>
    </row>
    <row r="1269" spans="1:7">
      <c r="A1269" s="21"/>
      <c r="B1269" s="15"/>
      <c r="C1269" s="15"/>
      <c r="D1269" s="17"/>
      <c r="E1269" s="22">
        <f>IF($A1269="","",YEAR($A1269))</f>
        <v/>
      </c>
      <c r="F1269" s="22">
        <f>IF($A1269="","",MONTH($A1269))</f>
        <v/>
      </c>
      <c r="G1269" s="22">
        <f>IF($B1269="","",IFERROR(INDEX(ContaComp,MATCH($B1269,ContaNome,0)),"Conta inválida"))</f>
        <v/>
      </c>
    </row>
    <row r="1270" spans="1:7">
      <c r="A1270" s="21"/>
      <c r="B1270" s="15"/>
      <c r="C1270" s="15"/>
      <c r="D1270" s="17"/>
      <c r="E1270" s="22">
        <f>IF($A1270="","",YEAR($A1270))</f>
        <v/>
      </c>
      <c r="F1270" s="22">
        <f>IF($A1270="","",MONTH($A1270))</f>
        <v/>
      </c>
      <c r="G1270" s="22">
        <f>IF($B1270="","",IFERROR(INDEX(ContaComp,MATCH($B1270,ContaNome,0)),"Conta inválida"))</f>
        <v/>
      </c>
    </row>
    <row r="1271" spans="1:7">
      <c r="A1271" s="21"/>
      <c r="B1271" s="15"/>
      <c r="C1271" s="15"/>
      <c r="D1271" s="17"/>
      <c r="E1271" s="22">
        <f>IF($A1271="","",YEAR($A1271))</f>
        <v/>
      </c>
      <c r="F1271" s="22">
        <f>IF($A1271="","",MONTH($A1271))</f>
        <v/>
      </c>
      <c r="G1271" s="22">
        <f>IF($B1271="","",IFERROR(INDEX(ContaComp,MATCH($B1271,ContaNome,0)),"Conta inválida"))</f>
        <v/>
      </c>
    </row>
    <row r="1272" spans="1:7">
      <c r="A1272" s="21"/>
      <c r="B1272" s="15"/>
      <c r="C1272" s="15"/>
      <c r="D1272" s="17"/>
      <c r="E1272" s="22">
        <f>IF($A1272="","",YEAR($A1272))</f>
        <v/>
      </c>
      <c r="F1272" s="22">
        <f>IF($A1272="","",MONTH($A1272))</f>
        <v/>
      </c>
      <c r="G1272" s="22">
        <f>IF($B1272="","",IFERROR(INDEX(ContaComp,MATCH($B1272,ContaNome,0)),"Conta inválida"))</f>
        <v/>
      </c>
    </row>
    <row r="1273" spans="1:7">
      <c r="A1273" s="21"/>
      <c r="B1273" s="15"/>
      <c r="C1273" s="15"/>
      <c r="D1273" s="17"/>
      <c r="E1273" s="22">
        <f>IF($A1273="","",YEAR($A1273))</f>
        <v/>
      </c>
      <c r="F1273" s="22">
        <f>IF($A1273="","",MONTH($A1273))</f>
        <v/>
      </c>
      <c r="G1273" s="22">
        <f>IF($B1273="","",IFERROR(INDEX(ContaComp,MATCH($B1273,ContaNome,0)),"Conta inválida"))</f>
        <v/>
      </c>
    </row>
    <row r="1274" spans="1:7">
      <c r="A1274" s="21"/>
      <c r="B1274" s="15"/>
      <c r="C1274" s="15"/>
      <c r="D1274" s="17"/>
      <c r="E1274" s="22">
        <f>IF($A1274="","",YEAR($A1274))</f>
        <v/>
      </c>
      <c r="F1274" s="22">
        <f>IF($A1274="","",MONTH($A1274))</f>
        <v/>
      </c>
      <c r="G1274" s="22">
        <f>IF($B1274="","",IFERROR(INDEX(ContaComp,MATCH($B1274,ContaNome,0)),"Conta inválida"))</f>
        <v/>
      </c>
    </row>
    <row r="1275" spans="1:7">
      <c r="A1275" s="21"/>
      <c r="B1275" s="15"/>
      <c r="C1275" s="15"/>
      <c r="D1275" s="17"/>
      <c r="E1275" s="22">
        <f>IF($A1275="","",YEAR($A1275))</f>
        <v/>
      </c>
      <c r="F1275" s="22">
        <f>IF($A1275="","",MONTH($A1275))</f>
        <v/>
      </c>
      <c r="G1275" s="22">
        <f>IF($B1275="","",IFERROR(INDEX(ContaComp,MATCH($B1275,ContaNome,0)),"Conta inválida"))</f>
        <v/>
      </c>
    </row>
    <row r="1276" spans="1:7">
      <c r="A1276" s="21"/>
      <c r="B1276" s="15"/>
      <c r="C1276" s="15"/>
      <c r="D1276" s="17"/>
      <c r="E1276" s="22">
        <f>IF($A1276="","",YEAR($A1276))</f>
        <v/>
      </c>
      <c r="F1276" s="22">
        <f>IF($A1276="","",MONTH($A1276))</f>
        <v/>
      </c>
      <c r="G1276" s="22">
        <f>IF($B1276="","",IFERROR(INDEX(ContaComp,MATCH($B1276,ContaNome,0)),"Conta inválida"))</f>
        <v/>
      </c>
    </row>
    <row r="1277" spans="1:7">
      <c r="A1277" s="21"/>
      <c r="B1277" s="15"/>
      <c r="C1277" s="15"/>
      <c r="D1277" s="17"/>
      <c r="E1277" s="22">
        <f>IF($A1277="","",YEAR($A1277))</f>
        <v/>
      </c>
      <c r="F1277" s="22">
        <f>IF($A1277="","",MONTH($A1277))</f>
        <v/>
      </c>
      <c r="G1277" s="22">
        <f>IF($B1277="","",IFERROR(INDEX(ContaComp,MATCH($B1277,ContaNome,0)),"Conta inválida"))</f>
        <v/>
      </c>
    </row>
    <row r="1278" spans="1:7">
      <c r="A1278" s="21"/>
      <c r="B1278" s="15"/>
      <c r="C1278" s="15"/>
      <c r="D1278" s="17"/>
      <c r="E1278" s="22">
        <f>IF($A1278="","",YEAR($A1278))</f>
        <v/>
      </c>
      <c r="F1278" s="22">
        <f>IF($A1278="","",MONTH($A1278))</f>
        <v/>
      </c>
      <c r="G1278" s="22">
        <f>IF($B1278="","",IFERROR(INDEX(ContaComp,MATCH($B1278,ContaNome,0)),"Conta inválida"))</f>
        <v/>
      </c>
    </row>
    <row r="1279" spans="1:7">
      <c r="A1279" s="21"/>
      <c r="B1279" s="15"/>
      <c r="C1279" s="15"/>
      <c r="D1279" s="17"/>
      <c r="E1279" s="22">
        <f>IF($A1279="","",YEAR($A1279))</f>
        <v/>
      </c>
      <c r="F1279" s="22">
        <f>IF($A1279="","",MONTH($A1279))</f>
        <v/>
      </c>
      <c r="G1279" s="22">
        <f>IF($B1279="","",IFERROR(INDEX(ContaComp,MATCH($B1279,ContaNome,0)),"Conta inválida"))</f>
        <v/>
      </c>
    </row>
    <row r="1280" spans="1:7">
      <c r="A1280" s="21"/>
      <c r="B1280" s="15"/>
      <c r="C1280" s="15"/>
      <c r="D1280" s="17"/>
      <c r="E1280" s="22">
        <f>IF($A1280="","",YEAR($A1280))</f>
        <v/>
      </c>
      <c r="F1280" s="22">
        <f>IF($A1280="","",MONTH($A1280))</f>
        <v/>
      </c>
      <c r="G1280" s="22">
        <f>IF($B1280="","",IFERROR(INDEX(ContaComp,MATCH($B1280,ContaNome,0)),"Conta inválida"))</f>
        <v/>
      </c>
    </row>
    <row r="1281" spans="1:7">
      <c r="A1281" s="21"/>
      <c r="B1281" s="15"/>
      <c r="C1281" s="15"/>
      <c r="D1281" s="17"/>
      <c r="E1281" s="22">
        <f>IF($A1281="","",YEAR($A1281))</f>
        <v/>
      </c>
      <c r="F1281" s="22">
        <f>IF($A1281="","",MONTH($A1281))</f>
        <v/>
      </c>
      <c r="G1281" s="22">
        <f>IF($B1281="","",IFERROR(INDEX(ContaComp,MATCH($B1281,ContaNome,0)),"Conta inválida"))</f>
        <v/>
      </c>
    </row>
    <row r="1282" spans="1:7">
      <c r="A1282" s="21"/>
      <c r="B1282" s="15"/>
      <c r="C1282" s="15"/>
      <c r="D1282" s="17"/>
      <c r="E1282" s="22">
        <f>IF($A1282="","",YEAR($A1282))</f>
        <v/>
      </c>
      <c r="F1282" s="22">
        <f>IF($A1282="","",MONTH($A1282))</f>
        <v/>
      </c>
      <c r="G1282" s="22">
        <f>IF($B1282="","",IFERROR(INDEX(ContaComp,MATCH($B1282,ContaNome,0)),"Conta inválida"))</f>
        <v/>
      </c>
    </row>
    <row r="1283" spans="1:7">
      <c r="A1283" s="21"/>
      <c r="B1283" s="15"/>
      <c r="C1283" s="15"/>
      <c r="D1283" s="17"/>
      <c r="E1283" s="22">
        <f>IF($A1283="","",YEAR($A1283))</f>
        <v/>
      </c>
      <c r="F1283" s="22">
        <f>IF($A1283="","",MONTH($A1283))</f>
        <v/>
      </c>
      <c r="G1283" s="22">
        <f>IF($B1283="","",IFERROR(INDEX(ContaComp,MATCH($B1283,ContaNome,0)),"Conta inválida"))</f>
        <v/>
      </c>
    </row>
    <row r="1284" spans="1:7">
      <c r="A1284" s="21"/>
      <c r="B1284" s="15"/>
      <c r="C1284" s="15"/>
      <c r="D1284" s="17"/>
      <c r="E1284" s="22">
        <f>IF($A1284="","",YEAR($A1284))</f>
        <v/>
      </c>
      <c r="F1284" s="22">
        <f>IF($A1284="","",MONTH($A1284))</f>
        <v/>
      </c>
      <c r="G1284" s="22">
        <f>IF($B1284="","",IFERROR(INDEX(ContaComp,MATCH($B1284,ContaNome,0)),"Conta inválida"))</f>
        <v/>
      </c>
    </row>
    <row r="1285" spans="1:7">
      <c r="A1285" s="21"/>
      <c r="B1285" s="15"/>
      <c r="C1285" s="15"/>
      <c r="D1285" s="17"/>
      <c r="E1285" s="22">
        <f>IF($A1285="","",YEAR($A1285))</f>
        <v/>
      </c>
      <c r="F1285" s="22">
        <f>IF($A1285="","",MONTH($A1285))</f>
        <v/>
      </c>
      <c r="G1285" s="22">
        <f>IF($B1285="","",IFERROR(INDEX(ContaComp,MATCH($B1285,ContaNome,0)),"Conta inválida"))</f>
        <v/>
      </c>
    </row>
    <row r="1286" spans="1:7">
      <c r="A1286" s="21"/>
      <c r="B1286" s="15"/>
      <c r="C1286" s="15"/>
      <c r="D1286" s="17"/>
      <c r="E1286" s="22">
        <f>IF($A1286="","",YEAR($A1286))</f>
        <v/>
      </c>
      <c r="F1286" s="22">
        <f>IF($A1286="","",MONTH($A1286))</f>
        <v/>
      </c>
      <c r="G1286" s="22">
        <f>IF($B1286="","",IFERROR(INDEX(ContaComp,MATCH($B1286,ContaNome,0)),"Conta inválida"))</f>
        <v/>
      </c>
    </row>
    <row r="1287" spans="1:7">
      <c r="A1287" s="21"/>
      <c r="B1287" s="15"/>
      <c r="C1287" s="15"/>
      <c r="D1287" s="17"/>
      <c r="E1287" s="22">
        <f>IF($A1287="","",YEAR($A1287))</f>
        <v/>
      </c>
      <c r="F1287" s="22">
        <f>IF($A1287="","",MONTH($A1287))</f>
        <v/>
      </c>
      <c r="G1287" s="22">
        <f>IF($B1287="","",IFERROR(INDEX(ContaComp,MATCH($B1287,ContaNome,0)),"Conta inválida"))</f>
        <v/>
      </c>
    </row>
    <row r="1288" spans="1:7">
      <c r="A1288" s="21"/>
      <c r="B1288" s="15"/>
      <c r="C1288" s="15"/>
      <c r="D1288" s="17"/>
      <c r="E1288" s="22">
        <f>IF($A1288="","",YEAR($A1288))</f>
        <v/>
      </c>
      <c r="F1288" s="22">
        <f>IF($A1288="","",MONTH($A1288))</f>
        <v/>
      </c>
      <c r="G1288" s="22">
        <f>IF($B1288="","",IFERROR(INDEX(ContaComp,MATCH($B1288,ContaNome,0)),"Conta inválida"))</f>
        <v/>
      </c>
    </row>
    <row r="1289" spans="1:7">
      <c r="A1289" s="21"/>
      <c r="B1289" s="15"/>
      <c r="C1289" s="15"/>
      <c r="D1289" s="17"/>
      <c r="E1289" s="22">
        <f>IF($A1289="","",YEAR($A1289))</f>
        <v/>
      </c>
      <c r="F1289" s="22">
        <f>IF($A1289="","",MONTH($A1289))</f>
        <v/>
      </c>
      <c r="G1289" s="22">
        <f>IF($B1289="","",IFERROR(INDEX(ContaComp,MATCH($B1289,ContaNome,0)),"Conta inválida"))</f>
        <v/>
      </c>
    </row>
    <row r="1290" spans="1:7">
      <c r="A1290" s="21"/>
      <c r="B1290" s="15"/>
      <c r="C1290" s="15"/>
      <c r="D1290" s="17"/>
      <c r="E1290" s="22">
        <f>IF($A1290="","",YEAR($A1290))</f>
        <v/>
      </c>
      <c r="F1290" s="22">
        <f>IF($A1290="","",MONTH($A1290))</f>
        <v/>
      </c>
      <c r="G1290" s="22">
        <f>IF($B1290="","",IFERROR(INDEX(ContaComp,MATCH($B1290,ContaNome,0)),"Conta inválida"))</f>
        <v/>
      </c>
    </row>
    <row r="1291" spans="1:7">
      <c r="A1291" s="21"/>
      <c r="B1291" s="15"/>
      <c r="C1291" s="15"/>
      <c r="D1291" s="17"/>
      <c r="E1291" s="22">
        <f>IF($A1291="","",YEAR($A1291))</f>
        <v/>
      </c>
      <c r="F1291" s="22">
        <f>IF($A1291="","",MONTH($A1291))</f>
        <v/>
      </c>
      <c r="G1291" s="22">
        <f>IF($B1291="","",IFERROR(INDEX(ContaComp,MATCH($B1291,ContaNome,0)),"Conta inválida"))</f>
        <v/>
      </c>
    </row>
    <row r="1292" spans="1:7">
      <c r="A1292" s="21"/>
      <c r="B1292" s="15"/>
      <c r="C1292" s="15"/>
      <c r="D1292" s="17"/>
      <c r="E1292" s="22">
        <f>IF($A1292="","",YEAR($A1292))</f>
        <v/>
      </c>
      <c r="F1292" s="22">
        <f>IF($A1292="","",MONTH($A1292))</f>
        <v/>
      </c>
      <c r="G1292" s="22">
        <f>IF($B1292="","",IFERROR(INDEX(ContaComp,MATCH($B1292,ContaNome,0)),"Conta inválida"))</f>
        <v/>
      </c>
    </row>
    <row r="1293" spans="1:7">
      <c r="A1293" s="21"/>
      <c r="B1293" s="15"/>
      <c r="C1293" s="15"/>
      <c r="D1293" s="17"/>
      <c r="E1293" s="22">
        <f>IF($A1293="","",YEAR($A1293))</f>
        <v/>
      </c>
      <c r="F1293" s="22">
        <f>IF($A1293="","",MONTH($A1293))</f>
        <v/>
      </c>
      <c r="G1293" s="22">
        <f>IF($B1293="","",IFERROR(INDEX(ContaComp,MATCH($B1293,ContaNome,0)),"Conta inválida"))</f>
        <v/>
      </c>
    </row>
    <row r="1294" spans="1:7">
      <c r="A1294" s="21"/>
      <c r="B1294" s="15"/>
      <c r="C1294" s="15"/>
      <c r="D1294" s="17"/>
      <c r="E1294" s="22">
        <f>IF($A1294="","",YEAR($A1294))</f>
        <v/>
      </c>
      <c r="F1294" s="22">
        <f>IF($A1294="","",MONTH($A1294))</f>
        <v/>
      </c>
      <c r="G1294" s="22">
        <f>IF($B1294="","",IFERROR(INDEX(ContaComp,MATCH($B1294,ContaNome,0)),"Conta inválida"))</f>
        <v/>
      </c>
    </row>
    <row r="1295" spans="1:7">
      <c r="A1295" s="21"/>
      <c r="B1295" s="15"/>
      <c r="C1295" s="15"/>
      <c r="D1295" s="17"/>
      <c r="E1295" s="22">
        <f>IF($A1295="","",YEAR($A1295))</f>
        <v/>
      </c>
      <c r="F1295" s="22">
        <f>IF($A1295="","",MONTH($A1295))</f>
        <v/>
      </c>
      <c r="G1295" s="22">
        <f>IF($B1295="","",IFERROR(INDEX(ContaComp,MATCH($B1295,ContaNome,0)),"Conta inválida"))</f>
        <v/>
      </c>
    </row>
    <row r="1296" spans="1:7">
      <c r="A1296" s="21"/>
      <c r="B1296" s="15"/>
      <c r="C1296" s="15"/>
      <c r="D1296" s="17"/>
      <c r="E1296" s="22">
        <f>IF($A1296="","",YEAR($A1296))</f>
        <v/>
      </c>
      <c r="F1296" s="22">
        <f>IF($A1296="","",MONTH($A1296))</f>
        <v/>
      </c>
      <c r="G1296" s="22">
        <f>IF($B1296="","",IFERROR(INDEX(ContaComp,MATCH($B1296,ContaNome,0)),"Conta inválida"))</f>
        <v/>
      </c>
    </row>
    <row r="1297" spans="1:7">
      <c r="A1297" s="21"/>
      <c r="B1297" s="15"/>
      <c r="C1297" s="15"/>
      <c r="D1297" s="17"/>
      <c r="E1297" s="22">
        <f>IF($A1297="","",YEAR($A1297))</f>
        <v/>
      </c>
      <c r="F1297" s="22">
        <f>IF($A1297="","",MONTH($A1297))</f>
        <v/>
      </c>
      <c r="G1297" s="22">
        <f>IF($B1297="","",IFERROR(INDEX(ContaComp,MATCH($B1297,ContaNome,0)),"Conta inválida"))</f>
        <v/>
      </c>
    </row>
    <row r="1298" spans="1:7">
      <c r="A1298" s="21"/>
      <c r="B1298" s="15"/>
      <c r="C1298" s="15"/>
      <c r="D1298" s="17"/>
      <c r="E1298" s="22">
        <f>IF($A1298="","",YEAR($A1298))</f>
        <v/>
      </c>
      <c r="F1298" s="22">
        <f>IF($A1298="","",MONTH($A1298))</f>
        <v/>
      </c>
      <c r="G1298" s="22">
        <f>IF($B1298="","",IFERROR(INDEX(ContaComp,MATCH($B1298,ContaNome,0)),"Conta inválida"))</f>
        <v/>
      </c>
    </row>
    <row r="1299" spans="1:7">
      <c r="A1299" s="21"/>
      <c r="B1299" s="15"/>
      <c r="C1299" s="15"/>
      <c r="D1299" s="17"/>
      <c r="E1299" s="22">
        <f>IF($A1299="","",YEAR($A1299))</f>
        <v/>
      </c>
      <c r="F1299" s="22">
        <f>IF($A1299="","",MONTH($A1299))</f>
        <v/>
      </c>
      <c r="G1299" s="22">
        <f>IF($B1299="","",IFERROR(INDEX(ContaComp,MATCH($B1299,ContaNome,0)),"Conta inválida"))</f>
        <v/>
      </c>
    </row>
    <row r="1300" spans="1:7">
      <c r="A1300" s="21"/>
      <c r="B1300" s="15"/>
      <c r="C1300" s="15"/>
      <c r="D1300" s="17"/>
      <c r="E1300" s="22">
        <f>IF($A1300="","",YEAR($A1300))</f>
        <v/>
      </c>
      <c r="F1300" s="22">
        <f>IF($A1300="","",MONTH($A1300))</f>
        <v/>
      </c>
      <c r="G1300" s="22">
        <f>IF($B1300="","",IFERROR(INDEX(ContaComp,MATCH($B1300,ContaNome,0)),"Conta inválida"))</f>
        <v/>
      </c>
    </row>
    <row r="1301" spans="1:7">
      <c r="A1301" s="21"/>
      <c r="B1301" s="15"/>
      <c r="C1301" s="15"/>
      <c r="D1301" s="17"/>
      <c r="E1301" s="22">
        <f>IF($A1301="","",YEAR($A1301))</f>
        <v/>
      </c>
      <c r="F1301" s="22">
        <f>IF($A1301="","",MONTH($A1301))</f>
        <v/>
      </c>
      <c r="G1301" s="22">
        <f>IF($B1301="","",IFERROR(INDEX(ContaComp,MATCH($B1301,ContaNome,0)),"Conta inválida"))</f>
        <v/>
      </c>
    </row>
    <row r="1302" spans="1:7">
      <c r="A1302" s="21"/>
      <c r="B1302" s="15"/>
      <c r="C1302" s="15"/>
      <c r="D1302" s="17"/>
      <c r="E1302" s="22">
        <f>IF($A1302="","",YEAR($A1302))</f>
        <v/>
      </c>
      <c r="F1302" s="22">
        <f>IF($A1302="","",MONTH($A1302))</f>
        <v/>
      </c>
      <c r="G1302" s="22">
        <f>IF($B1302="","",IFERROR(INDEX(ContaComp,MATCH($B1302,ContaNome,0)),"Conta inválida"))</f>
        <v/>
      </c>
    </row>
    <row r="1303" spans="1:7">
      <c r="A1303" s="21"/>
      <c r="B1303" s="15"/>
      <c r="C1303" s="15"/>
      <c r="D1303" s="17"/>
      <c r="E1303" s="22">
        <f>IF($A1303="","",YEAR($A1303))</f>
        <v/>
      </c>
      <c r="F1303" s="22">
        <f>IF($A1303="","",MONTH($A1303))</f>
        <v/>
      </c>
      <c r="G1303" s="22">
        <f>IF($B1303="","",IFERROR(INDEX(ContaComp,MATCH($B1303,ContaNome,0)),"Conta inválida"))</f>
        <v/>
      </c>
    </row>
    <row r="1304" spans="1:7">
      <c r="A1304" s="21"/>
      <c r="B1304" s="15"/>
      <c r="C1304" s="15"/>
      <c r="D1304" s="17"/>
      <c r="E1304" s="22">
        <f>IF($A1304="","",YEAR($A1304))</f>
        <v/>
      </c>
      <c r="F1304" s="22">
        <f>IF($A1304="","",MONTH($A1304))</f>
        <v/>
      </c>
      <c r="G1304" s="22">
        <f>IF($B1304="","",IFERROR(INDEX(ContaComp,MATCH($B1304,ContaNome,0)),"Conta inválida"))</f>
        <v/>
      </c>
    </row>
    <row r="1305" spans="1:7">
      <c r="A1305" s="21"/>
      <c r="B1305" s="15"/>
      <c r="C1305" s="15"/>
      <c r="D1305" s="17"/>
      <c r="E1305" s="22">
        <f>IF($A1305="","",YEAR($A1305))</f>
        <v/>
      </c>
      <c r="F1305" s="22">
        <f>IF($A1305="","",MONTH($A1305))</f>
        <v/>
      </c>
      <c r="G1305" s="22">
        <f>IF($B1305="","",IFERROR(INDEX(ContaComp,MATCH($B1305,ContaNome,0)),"Conta inválida"))</f>
        <v/>
      </c>
    </row>
    <row r="1306" spans="1:7">
      <c r="A1306" s="21"/>
      <c r="B1306" s="15"/>
      <c r="C1306" s="15"/>
      <c r="D1306" s="17"/>
      <c r="E1306" s="22">
        <f>IF($A1306="","",YEAR($A1306))</f>
        <v/>
      </c>
      <c r="F1306" s="22">
        <f>IF($A1306="","",MONTH($A1306))</f>
        <v/>
      </c>
      <c r="G1306" s="22">
        <f>IF($B1306="","",IFERROR(INDEX(ContaComp,MATCH($B1306,ContaNome,0)),"Conta inválida"))</f>
        <v/>
      </c>
    </row>
    <row r="1307" spans="1:7">
      <c r="A1307" s="21"/>
      <c r="B1307" s="15"/>
      <c r="C1307" s="15"/>
      <c r="D1307" s="17"/>
      <c r="E1307" s="22">
        <f>IF($A1307="","",YEAR($A1307))</f>
        <v/>
      </c>
      <c r="F1307" s="22">
        <f>IF($A1307="","",MONTH($A1307))</f>
        <v/>
      </c>
      <c r="G1307" s="22">
        <f>IF($B1307="","",IFERROR(INDEX(ContaComp,MATCH($B1307,ContaNome,0)),"Conta inválida"))</f>
        <v/>
      </c>
    </row>
    <row r="1308" spans="1:7">
      <c r="A1308" s="21"/>
      <c r="B1308" s="15"/>
      <c r="C1308" s="15"/>
      <c r="D1308" s="17"/>
      <c r="E1308" s="22">
        <f>IF($A1308="","",YEAR($A1308))</f>
        <v/>
      </c>
      <c r="F1308" s="22">
        <f>IF($A1308="","",MONTH($A1308))</f>
        <v/>
      </c>
      <c r="G1308" s="22">
        <f>IF($B1308="","",IFERROR(INDEX(ContaComp,MATCH($B1308,ContaNome,0)),"Conta inválida"))</f>
        <v/>
      </c>
    </row>
    <row r="1309" spans="1:7">
      <c r="A1309" s="21"/>
      <c r="B1309" s="15"/>
      <c r="C1309" s="15"/>
      <c r="D1309" s="17"/>
      <c r="E1309" s="22">
        <f>IF($A1309="","",YEAR($A1309))</f>
        <v/>
      </c>
      <c r="F1309" s="22">
        <f>IF($A1309="","",MONTH($A1309))</f>
        <v/>
      </c>
      <c r="G1309" s="22">
        <f>IF($B1309="","",IFERROR(INDEX(ContaComp,MATCH($B1309,ContaNome,0)),"Conta inválida"))</f>
        <v/>
      </c>
    </row>
    <row r="1310" spans="1:7">
      <c r="A1310" s="21"/>
      <c r="B1310" s="15"/>
      <c r="C1310" s="15"/>
      <c r="D1310" s="17"/>
      <c r="E1310" s="22">
        <f>IF($A1310="","",YEAR($A1310))</f>
        <v/>
      </c>
      <c r="F1310" s="22">
        <f>IF($A1310="","",MONTH($A1310))</f>
        <v/>
      </c>
      <c r="G1310" s="22">
        <f>IF($B1310="","",IFERROR(INDEX(ContaComp,MATCH($B1310,ContaNome,0)),"Conta inválida"))</f>
        <v/>
      </c>
    </row>
    <row r="1311" spans="1:7">
      <c r="A1311" s="21"/>
      <c r="B1311" s="15"/>
      <c r="C1311" s="15"/>
      <c r="D1311" s="17"/>
      <c r="E1311" s="22">
        <f>IF($A1311="","",YEAR($A1311))</f>
        <v/>
      </c>
      <c r="F1311" s="22">
        <f>IF($A1311="","",MONTH($A1311))</f>
        <v/>
      </c>
      <c r="G1311" s="22">
        <f>IF($B1311="","",IFERROR(INDEX(ContaComp,MATCH($B1311,ContaNome,0)),"Conta inválida"))</f>
        <v/>
      </c>
    </row>
    <row r="1312" spans="1:7">
      <c r="A1312" s="21"/>
      <c r="B1312" s="15"/>
      <c r="C1312" s="15"/>
      <c r="D1312" s="17"/>
      <c r="E1312" s="22">
        <f>IF($A1312="","",YEAR($A1312))</f>
        <v/>
      </c>
      <c r="F1312" s="22">
        <f>IF($A1312="","",MONTH($A1312))</f>
        <v/>
      </c>
      <c r="G1312" s="22">
        <f>IF($B1312="","",IFERROR(INDEX(ContaComp,MATCH($B1312,ContaNome,0)),"Conta inválida"))</f>
        <v/>
      </c>
    </row>
    <row r="1313" spans="1:7">
      <c r="A1313" s="21"/>
      <c r="B1313" s="15"/>
      <c r="C1313" s="15"/>
      <c r="D1313" s="17"/>
      <c r="E1313" s="22">
        <f>IF($A1313="","",YEAR($A1313))</f>
        <v/>
      </c>
      <c r="F1313" s="22">
        <f>IF($A1313="","",MONTH($A1313))</f>
        <v/>
      </c>
      <c r="G1313" s="22">
        <f>IF($B1313="","",IFERROR(INDEX(ContaComp,MATCH($B1313,ContaNome,0)),"Conta inválida"))</f>
        <v/>
      </c>
    </row>
    <row r="1314" spans="1:7">
      <c r="A1314" s="21"/>
      <c r="B1314" s="15"/>
      <c r="C1314" s="15"/>
      <c r="D1314" s="17"/>
      <c r="E1314" s="22">
        <f>IF($A1314="","",YEAR($A1314))</f>
        <v/>
      </c>
      <c r="F1314" s="22">
        <f>IF($A1314="","",MONTH($A1314))</f>
        <v/>
      </c>
      <c r="G1314" s="22">
        <f>IF($B1314="","",IFERROR(INDEX(ContaComp,MATCH($B1314,ContaNome,0)),"Conta inválida"))</f>
        <v/>
      </c>
    </row>
    <row r="1315" spans="1:7">
      <c r="A1315" s="21"/>
      <c r="B1315" s="15"/>
      <c r="C1315" s="15"/>
      <c r="D1315" s="17"/>
      <c r="E1315" s="22">
        <f>IF($A1315="","",YEAR($A1315))</f>
        <v/>
      </c>
      <c r="F1315" s="22">
        <f>IF($A1315="","",MONTH($A1315))</f>
        <v/>
      </c>
      <c r="G1315" s="22">
        <f>IF($B1315="","",IFERROR(INDEX(ContaComp,MATCH($B1315,ContaNome,0)),"Conta inválida"))</f>
        <v/>
      </c>
    </row>
    <row r="1316" spans="1:7">
      <c r="A1316" s="21"/>
      <c r="B1316" s="15"/>
      <c r="C1316" s="15"/>
      <c r="D1316" s="17"/>
      <c r="E1316" s="22">
        <f>IF($A1316="","",YEAR($A1316))</f>
        <v/>
      </c>
      <c r="F1316" s="22">
        <f>IF($A1316="","",MONTH($A1316))</f>
        <v/>
      </c>
      <c r="G1316" s="22">
        <f>IF($B1316="","",IFERROR(INDEX(ContaComp,MATCH($B1316,ContaNome,0)),"Conta inválida"))</f>
        <v/>
      </c>
    </row>
    <row r="1317" spans="1:7">
      <c r="A1317" s="21"/>
      <c r="B1317" s="15"/>
      <c r="C1317" s="15"/>
      <c r="D1317" s="17"/>
      <c r="E1317" s="22">
        <f>IF($A1317="","",YEAR($A1317))</f>
        <v/>
      </c>
      <c r="F1317" s="22">
        <f>IF($A1317="","",MONTH($A1317))</f>
        <v/>
      </c>
      <c r="G1317" s="22">
        <f>IF($B1317="","",IFERROR(INDEX(ContaComp,MATCH($B1317,ContaNome,0)),"Conta inválida"))</f>
        <v/>
      </c>
    </row>
    <row r="1318" spans="1:7">
      <c r="A1318" s="21"/>
      <c r="B1318" s="15"/>
      <c r="C1318" s="15"/>
      <c r="D1318" s="17"/>
      <c r="E1318" s="22">
        <f>IF($A1318="","",YEAR($A1318))</f>
        <v/>
      </c>
      <c r="F1318" s="22">
        <f>IF($A1318="","",MONTH($A1318))</f>
        <v/>
      </c>
      <c r="G1318" s="22">
        <f>IF($B1318="","",IFERROR(INDEX(ContaComp,MATCH($B1318,ContaNome,0)),"Conta inválida"))</f>
        <v/>
      </c>
    </row>
    <row r="1319" spans="1:7">
      <c r="A1319" s="21"/>
      <c r="B1319" s="15"/>
      <c r="C1319" s="15"/>
      <c r="D1319" s="17"/>
      <c r="E1319" s="22">
        <f>IF($A1319="","",YEAR($A1319))</f>
        <v/>
      </c>
      <c r="F1319" s="22">
        <f>IF($A1319="","",MONTH($A1319))</f>
        <v/>
      </c>
      <c r="G1319" s="22">
        <f>IF($B1319="","",IFERROR(INDEX(ContaComp,MATCH($B1319,ContaNome,0)),"Conta inválida"))</f>
        <v/>
      </c>
    </row>
    <row r="1320" spans="1:7">
      <c r="A1320" s="21"/>
      <c r="B1320" s="15"/>
      <c r="C1320" s="15"/>
      <c r="D1320" s="17"/>
      <c r="E1320" s="22">
        <f>IF($A1320="","",YEAR($A1320))</f>
        <v/>
      </c>
      <c r="F1320" s="22">
        <f>IF($A1320="","",MONTH($A1320))</f>
        <v/>
      </c>
      <c r="G1320" s="22">
        <f>IF($B1320="","",IFERROR(INDEX(ContaComp,MATCH($B1320,ContaNome,0)),"Conta inválida"))</f>
        <v/>
      </c>
    </row>
    <row r="1321" spans="1:7">
      <c r="A1321" s="21"/>
      <c r="B1321" s="15"/>
      <c r="C1321" s="15"/>
      <c r="D1321" s="17"/>
      <c r="E1321" s="22">
        <f>IF($A1321="","",YEAR($A1321))</f>
        <v/>
      </c>
      <c r="F1321" s="22">
        <f>IF($A1321="","",MONTH($A1321))</f>
        <v/>
      </c>
      <c r="G1321" s="22">
        <f>IF($B1321="","",IFERROR(INDEX(ContaComp,MATCH($B1321,ContaNome,0)),"Conta inválida"))</f>
        <v/>
      </c>
    </row>
    <row r="1322" spans="1:7">
      <c r="A1322" s="21"/>
      <c r="B1322" s="15"/>
      <c r="C1322" s="15"/>
      <c r="D1322" s="17"/>
      <c r="E1322" s="22">
        <f>IF($A1322="","",YEAR($A1322))</f>
        <v/>
      </c>
      <c r="F1322" s="22">
        <f>IF($A1322="","",MONTH($A1322))</f>
        <v/>
      </c>
      <c r="G1322" s="22">
        <f>IF($B1322="","",IFERROR(INDEX(ContaComp,MATCH($B1322,ContaNome,0)),"Conta inválida"))</f>
        <v/>
      </c>
    </row>
    <row r="1323" spans="1:7">
      <c r="A1323" s="21"/>
      <c r="B1323" s="15"/>
      <c r="C1323" s="15"/>
      <c r="D1323" s="17"/>
      <c r="E1323" s="22">
        <f>IF($A1323="","",YEAR($A1323))</f>
        <v/>
      </c>
      <c r="F1323" s="22">
        <f>IF($A1323="","",MONTH($A1323))</f>
        <v/>
      </c>
      <c r="G1323" s="22">
        <f>IF($B1323="","",IFERROR(INDEX(ContaComp,MATCH($B1323,ContaNome,0)),"Conta inválida"))</f>
        <v/>
      </c>
    </row>
    <row r="1324" spans="1:7">
      <c r="A1324" s="21"/>
      <c r="B1324" s="15"/>
      <c r="C1324" s="15"/>
      <c r="D1324" s="17"/>
      <c r="E1324" s="22">
        <f>IF($A1324="","",YEAR($A1324))</f>
        <v/>
      </c>
      <c r="F1324" s="22">
        <f>IF($A1324="","",MONTH($A1324))</f>
        <v/>
      </c>
      <c r="G1324" s="22">
        <f>IF($B1324="","",IFERROR(INDEX(ContaComp,MATCH($B1324,ContaNome,0)),"Conta inválida"))</f>
        <v/>
      </c>
    </row>
    <row r="1325" spans="1:7">
      <c r="A1325" s="21"/>
      <c r="B1325" s="15"/>
      <c r="C1325" s="15"/>
      <c r="D1325" s="17"/>
      <c r="E1325" s="22">
        <f>IF($A1325="","",YEAR($A1325))</f>
        <v/>
      </c>
      <c r="F1325" s="22">
        <f>IF($A1325="","",MONTH($A1325))</f>
        <v/>
      </c>
      <c r="G1325" s="22">
        <f>IF($B1325="","",IFERROR(INDEX(ContaComp,MATCH($B1325,ContaNome,0)),"Conta inválida"))</f>
        <v/>
      </c>
    </row>
    <row r="1326" spans="1:7">
      <c r="A1326" s="21"/>
      <c r="B1326" s="15"/>
      <c r="C1326" s="15"/>
      <c r="D1326" s="17"/>
      <c r="E1326" s="22">
        <f>IF($A1326="","",YEAR($A1326))</f>
        <v/>
      </c>
      <c r="F1326" s="22">
        <f>IF($A1326="","",MONTH($A1326))</f>
        <v/>
      </c>
      <c r="G1326" s="22">
        <f>IF($B1326="","",IFERROR(INDEX(ContaComp,MATCH($B1326,ContaNome,0)),"Conta inválida"))</f>
        <v/>
      </c>
    </row>
    <row r="1327" spans="1:7">
      <c r="A1327" s="21"/>
      <c r="B1327" s="15"/>
      <c r="C1327" s="15"/>
      <c r="D1327" s="17"/>
      <c r="E1327" s="22">
        <f>IF($A1327="","",YEAR($A1327))</f>
        <v/>
      </c>
      <c r="F1327" s="22">
        <f>IF($A1327="","",MONTH($A1327))</f>
        <v/>
      </c>
      <c r="G1327" s="22">
        <f>IF($B1327="","",IFERROR(INDEX(ContaComp,MATCH($B1327,ContaNome,0)),"Conta inválida"))</f>
        <v/>
      </c>
    </row>
    <row r="1328" spans="1:7">
      <c r="A1328" s="21"/>
      <c r="B1328" s="15"/>
      <c r="C1328" s="15"/>
      <c r="D1328" s="17"/>
      <c r="E1328" s="22">
        <f>IF($A1328="","",YEAR($A1328))</f>
        <v/>
      </c>
      <c r="F1328" s="22">
        <f>IF($A1328="","",MONTH($A1328))</f>
        <v/>
      </c>
      <c r="G1328" s="22">
        <f>IF($B1328="","",IFERROR(INDEX(ContaComp,MATCH($B1328,ContaNome,0)),"Conta inválida"))</f>
        <v/>
      </c>
    </row>
    <row r="1329" spans="1:7">
      <c r="A1329" s="21"/>
      <c r="B1329" s="15"/>
      <c r="C1329" s="15"/>
      <c r="D1329" s="17"/>
      <c r="E1329" s="22">
        <f>IF($A1329="","",YEAR($A1329))</f>
        <v/>
      </c>
      <c r="F1329" s="22">
        <f>IF($A1329="","",MONTH($A1329))</f>
        <v/>
      </c>
      <c r="G1329" s="22">
        <f>IF($B1329="","",IFERROR(INDEX(ContaComp,MATCH($B1329,ContaNome,0)),"Conta inválida"))</f>
        <v/>
      </c>
    </row>
    <row r="1330" spans="1:7">
      <c r="A1330" s="21"/>
      <c r="B1330" s="15"/>
      <c r="C1330" s="15"/>
      <c r="D1330" s="17"/>
      <c r="E1330" s="22">
        <f>IF($A1330="","",YEAR($A1330))</f>
        <v/>
      </c>
      <c r="F1330" s="22">
        <f>IF($A1330="","",MONTH($A1330))</f>
        <v/>
      </c>
      <c r="G1330" s="22">
        <f>IF($B1330="","",IFERROR(INDEX(ContaComp,MATCH($B1330,ContaNome,0)),"Conta inválida"))</f>
        <v/>
      </c>
    </row>
    <row r="1331" spans="1:7">
      <c r="A1331" s="21"/>
      <c r="B1331" s="15"/>
      <c r="C1331" s="15"/>
      <c r="D1331" s="17"/>
      <c r="E1331" s="22">
        <f>IF($A1331="","",YEAR($A1331))</f>
        <v/>
      </c>
      <c r="F1331" s="22">
        <f>IF($A1331="","",MONTH($A1331))</f>
        <v/>
      </c>
      <c r="G1331" s="22">
        <f>IF($B1331="","",IFERROR(INDEX(ContaComp,MATCH($B1331,ContaNome,0)),"Conta inválida"))</f>
        <v/>
      </c>
    </row>
    <row r="1332" spans="1:7">
      <c r="A1332" s="21"/>
      <c r="B1332" s="15"/>
      <c r="C1332" s="15"/>
      <c r="D1332" s="17"/>
      <c r="E1332" s="22">
        <f>IF($A1332="","",YEAR($A1332))</f>
        <v/>
      </c>
      <c r="F1332" s="22">
        <f>IF($A1332="","",MONTH($A1332))</f>
        <v/>
      </c>
      <c r="G1332" s="22">
        <f>IF($B1332="","",IFERROR(INDEX(ContaComp,MATCH($B1332,ContaNome,0)),"Conta inválida"))</f>
        <v/>
      </c>
    </row>
    <row r="1333" spans="1:7">
      <c r="A1333" s="21"/>
      <c r="B1333" s="15"/>
      <c r="C1333" s="15"/>
      <c r="D1333" s="17"/>
      <c r="E1333" s="22">
        <f>IF($A1333="","",YEAR($A1333))</f>
        <v/>
      </c>
      <c r="F1333" s="22">
        <f>IF($A1333="","",MONTH($A1333))</f>
        <v/>
      </c>
      <c r="G1333" s="22">
        <f>IF($B1333="","",IFERROR(INDEX(ContaComp,MATCH($B1333,ContaNome,0)),"Conta inválida"))</f>
        <v/>
      </c>
    </row>
    <row r="1334" spans="1:7">
      <c r="A1334" s="21"/>
      <c r="B1334" s="15"/>
      <c r="C1334" s="15"/>
      <c r="D1334" s="17"/>
      <c r="E1334" s="22">
        <f>IF($A1334="","",YEAR($A1334))</f>
        <v/>
      </c>
      <c r="F1334" s="22">
        <f>IF($A1334="","",MONTH($A1334))</f>
        <v/>
      </c>
      <c r="G1334" s="22">
        <f>IF($B1334="","",IFERROR(INDEX(ContaComp,MATCH($B1334,ContaNome,0)),"Conta inválida"))</f>
        <v/>
      </c>
    </row>
    <row r="1335" spans="1:7">
      <c r="A1335" s="21"/>
      <c r="B1335" s="15"/>
      <c r="C1335" s="15"/>
      <c r="D1335" s="17"/>
      <c r="E1335" s="22">
        <f>IF($A1335="","",YEAR($A1335))</f>
        <v/>
      </c>
      <c r="F1335" s="22">
        <f>IF($A1335="","",MONTH($A1335))</f>
        <v/>
      </c>
      <c r="G1335" s="22">
        <f>IF($B1335="","",IFERROR(INDEX(ContaComp,MATCH($B1335,ContaNome,0)),"Conta inválida"))</f>
        <v/>
      </c>
    </row>
    <row r="1336" spans="1:7">
      <c r="A1336" s="21"/>
      <c r="B1336" s="15"/>
      <c r="C1336" s="15"/>
      <c r="D1336" s="17"/>
      <c r="E1336" s="22">
        <f>IF($A1336="","",YEAR($A1336))</f>
        <v/>
      </c>
      <c r="F1336" s="22">
        <f>IF($A1336="","",MONTH($A1336))</f>
        <v/>
      </c>
      <c r="G1336" s="22">
        <f>IF($B1336="","",IFERROR(INDEX(ContaComp,MATCH($B1336,ContaNome,0)),"Conta inválida"))</f>
        <v/>
      </c>
    </row>
    <row r="1337" spans="1:7">
      <c r="A1337" s="21"/>
      <c r="B1337" s="15"/>
      <c r="C1337" s="15"/>
      <c r="D1337" s="17"/>
      <c r="E1337" s="22">
        <f>IF($A1337="","",YEAR($A1337))</f>
        <v/>
      </c>
      <c r="F1337" s="22">
        <f>IF($A1337="","",MONTH($A1337))</f>
        <v/>
      </c>
      <c r="G1337" s="22">
        <f>IF($B1337="","",IFERROR(INDEX(ContaComp,MATCH($B1337,ContaNome,0)),"Conta inválida"))</f>
        <v/>
      </c>
    </row>
    <row r="1338" spans="1:7">
      <c r="A1338" s="21"/>
      <c r="B1338" s="15"/>
      <c r="C1338" s="15"/>
      <c r="D1338" s="17"/>
      <c r="E1338" s="22">
        <f>IF($A1338="","",YEAR($A1338))</f>
        <v/>
      </c>
      <c r="F1338" s="22">
        <f>IF($A1338="","",MONTH($A1338))</f>
        <v/>
      </c>
      <c r="G1338" s="22">
        <f>IF($B1338="","",IFERROR(INDEX(ContaComp,MATCH($B1338,ContaNome,0)),"Conta inválida"))</f>
        <v/>
      </c>
    </row>
    <row r="1339" spans="1:7">
      <c r="A1339" s="21"/>
      <c r="B1339" s="15"/>
      <c r="C1339" s="15"/>
      <c r="D1339" s="17"/>
      <c r="E1339" s="22">
        <f>IF($A1339="","",YEAR($A1339))</f>
        <v/>
      </c>
      <c r="F1339" s="22">
        <f>IF($A1339="","",MONTH($A1339))</f>
        <v/>
      </c>
      <c r="G1339" s="22">
        <f>IF($B1339="","",IFERROR(INDEX(ContaComp,MATCH($B1339,ContaNome,0)),"Conta inválida"))</f>
        <v/>
      </c>
    </row>
    <row r="1340" spans="1:7">
      <c r="A1340" s="21"/>
      <c r="B1340" s="15"/>
      <c r="C1340" s="15"/>
      <c r="D1340" s="17"/>
      <c r="E1340" s="22">
        <f>IF($A1340="","",YEAR($A1340))</f>
        <v/>
      </c>
      <c r="F1340" s="22">
        <f>IF($A1340="","",MONTH($A1340))</f>
        <v/>
      </c>
      <c r="G1340" s="22">
        <f>IF($B1340="","",IFERROR(INDEX(ContaComp,MATCH($B1340,ContaNome,0)),"Conta inválida"))</f>
        <v/>
      </c>
    </row>
    <row r="1341" spans="1:7">
      <c r="A1341" s="21"/>
      <c r="B1341" s="15"/>
      <c r="C1341" s="15"/>
      <c r="D1341" s="17"/>
      <c r="E1341" s="22">
        <f>IF($A1341="","",YEAR($A1341))</f>
        <v/>
      </c>
      <c r="F1341" s="22">
        <f>IF($A1341="","",MONTH($A1341))</f>
        <v/>
      </c>
      <c r="G1341" s="22">
        <f>IF($B1341="","",IFERROR(INDEX(ContaComp,MATCH($B1341,ContaNome,0)),"Conta inválida"))</f>
        <v/>
      </c>
    </row>
    <row r="1342" spans="1:7">
      <c r="A1342" s="21"/>
      <c r="B1342" s="15"/>
      <c r="C1342" s="15"/>
      <c r="D1342" s="17"/>
      <c r="E1342" s="22">
        <f>IF($A1342="","",YEAR($A1342))</f>
        <v/>
      </c>
      <c r="F1342" s="22">
        <f>IF($A1342="","",MONTH($A1342))</f>
        <v/>
      </c>
      <c r="G1342" s="22">
        <f>IF($B1342="","",IFERROR(INDEX(ContaComp,MATCH($B1342,ContaNome,0)),"Conta inválida"))</f>
        <v/>
      </c>
    </row>
    <row r="1343" spans="1:7">
      <c r="A1343" s="21"/>
      <c r="B1343" s="15"/>
      <c r="C1343" s="15"/>
      <c r="D1343" s="17"/>
      <c r="E1343" s="22">
        <f>IF($A1343="","",YEAR($A1343))</f>
        <v/>
      </c>
      <c r="F1343" s="22">
        <f>IF($A1343="","",MONTH($A1343))</f>
        <v/>
      </c>
      <c r="G1343" s="22">
        <f>IF($B1343="","",IFERROR(INDEX(ContaComp,MATCH($B1343,ContaNome,0)),"Conta inválida"))</f>
        <v/>
      </c>
    </row>
    <row r="1344" spans="1:7">
      <c r="A1344" s="21"/>
      <c r="B1344" s="15"/>
      <c r="C1344" s="15"/>
      <c r="D1344" s="17"/>
      <c r="E1344" s="22">
        <f>IF($A1344="","",YEAR($A1344))</f>
        <v/>
      </c>
      <c r="F1344" s="22">
        <f>IF($A1344="","",MONTH($A1344))</f>
        <v/>
      </c>
      <c r="G1344" s="22">
        <f>IF($B1344="","",IFERROR(INDEX(ContaComp,MATCH($B1344,ContaNome,0)),"Conta inválida"))</f>
        <v/>
      </c>
    </row>
    <row r="1345" spans="1:7">
      <c r="A1345" s="21"/>
      <c r="B1345" s="15"/>
      <c r="C1345" s="15"/>
      <c r="D1345" s="17"/>
      <c r="E1345" s="22">
        <f>IF($A1345="","",YEAR($A1345))</f>
        <v/>
      </c>
      <c r="F1345" s="22">
        <f>IF($A1345="","",MONTH($A1345))</f>
        <v/>
      </c>
      <c r="G1345" s="22">
        <f>IF($B1345="","",IFERROR(INDEX(ContaComp,MATCH($B1345,ContaNome,0)),"Conta inválida"))</f>
        <v/>
      </c>
    </row>
    <row r="1346" spans="1:7">
      <c r="A1346" s="21"/>
      <c r="B1346" s="15"/>
      <c r="C1346" s="15"/>
      <c r="D1346" s="17"/>
      <c r="E1346" s="22">
        <f>IF($A1346="","",YEAR($A1346))</f>
        <v/>
      </c>
      <c r="F1346" s="22">
        <f>IF($A1346="","",MONTH($A1346))</f>
        <v/>
      </c>
      <c r="G1346" s="22">
        <f>IF($B1346="","",IFERROR(INDEX(ContaComp,MATCH($B1346,ContaNome,0)),"Conta inválida"))</f>
        <v/>
      </c>
    </row>
    <row r="1347" spans="1:7">
      <c r="A1347" s="21"/>
      <c r="B1347" s="15"/>
      <c r="C1347" s="15"/>
      <c r="D1347" s="17"/>
      <c r="E1347" s="22">
        <f>IF($A1347="","",YEAR($A1347))</f>
        <v/>
      </c>
      <c r="F1347" s="22">
        <f>IF($A1347="","",MONTH($A1347))</f>
        <v/>
      </c>
      <c r="G1347" s="22">
        <f>IF($B1347="","",IFERROR(INDEX(ContaComp,MATCH($B1347,ContaNome,0)),"Conta inválida"))</f>
        <v/>
      </c>
    </row>
    <row r="1348" spans="1:7">
      <c r="A1348" s="21"/>
      <c r="B1348" s="15"/>
      <c r="C1348" s="15"/>
      <c r="D1348" s="17"/>
      <c r="E1348" s="22">
        <f>IF($A1348="","",YEAR($A1348))</f>
        <v/>
      </c>
      <c r="F1348" s="22">
        <f>IF($A1348="","",MONTH($A1348))</f>
        <v/>
      </c>
      <c r="G1348" s="22">
        <f>IF($B1348="","",IFERROR(INDEX(ContaComp,MATCH($B1348,ContaNome,0)),"Conta inválida"))</f>
        <v/>
      </c>
    </row>
    <row r="1349" spans="1:7">
      <c r="A1349" s="21"/>
      <c r="B1349" s="15"/>
      <c r="C1349" s="15"/>
      <c r="D1349" s="17"/>
      <c r="E1349" s="22">
        <f>IF($A1349="","",YEAR($A1349))</f>
        <v/>
      </c>
      <c r="F1349" s="22">
        <f>IF($A1349="","",MONTH($A1349))</f>
        <v/>
      </c>
      <c r="G1349" s="22">
        <f>IF($B1349="","",IFERROR(INDEX(ContaComp,MATCH($B1349,ContaNome,0)),"Conta inválida"))</f>
        <v/>
      </c>
    </row>
    <row r="1350" spans="1:7">
      <c r="A1350" s="21"/>
      <c r="B1350" s="15"/>
      <c r="C1350" s="15"/>
      <c r="D1350" s="17"/>
      <c r="E1350" s="22">
        <f>IF($A1350="","",YEAR($A1350))</f>
        <v/>
      </c>
      <c r="F1350" s="22">
        <f>IF($A1350="","",MONTH($A1350))</f>
        <v/>
      </c>
      <c r="G1350" s="22">
        <f>IF($B1350="","",IFERROR(INDEX(ContaComp,MATCH($B1350,ContaNome,0)),"Conta inválida"))</f>
        <v/>
      </c>
    </row>
    <row r="1351" spans="1:7">
      <c r="A1351" s="21"/>
      <c r="B1351" s="15"/>
      <c r="C1351" s="15"/>
      <c r="D1351" s="17"/>
      <c r="E1351" s="22">
        <f>IF($A1351="","",YEAR($A1351))</f>
        <v/>
      </c>
      <c r="F1351" s="22">
        <f>IF($A1351="","",MONTH($A1351))</f>
        <v/>
      </c>
      <c r="G1351" s="22">
        <f>IF($B1351="","",IFERROR(INDEX(ContaComp,MATCH($B1351,ContaNome,0)),"Conta inválida"))</f>
        <v/>
      </c>
    </row>
    <row r="1352" spans="1:7">
      <c r="A1352" s="21"/>
      <c r="B1352" s="15"/>
      <c r="C1352" s="15"/>
      <c r="D1352" s="17"/>
      <c r="E1352" s="22">
        <f>IF($A1352="","",YEAR($A1352))</f>
        <v/>
      </c>
      <c r="F1352" s="22">
        <f>IF($A1352="","",MONTH($A1352))</f>
        <v/>
      </c>
      <c r="G1352" s="22">
        <f>IF($B1352="","",IFERROR(INDEX(ContaComp,MATCH($B1352,ContaNome,0)),"Conta inválida"))</f>
        <v/>
      </c>
    </row>
    <row r="1353" spans="1:7">
      <c r="A1353" s="21"/>
      <c r="B1353" s="15"/>
      <c r="C1353" s="15"/>
      <c r="D1353" s="17"/>
      <c r="E1353" s="22">
        <f>IF($A1353="","",YEAR($A1353))</f>
        <v/>
      </c>
      <c r="F1353" s="22">
        <f>IF($A1353="","",MONTH($A1353))</f>
        <v/>
      </c>
      <c r="G1353" s="22">
        <f>IF($B1353="","",IFERROR(INDEX(ContaComp,MATCH($B1353,ContaNome,0)),"Conta inválida"))</f>
        <v/>
      </c>
    </row>
    <row r="1354" spans="1:7">
      <c r="A1354" s="21"/>
      <c r="B1354" s="15"/>
      <c r="C1354" s="15"/>
      <c r="D1354" s="17"/>
      <c r="E1354" s="22">
        <f>IF($A1354="","",YEAR($A1354))</f>
        <v/>
      </c>
      <c r="F1354" s="22">
        <f>IF($A1354="","",MONTH($A1354))</f>
        <v/>
      </c>
      <c r="G1354" s="22">
        <f>IF($B1354="","",IFERROR(INDEX(ContaComp,MATCH($B1354,ContaNome,0)),"Conta inválida"))</f>
        <v/>
      </c>
    </row>
    <row r="1355" spans="1:7">
      <c r="A1355" s="21"/>
      <c r="B1355" s="15"/>
      <c r="C1355" s="15"/>
      <c r="D1355" s="17"/>
      <c r="E1355" s="22">
        <f>IF($A1355="","",YEAR($A1355))</f>
        <v/>
      </c>
      <c r="F1355" s="22">
        <f>IF($A1355="","",MONTH($A1355))</f>
        <v/>
      </c>
      <c r="G1355" s="22">
        <f>IF($B1355="","",IFERROR(INDEX(ContaComp,MATCH($B1355,ContaNome,0)),"Conta inválida"))</f>
        <v/>
      </c>
    </row>
    <row r="1356" spans="1:7">
      <c r="A1356" s="21"/>
      <c r="B1356" s="15"/>
      <c r="C1356" s="15"/>
      <c r="D1356" s="17"/>
      <c r="E1356" s="22">
        <f>IF($A1356="","",YEAR($A1356))</f>
        <v/>
      </c>
      <c r="F1356" s="22">
        <f>IF($A1356="","",MONTH($A1356))</f>
        <v/>
      </c>
      <c r="G1356" s="22">
        <f>IF($B1356="","",IFERROR(INDEX(ContaComp,MATCH($B1356,ContaNome,0)),"Conta inválida"))</f>
        <v/>
      </c>
    </row>
    <row r="1357" spans="1:7">
      <c r="A1357" s="21"/>
      <c r="B1357" s="15"/>
      <c r="C1357" s="15"/>
      <c r="D1357" s="17"/>
      <c r="E1357" s="22">
        <f>IF($A1357="","",YEAR($A1357))</f>
        <v/>
      </c>
      <c r="F1357" s="22">
        <f>IF($A1357="","",MONTH($A1357))</f>
        <v/>
      </c>
      <c r="G1357" s="22">
        <f>IF($B1357="","",IFERROR(INDEX(ContaComp,MATCH($B1357,ContaNome,0)),"Conta inválida"))</f>
        <v/>
      </c>
    </row>
    <row r="1358" spans="1:7">
      <c r="A1358" s="21"/>
      <c r="B1358" s="15"/>
      <c r="C1358" s="15"/>
      <c r="D1358" s="17"/>
      <c r="E1358" s="22">
        <f>IF($A1358="","",YEAR($A1358))</f>
        <v/>
      </c>
      <c r="F1358" s="22">
        <f>IF($A1358="","",MONTH($A1358))</f>
        <v/>
      </c>
      <c r="G1358" s="22">
        <f>IF($B1358="","",IFERROR(INDEX(ContaComp,MATCH($B1358,ContaNome,0)),"Conta inválida"))</f>
        <v/>
      </c>
    </row>
    <row r="1359" spans="1:7">
      <c r="A1359" s="21"/>
      <c r="B1359" s="15"/>
      <c r="C1359" s="15"/>
      <c r="D1359" s="17"/>
      <c r="E1359" s="22">
        <f>IF($A1359="","",YEAR($A1359))</f>
        <v/>
      </c>
      <c r="F1359" s="22">
        <f>IF($A1359="","",MONTH($A1359))</f>
        <v/>
      </c>
      <c r="G1359" s="22">
        <f>IF($B1359="","",IFERROR(INDEX(ContaComp,MATCH($B1359,ContaNome,0)),"Conta inválida"))</f>
        <v/>
      </c>
    </row>
    <row r="1360" spans="1:7">
      <c r="A1360" s="21"/>
      <c r="B1360" s="15"/>
      <c r="C1360" s="15"/>
      <c r="D1360" s="17"/>
      <c r="E1360" s="22">
        <f>IF($A1360="","",YEAR($A1360))</f>
        <v/>
      </c>
      <c r="F1360" s="22">
        <f>IF($A1360="","",MONTH($A1360))</f>
        <v/>
      </c>
      <c r="G1360" s="22">
        <f>IF($B1360="","",IFERROR(INDEX(ContaComp,MATCH($B1360,ContaNome,0)),"Conta inválida"))</f>
        <v/>
      </c>
    </row>
    <row r="1361" spans="1:7">
      <c r="A1361" s="21"/>
      <c r="B1361" s="15"/>
      <c r="C1361" s="15"/>
      <c r="D1361" s="17"/>
      <c r="E1361" s="22">
        <f>IF($A1361="","",YEAR($A1361))</f>
        <v/>
      </c>
      <c r="F1361" s="22">
        <f>IF($A1361="","",MONTH($A1361))</f>
        <v/>
      </c>
      <c r="G1361" s="22">
        <f>IF($B1361="","",IFERROR(INDEX(ContaComp,MATCH($B1361,ContaNome,0)),"Conta inválida"))</f>
        <v/>
      </c>
    </row>
    <row r="1362" spans="1:7">
      <c r="A1362" s="21"/>
      <c r="B1362" s="15"/>
      <c r="C1362" s="15"/>
      <c r="D1362" s="17"/>
      <c r="E1362" s="22">
        <f>IF($A1362="","",YEAR($A1362))</f>
        <v/>
      </c>
      <c r="F1362" s="22">
        <f>IF($A1362="","",MONTH($A1362))</f>
        <v/>
      </c>
      <c r="G1362" s="22">
        <f>IF($B1362="","",IFERROR(INDEX(ContaComp,MATCH($B1362,ContaNome,0)),"Conta inválida"))</f>
        <v/>
      </c>
    </row>
    <row r="1363" spans="1:7">
      <c r="A1363" s="21"/>
      <c r="B1363" s="15"/>
      <c r="C1363" s="15"/>
      <c r="D1363" s="17"/>
      <c r="E1363" s="22">
        <f>IF($A1363="","",YEAR($A1363))</f>
        <v/>
      </c>
      <c r="F1363" s="22">
        <f>IF($A1363="","",MONTH($A1363))</f>
        <v/>
      </c>
      <c r="G1363" s="22">
        <f>IF($B1363="","",IFERROR(INDEX(ContaComp,MATCH($B1363,ContaNome,0)),"Conta inválida"))</f>
        <v/>
      </c>
    </row>
    <row r="1364" spans="1:7">
      <c r="A1364" s="21"/>
      <c r="B1364" s="15"/>
      <c r="C1364" s="15"/>
      <c r="D1364" s="17"/>
      <c r="E1364" s="22">
        <f>IF($A1364="","",YEAR($A1364))</f>
        <v/>
      </c>
      <c r="F1364" s="22">
        <f>IF($A1364="","",MONTH($A1364))</f>
        <v/>
      </c>
      <c r="G1364" s="22">
        <f>IF($B1364="","",IFERROR(INDEX(ContaComp,MATCH($B1364,ContaNome,0)),"Conta inválida"))</f>
        <v/>
      </c>
    </row>
    <row r="1365" spans="1:7">
      <c r="A1365" s="21"/>
      <c r="B1365" s="15"/>
      <c r="C1365" s="15"/>
      <c r="D1365" s="17"/>
      <c r="E1365" s="22">
        <f>IF($A1365="","",YEAR($A1365))</f>
        <v/>
      </c>
      <c r="F1365" s="22">
        <f>IF($A1365="","",MONTH($A1365))</f>
        <v/>
      </c>
      <c r="G1365" s="22">
        <f>IF($B1365="","",IFERROR(INDEX(ContaComp,MATCH($B1365,ContaNome,0)),"Conta inválida"))</f>
        <v/>
      </c>
    </row>
    <row r="1366" spans="1:7">
      <c r="A1366" s="21"/>
      <c r="B1366" s="15"/>
      <c r="C1366" s="15"/>
      <c r="D1366" s="17"/>
      <c r="E1366" s="22">
        <f>IF($A1366="","",YEAR($A1366))</f>
        <v/>
      </c>
      <c r="F1366" s="22">
        <f>IF($A1366="","",MONTH($A1366))</f>
        <v/>
      </c>
      <c r="G1366" s="22">
        <f>IF($B1366="","",IFERROR(INDEX(ContaComp,MATCH($B1366,ContaNome,0)),"Conta inválida"))</f>
        <v/>
      </c>
    </row>
    <row r="1367" spans="1:7">
      <c r="A1367" s="21"/>
      <c r="B1367" s="15"/>
      <c r="C1367" s="15"/>
      <c r="D1367" s="17"/>
      <c r="E1367" s="22">
        <f>IF($A1367="","",YEAR($A1367))</f>
        <v/>
      </c>
      <c r="F1367" s="22">
        <f>IF($A1367="","",MONTH($A1367))</f>
        <v/>
      </c>
      <c r="G1367" s="22">
        <f>IF($B1367="","",IFERROR(INDEX(ContaComp,MATCH($B1367,ContaNome,0)),"Conta inválida"))</f>
        <v/>
      </c>
    </row>
    <row r="1368" spans="1:7">
      <c r="A1368" s="21"/>
      <c r="B1368" s="15"/>
      <c r="C1368" s="15"/>
      <c r="D1368" s="17"/>
      <c r="E1368" s="22">
        <f>IF($A1368="","",YEAR($A1368))</f>
        <v/>
      </c>
      <c r="F1368" s="22">
        <f>IF($A1368="","",MONTH($A1368))</f>
        <v/>
      </c>
      <c r="G1368" s="22">
        <f>IF($B1368="","",IFERROR(INDEX(ContaComp,MATCH($B1368,ContaNome,0)),"Conta inválida"))</f>
        <v/>
      </c>
    </row>
    <row r="1369" spans="1:7">
      <c r="A1369" s="21"/>
      <c r="B1369" s="15"/>
      <c r="C1369" s="15"/>
      <c r="D1369" s="17"/>
      <c r="E1369" s="22">
        <f>IF($A1369="","",YEAR($A1369))</f>
        <v/>
      </c>
      <c r="F1369" s="22">
        <f>IF($A1369="","",MONTH($A1369))</f>
        <v/>
      </c>
      <c r="G1369" s="22">
        <f>IF($B1369="","",IFERROR(INDEX(ContaComp,MATCH($B1369,ContaNome,0)),"Conta inválida"))</f>
        <v/>
      </c>
    </row>
    <row r="1370" spans="1:7">
      <c r="A1370" s="21"/>
      <c r="B1370" s="15"/>
      <c r="C1370" s="15"/>
      <c r="D1370" s="17"/>
      <c r="E1370" s="22">
        <f>IF($A1370="","",YEAR($A1370))</f>
        <v/>
      </c>
      <c r="F1370" s="22">
        <f>IF($A1370="","",MONTH($A1370))</f>
        <v/>
      </c>
      <c r="G1370" s="22">
        <f>IF($B1370="","",IFERROR(INDEX(ContaComp,MATCH($B1370,ContaNome,0)),"Conta inválida"))</f>
        <v/>
      </c>
    </row>
    <row r="1371" spans="1:7">
      <c r="A1371" s="21"/>
      <c r="B1371" s="15"/>
      <c r="C1371" s="15"/>
      <c r="D1371" s="17"/>
      <c r="E1371" s="22">
        <f>IF($A1371="","",YEAR($A1371))</f>
        <v/>
      </c>
      <c r="F1371" s="22">
        <f>IF($A1371="","",MONTH($A1371))</f>
        <v/>
      </c>
      <c r="G1371" s="22">
        <f>IF($B1371="","",IFERROR(INDEX(ContaComp,MATCH($B1371,ContaNome,0)),"Conta inválida"))</f>
        <v/>
      </c>
    </row>
    <row r="1372" spans="1:7">
      <c r="A1372" s="21"/>
      <c r="B1372" s="15"/>
      <c r="C1372" s="15"/>
      <c r="D1372" s="17"/>
      <c r="E1372" s="22">
        <f>IF($A1372="","",YEAR($A1372))</f>
        <v/>
      </c>
      <c r="F1372" s="22">
        <f>IF($A1372="","",MONTH($A1372))</f>
        <v/>
      </c>
      <c r="G1372" s="22">
        <f>IF($B1372="","",IFERROR(INDEX(ContaComp,MATCH($B1372,ContaNome,0)),"Conta inválida"))</f>
        <v/>
      </c>
    </row>
    <row r="1373" spans="1:7">
      <c r="A1373" s="21"/>
      <c r="B1373" s="15"/>
      <c r="C1373" s="15"/>
      <c r="D1373" s="17"/>
      <c r="E1373" s="22">
        <f>IF($A1373="","",YEAR($A1373))</f>
        <v/>
      </c>
      <c r="F1373" s="22">
        <f>IF($A1373="","",MONTH($A1373))</f>
        <v/>
      </c>
      <c r="G1373" s="22">
        <f>IF($B1373="","",IFERROR(INDEX(ContaComp,MATCH($B1373,ContaNome,0)),"Conta inválida"))</f>
        <v/>
      </c>
    </row>
    <row r="1374" spans="1:7">
      <c r="A1374" s="21"/>
      <c r="B1374" s="15"/>
      <c r="C1374" s="15"/>
      <c r="D1374" s="17"/>
      <c r="E1374" s="22">
        <f>IF($A1374="","",YEAR($A1374))</f>
        <v/>
      </c>
      <c r="F1374" s="22">
        <f>IF($A1374="","",MONTH($A1374))</f>
        <v/>
      </c>
      <c r="G1374" s="22">
        <f>IF($B1374="","",IFERROR(INDEX(ContaComp,MATCH($B1374,ContaNome,0)),"Conta inválida"))</f>
        <v/>
      </c>
    </row>
    <row r="1375" spans="1:7">
      <c r="A1375" s="21"/>
      <c r="B1375" s="15"/>
      <c r="C1375" s="15"/>
      <c r="D1375" s="17"/>
      <c r="E1375" s="22">
        <f>IF($A1375="","",YEAR($A1375))</f>
        <v/>
      </c>
      <c r="F1375" s="22">
        <f>IF($A1375="","",MONTH($A1375))</f>
        <v/>
      </c>
      <c r="G1375" s="22">
        <f>IF($B1375="","",IFERROR(INDEX(ContaComp,MATCH($B1375,ContaNome,0)),"Conta inválida"))</f>
        <v/>
      </c>
    </row>
    <row r="1376" spans="1:7">
      <c r="A1376" s="21"/>
      <c r="B1376" s="15"/>
      <c r="C1376" s="15"/>
      <c r="D1376" s="17"/>
      <c r="E1376" s="22">
        <f>IF($A1376="","",YEAR($A1376))</f>
        <v/>
      </c>
      <c r="F1376" s="22">
        <f>IF($A1376="","",MONTH($A1376))</f>
        <v/>
      </c>
      <c r="G1376" s="22">
        <f>IF($B1376="","",IFERROR(INDEX(ContaComp,MATCH($B1376,ContaNome,0)),"Conta inválida"))</f>
        <v/>
      </c>
    </row>
    <row r="1377" spans="1:7">
      <c r="A1377" s="21"/>
      <c r="B1377" s="15"/>
      <c r="C1377" s="15"/>
      <c r="D1377" s="17"/>
      <c r="E1377" s="22">
        <f>IF($A1377="","",YEAR($A1377))</f>
        <v/>
      </c>
      <c r="F1377" s="22">
        <f>IF($A1377="","",MONTH($A1377))</f>
        <v/>
      </c>
      <c r="G1377" s="22">
        <f>IF($B1377="","",IFERROR(INDEX(ContaComp,MATCH($B1377,ContaNome,0)),"Conta inválida"))</f>
        <v/>
      </c>
    </row>
    <row r="1378" spans="1:7">
      <c r="A1378" s="21"/>
      <c r="B1378" s="15"/>
      <c r="C1378" s="15"/>
      <c r="D1378" s="17"/>
      <c r="E1378" s="22">
        <f>IF($A1378="","",YEAR($A1378))</f>
        <v/>
      </c>
      <c r="F1378" s="22">
        <f>IF($A1378="","",MONTH($A1378))</f>
        <v/>
      </c>
      <c r="G1378" s="22">
        <f>IF($B1378="","",IFERROR(INDEX(ContaComp,MATCH($B1378,ContaNome,0)),"Conta inválida"))</f>
        <v/>
      </c>
    </row>
    <row r="1379" spans="1:7">
      <c r="A1379" s="21"/>
      <c r="B1379" s="15"/>
      <c r="C1379" s="15"/>
      <c r="D1379" s="17"/>
      <c r="E1379" s="22">
        <f>IF($A1379="","",YEAR($A1379))</f>
        <v/>
      </c>
      <c r="F1379" s="22">
        <f>IF($A1379="","",MONTH($A1379))</f>
        <v/>
      </c>
      <c r="G1379" s="22">
        <f>IF($B1379="","",IFERROR(INDEX(ContaComp,MATCH($B1379,ContaNome,0)),"Conta inválida"))</f>
        <v/>
      </c>
    </row>
    <row r="1380" spans="1:7">
      <c r="A1380" s="21"/>
      <c r="B1380" s="15"/>
      <c r="C1380" s="15"/>
      <c r="D1380" s="17"/>
      <c r="E1380" s="22">
        <f>IF($A1380="","",YEAR($A1380))</f>
        <v/>
      </c>
      <c r="F1380" s="22">
        <f>IF($A1380="","",MONTH($A1380))</f>
        <v/>
      </c>
      <c r="G1380" s="22">
        <f>IF($B1380="","",IFERROR(INDEX(ContaComp,MATCH($B1380,ContaNome,0)),"Conta inválida"))</f>
        <v/>
      </c>
    </row>
    <row r="1381" spans="1:7">
      <c r="A1381" s="21"/>
      <c r="B1381" s="15"/>
      <c r="C1381" s="15"/>
      <c r="D1381" s="17"/>
      <c r="E1381" s="22">
        <f>IF($A1381="","",YEAR($A1381))</f>
        <v/>
      </c>
      <c r="F1381" s="22">
        <f>IF($A1381="","",MONTH($A1381))</f>
        <v/>
      </c>
      <c r="G1381" s="22">
        <f>IF($B1381="","",IFERROR(INDEX(ContaComp,MATCH($B1381,ContaNome,0)),"Conta inválida"))</f>
        <v/>
      </c>
    </row>
    <row r="1382" spans="1:7">
      <c r="A1382" s="21"/>
      <c r="B1382" s="15"/>
      <c r="C1382" s="15"/>
      <c r="D1382" s="17"/>
      <c r="E1382" s="22">
        <f>IF($A1382="","",YEAR($A1382))</f>
        <v/>
      </c>
      <c r="F1382" s="22">
        <f>IF($A1382="","",MONTH($A1382))</f>
        <v/>
      </c>
      <c r="G1382" s="22">
        <f>IF($B1382="","",IFERROR(INDEX(ContaComp,MATCH($B1382,ContaNome,0)),"Conta inválida"))</f>
        <v/>
      </c>
    </row>
    <row r="1383" spans="1:7">
      <c r="A1383" s="21"/>
      <c r="B1383" s="15"/>
      <c r="C1383" s="15"/>
      <c r="D1383" s="17"/>
      <c r="E1383" s="22">
        <f>IF($A1383="","",YEAR($A1383))</f>
        <v/>
      </c>
      <c r="F1383" s="22">
        <f>IF($A1383="","",MONTH($A1383))</f>
        <v/>
      </c>
      <c r="G1383" s="22">
        <f>IF($B1383="","",IFERROR(INDEX(ContaComp,MATCH($B1383,ContaNome,0)),"Conta inválida"))</f>
        <v/>
      </c>
    </row>
    <row r="1384" spans="1:7">
      <c r="A1384" s="21"/>
      <c r="B1384" s="15"/>
      <c r="C1384" s="15"/>
      <c r="D1384" s="17"/>
      <c r="E1384" s="22">
        <f>IF($A1384="","",YEAR($A1384))</f>
        <v/>
      </c>
      <c r="F1384" s="22">
        <f>IF($A1384="","",MONTH($A1384))</f>
        <v/>
      </c>
      <c r="G1384" s="22">
        <f>IF($B1384="","",IFERROR(INDEX(ContaComp,MATCH($B1384,ContaNome,0)),"Conta inválida"))</f>
        <v/>
      </c>
    </row>
    <row r="1385" spans="1:7">
      <c r="A1385" s="21"/>
      <c r="B1385" s="15"/>
      <c r="C1385" s="15"/>
      <c r="D1385" s="17"/>
      <c r="E1385" s="22">
        <f>IF($A1385="","",YEAR($A1385))</f>
        <v/>
      </c>
      <c r="F1385" s="22">
        <f>IF($A1385="","",MONTH($A1385))</f>
        <v/>
      </c>
      <c r="G1385" s="22">
        <f>IF($B1385="","",IFERROR(INDEX(ContaComp,MATCH($B1385,ContaNome,0)),"Conta inválida"))</f>
        <v/>
      </c>
    </row>
    <row r="1386" spans="1:7">
      <c r="A1386" s="21"/>
      <c r="B1386" s="15"/>
      <c r="C1386" s="15"/>
      <c r="D1386" s="17"/>
      <c r="E1386" s="22">
        <f>IF($A1386="","",YEAR($A1386))</f>
        <v/>
      </c>
      <c r="F1386" s="22">
        <f>IF($A1386="","",MONTH($A1386))</f>
        <v/>
      </c>
      <c r="G1386" s="22">
        <f>IF($B1386="","",IFERROR(INDEX(ContaComp,MATCH($B1386,ContaNome,0)),"Conta inválida"))</f>
        <v/>
      </c>
    </row>
    <row r="1387" spans="1:7">
      <c r="A1387" s="21"/>
      <c r="B1387" s="15"/>
      <c r="C1387" s="15"/>
      <c r="D1387" s="17"/>
      <c r="E1387" s="22">
        <f>IF($A1387="","",YEAR($A1387))</f>
        <v/>
      </c>
      <c r="F1387" s="22">
        <f>IF($A1387="","",MONTH($A1387))</f>
        <v/>
      </c>
      <c r="G1387" s="22">
        <f>IF($B1387="","",IFERROR(INDEX(ContaComp,MATCH($B1387,ContaNome,0)),"Conta inválida"))</f>
        <v/>
      </c>
    </row>
    <row r="1388" spans="1:7">
      <c r="A1388" s="21"/>
      <c r="B1388" s="15"/>
      <c r="C1388" s="15"/>
      <c r="D1388" s="17"/>
      <c r="E1388" s="22">
        <f>IF($A1388="","",YEAR($A1388))</f>
        <v/>
      </c>
      <c r="F1388" s="22">
        <f>IF($A1388="","",MONTH($A1388))</f>
        <v/>
      </c>
      <c r="G1388" s="22">
        <f>IF($B1388="","",IFERROR(INDEX(ContaComp,MATCH($B1388,ContaNome,0)),"Conta inválida"))</f>
        <v/>
      </c>
    </row>
    <row r="1389" spans="1:7">
      <c r="A1389" s="21"/>
      <c r="B1389" s="15"/>
      <c r="C1389" s="15"/>
      <c r="D1389" s="17"/>
      <c r="E1389" s="22">
        <f>IF($A1389="","",YEAR($A1389))</f>
        <v/>
      </c>
      <c r="F1389" s="22">
        <f>IF($A1389="","",MONTH($A1389))</f>
        <v/>
      </c>
      <c r="G1389" s="22">
        <f>IF($B1389="","",IFERROR(INDEX(ContaComp,MATCH($B1389,ContaNome,0)),"Conta inválida"))</f>
        <v/>
      </c>
    </row>
    <row r="1390" spans="1:7">
      <c r="A1390" s="21"/>
      <c r="B1390" s="15"/>
      <c r="C1390" s="15"/>
      <c r="D1390" s="17"/>
      <c r="E1390" s="22">
        <f>IF($A1390="","",YEAR($A1390))</f>
        <v/>
      </c>
      <c r="F1390" s="22">
        <f>IF($A1390="","",MONTH($A1390))</f>
        <v/>
      </c>
      <c r="G1390" s="22">
        <f>IF($B1390="","",IFERROR(INDEX(ContaComp,MATCH($B1390,ContaNome,0)),"Conta inválida"))</f>
        <v/>
      </c>
    </row>
    <row r="1391" spans="1:7">
      <c r="A1391" s="21"/>
      <c r="B1391" s="15"/>
      <c r="C1391" s="15"/>
      <c r="D1391" s="17"/>
      <c r="E1391" s="22">
        <f>IF($A1391="","",YEAR($A1391))</f>
        <v/>
      </c>
      <c r="F1391" s="22">
        <f>IF($A1391="","",MONTH($A1391))</f>
        <v/>
      </c>
      <c r="G1391" s="22">
        <f>IF($B1391="","",IFERROR(INDEX(ContaComp,MATCH($B1391,ContaNome,0)),"Conta inválida"))</f>
        <v/>
      </c>
    </row>
    <row r="1392" spans="1:7">
      <c r="A1392" s="21"/>
      <c r="B1392" s="15"/>
      <c r="C1392" s="15"/>
      <c r="D1392" s="17"/>
      <c r="E1392" s="22">
        <f>IF($A1392="","",YEAR($A1392))</f>
        <v/>
      </c>
      <c r="F1392" s="22">
        <f>IF($A1392="","",MONTH($A1392))</f>
        <v/>
      </c>
      <c r="G1392" s="22">
        <f>IF($B1392="","",IFERROR(INDEX(ContaComp,MATCH($B1392,ContaNome,0)),"Conta inválida"))</f>
        <v/>
      </c>
    </row>
    <row r="1393" spans="1:7">
      <c r="A1393" s="21"/>
      <c r="B1393" s="15"/>
      <c r="C1393" s="15"/>
      <c r="D1393" s="17"/>
      <c r="E1393" s="22">
        <f>IF($A1393="","",YEAR($A1393))</f>
        <v/>
      </c>
      <c r="F1393" s="22">
        <f>IF($A1393="","",MONTH($A1393))</f>
        <v/>
      </c>
      <c r="G1393" s="22">
        <f>IF($B1393="","",IFERROR(INDEX(ContaComp,MATCH($B1393,ContaNome,0)),"Conta inválida"))</f>
        <v/>
      </c>
    </row>
    <row r="1394" spans="1:7">
      <c r="A1394" s="21"/>
      <c r="B1394" s="15"/>
      <c r="C1394" s="15"/>
      <c r="D1394" s="17"/>
      <c r="E1394" s="22">
        <f>IF($A1394="","",YEAR($A1394))</f>
        <v/>
      </c>
      <c r="F1394" s="22">
        <f>IF($A1394="","",MONTH($A1394))</f>
        <v/>
      </c>
      <c r="G1394" s="22">
        <f>IF($B1394="","",IFERROR(INDEX(ContaComp,MATCH($B1394,ContaNome,0)),"Conta inválida"))</f>
        <v/>
      </c>
    </row>
    <row r="1395" spans="1:7">
      <c r="A1395" s="21"/>
      <c r="B1395" s="15"/>
      <c r="C1395" s="15"/>
      <c r="D1395" s="17"/>
      <c r="E1395" s="22">
        <f>IF($A1395="","",YEAR($A1395))</f>
        <v/>
      </c>
      <c r="F1395" s="22">
        <f>IF($A1395="","",MONTH($A1395))</f>
        <v/>
      </c>
      <c r="G1395" s="22">
        <f>IF($B1395="","",IFERROR(INDEX(ContaComp,MATCH($B1395,ContaNome,0)),"Conta inválida"))</f>
        <v/>
      </c>
    </row>
    <row r="1396" spans="1:7">
      <c r="A1396" s="21"/>
      <c r="B1396" s="15"/>
      <c r="C1396" s="15"/>
      <c r="D1396" s="17"/>
      <c r="E1396" s="22">
        <f>IF($A1396="","",YEAR($A1396))</f>
        <v/>
      </c>
      <c r="F1396" s="22">
        <f>IF($A1396="","",MONTH($A1396))</f>
        <v/>
      </c>
      <c r="G1396" s="22">
        <f>IF($B1396="","",IFERROR(INDEX(ContaComp,MATCH($B1396,ContaNome,0)),"Conta inválida"))</f>
        <v/>
      </c>
    </row>
    <row r="1397" spans="1:7">
      <c r="A1397" s="21"/>
      <c r="B1397" s="15"/>
      <c r="C1397" s="15"/>
      <c r="D1397" s="17"/>
      <c r="E1397" s="22">
        <f>IF($A1397="","",YEAR($A1397))</f>
        <v/>
      </c>
      <c r="F1397" s="22">
        <f>IF($A1397="","",MONTH($A1397))</f>
        <v/>
      </c>
      <c r="G1397" s="22">
        <f>IF($B1397="","",IFERROR(INDEX(ContaComp,MATCH($B1397,ContaNome,0)),"Conta inválida"))</f>
        <v/>
      </c>
    </row>
    <row r="1398" spans="1:7">
      <c r="A1398" s="21"/>
      <c r="B1398" s="15"/>
      <c r="C1398" s="15"/>
      <c r="D1398" s="17"/>
      <c r="E1398" s="22">
        <f>IF($A1398="","",YEAR($A1398))</f>
        <v/>
      </c>
      <c r="F1398" s="22">
        <f>IF($A1398="","",MONTH($A1398))</f>
        <v/>
      </c>
      <c r="G1398" s="22">
        <f>IF($B1398="","",IFERROR(INDEX(ContaComp,MATCH($B1398,ContaNome,0)),"Conta inválida"))</f>
        <v/>
      </c>
    </row>
    <row r="1399" spans="1:7">
      <c r="A1399" s="21"/>
      <c r="B1399" s="15"/>
      <c r="C1399" s="15"/>
      <c r="D1399" s="17"/>
      <c r="E1399" s="22">
        <f>IF($A1399="","",YEAR($A1399))</f>
        <v/>
      </c>
      <c r="F1399" s="22">
        <f>IF($A1399="","",MONTH($A1399))</f>
        <v/>
      </c>
      <c r="G1399" s="22">
        <f>IF($B1399="","",IFERROR(INDEX(ContaComp,MATCH($B1399,ContaNome,0)),"Conta inválida"))</f>
        <v/>
      </c>
    </row>
    <row r="1400" spans="1:7">
      <c r="A1400" s="21"/>
      <c r="B1400" s="15"/>
      <c r="C1400" s="15"/>
      <c r="D1400" s="17"/>
      <c r="E1400" s="22">
        <f>IF($A1400="","",YEAR($A1400))</f>
        <v/>
      </c>
      <c r="F1400" s="22">
        <f>IF($A1400="","",MONTH($A1400))</f>
        <v/>
      </c>
      <c r="G1400" s="22">
        <f>IF($B1400="","",IFERROR(INDEX(ContaComp,MATCH($B1400,ContaNome,0)),"Conta inválida"))</f>
        <v/>
      </c>
    </row>
    <row r="1401" spans="1:7">
      <c r="A1401" s="21"/>
      <c r="B1401" s="15"/>
      <c r="C1401" s="15"/>
      <c r="D1401" s="17"/>
      <c r="E1401" s="22">
        <f>IF($A1401="","",YEAR($A1401))</f>
        <v/>
      </c>
      <c r="F1401" s="22">
        <f>IF($A1401="","",MONTH($A1401))</f>
        <v/>
      </c>
      <c r="G1401" s="22">
        <f>IF($B1401="","",IFERROR(INDEX(ContaComp,MATCH($B1401,ContaNome,0)),"Conta inválida"))</f>
        <v/>
      </c>
    </row>
    <row r="1402" spans="1:7">
      <c r="A1402" s="21"/>
      <c r="B1402" s="15"/>
      <c r="C1402" s="15"/>
      <c r="D1402" s="17"/>
      <c r="E1402" s="22">
        <f>IF($A1402="","",YEAR($A1402))</f>
        <v/>
      </c>
      <c r="F1402" s="22">
        <f>IF($A1402="","",MONTH($A1402))</f>
        <v/>
      </c>
      <c r="G1402" s="22">
        <f>IF($B1402="","",IFERROR(INDEX(ContaComp,MATCH($B1402,ContaNome,0)),"Conta inválida"))</f>
        <v/>
      </c>
    </row>
    <row r="1403" spans="1:7">
      <c r="A1403" s="21"/>
      <c r="B1403" s="15"/>
      <c r="C1403" s="15"/>
      <c r="D1403" s="17"/>
      <c r="E1403" s="22">
        <f>IF($A1403="","",YEAR($A1403))</f>
        <v/>
      </c>
      <c r="F1403" s="22">
        <f>IF($A1403="","",MONTH($A1403))</f>
        <v/>
      </c>
      <c r="G1403" s="22">
        <f>IF($B1403="","",IFERROR(INDEX(ContaComp,MATCH($B1403,ContaNome,0)),"Conta inválida"))</f>
        <v/>
      </c>
    </row>
    <row r="1404" spans="1:7">
      <c r="A1404" s="21"/>
      <c r="B1404" s="15"/>
      <c r="C1404" s="15"/>
      <c r="D1404" s="17"/>
      <c r="E1404" s="22">
        <f>IF($A1404="","",YEAR($A1404))</f>
        <v/>
      </c>
      <c r="F1404" s="22">
        <f>IF($A1404="","",MONTH($A1404))</f>
        <v/>
      </c>
      <c r="G1404" s="22">
        <f>IF($B1404="","",IFERROR(INDEX(ContaComp,MATCH($B1404,ContaNome,0)),"Conta inválida"))</f>
        <v/>
      </c>
    </row>
    <row r="1405" spans="1:7">
      <c r="A1405" s="21"/>
      <c r="B1405" s="15"/>
      <c r="C1405" s="15"/>
      <c r="D1405" s="17"/>
      <c r="E1405" s="22">
        <f>IF($A1405="","",YEAR($A1405))</f>
        <v/>
      </c>
      <c r="F1405" s="22">
        <f>IF($A1405="","",MONTH($A1405))</f>
        <v/>
      </c>
      <c r="G1405" s="22">
        <f>IF($B1405="","",IFERROR(INDEX(ContaComp,MATCH($B1405,ContaNome,0)),"Conta inválida"))</f>
        <v/>
      </c>
    </row>
    <row r="1406" spans="1:7">
      <c r="A1406" s="21"/>
      <c r="B1406" s="15"/>
      <c r="C1406" s="15"/>
      <c r="D1406" s="17"/>
      <c r="E1406" s="22">
        <f>IF($A1406="","",YEAR($A1406))</f>
        <v/>
      </c>
      <c r="F1406" s="22">
        <f>IF($A1406="","",MONTH($A1406))</f>
        <v/>
      </c>
      <c r="G1406" s="22">
        <f>IF($B1406="","",IFERROR(INDEX(ContaComp,MATCH($B1406,ContaNome,0)),"Conta inválida"))</f>
        <v/>
      </c>
    </row>
    <row r="1407" spans="1:7">
      <c r="A1407" s="21"/>
      <c r="B1407" s="15"/>
      <c r="C1407" s="15"/>
      <c r="D1407" s="17"/>
      <c r="E1407" s="22">
        <f>IF($A1407="","",YEAR($A1407))</f>
        <v/>
      </c>
      <c r="F1407" s="22">
        <f>IF($A1407="","",MONTH($A1407))</f>
        <v/>
      </c>
      <c r="G1407" s="22">
        <f>IF($B1407="","",IFERROR(INDEX(ContaComp,MATCH($B1407,ContaNome,0)),"Conta inválida"))</f>
        <v/>
      </c>
    </row>
    <row r="1408" spans="1:7">
      <c r="A1408" s="21"/>
      <c r="B1408" s="15"/>
      <c r="C1408" s="15"/>
      <c r="D1408" s="17"/>
      <c r="E1408" s="22">
        <f>IF($A1408="","",YEAR($A1408))</f>
        <v/>
      </c>
      <c r="F1408" s="22">
        <f>IF($A1408="","",MONTH($A1408))</f>
        <v/>
      </c>
      <c r="G1408" s="22">
        <f>IF($B1408="","",IFERROR(INDEX(ContaComp,MATCH($B1408,ContaNome,0)),"Conta inválida"))</f>
        <v/>
      </c>
    </row>
    <row r="1409" spans="1:7">
      <c r="A1409" s="21"/>
      <c r="B1409" s="15"/>
      <c r="C1409" s="15"/>
      <c r="D1409" s="17"/>
      <c r="E1409" s="22">
        <f>IF($A1409="","",YEAR($A1409))</f>
        <v/>
      </c>
      <c r="F1409" s="22">
        <f>IF($A1409="","",MONTH($A1409))</f>
        <v/>
      </c>
      <c r="G1409" s="22">
        <f>IF($B1409="","",IFERROR(INDEX(ContaComp,MATCH($B1409,ContaNome,0)),"Conta inválida"))</f>
        <v/>
      </c>
    </row>
    <row r="1410" spans="1:7">
      <c r="A1410" s="21"/>
      <c r="B1410" s="15"/>
      <c r="C1410" s="15"/>
      <c r="D1410" s="17"/>
      <c r="E1410" s="22">
        <f>IF($A1410="","",YEAR($A1410))</f>
        <v/>
      </c>
      <c r="F1410" s="22">
        <f>IF($A1410="","",MONTH($A1410))</f>
        <v/>
      </c>
      <c r="G1410" s="22">
        <f>IF($B1410="","",IFERROR(INDEX(ContaComp,MATCH($B1410,ContaNome,0)),"Conta inválida"))</f>
        <v/>
      </c>
    </row>
    <row r="1411" spans="1:7">
      <c r="A1411" s="21"/>
      <c r="B1411" s="15"/>
      <c r="C1411" s="15"/>
      <c r="D1411" s="17"/>
      <c r="E1411" s="22">
        <f>IF($A1411="","",YEAR($A1411))</f>
        <v/>
      </c>
      <c r="F1411" s="22">
        <f>IF($A1411="","",MONTH($A1411))</f>
        <v/>
      </c>
      <c r="G1411" s="22">
        <f>IF($B1411="","",IFERROR(INDEX(ContaComp,MATCH($B1411,ContaNome,0)),"Conta inválida"))</f>
        <v/>
      </c>
    </row>
    <row r="1412" spans="1:7">
      <c r="A1412" s="21"/>
      <c r="B1412" s="15"/>
      <c r="C1412" s="15"/>
      <c r="D1412" s="17"/>
      <c r="E1412" s="22">
        <f>IF($A1412="","",YEAR($A1412))</f>
        <v/>
      </c>
      <c r="F1412" s="22">
        <f>IF($A1412="","",MONTH($A1412))</f>
        <v/>
      </c>
      <c r="G1412" s="22">
        <f>IF($B1412="","",IFERROR(INDEX(ContaComp,MATCH($B1412,ContaNome,0)),"Conta inválida"))</f>
        <v/>
      </c>
    </row>
    <row r="1413" spans="1:7">
      <c r="A1413" s="21"/>
      <c r="B1413" s="15"/>
      <c r="C1413" s="15"/>
      <c r="D1413" s="17"/>
      <c r="E1413" s="22">
        <f>IF($A1413="","",YEAR($A1413))</f>
        <v/>
      </c>
      <c r="F1413" s="22">
        <f>IF($A1413="","",MONTH($A1413))</f>
        <v/>
      </c>
      <c r="G1413" s="22">
        <f>IF($B1413="","",IFERROR(INDEX(ContaComp,MATCH($B1413,ContaNome,0)),"Conta inválida"))</f>
        <v/>
      </c>
    </row>
    <row r="1414" spans="1:7">
      <c r="A1414" s="21"/>
      <c r="B1414" s="15"/>
      <c r="C1414" s="15"/>
      <c r="D1414" s="17"/>
      <c r="E1414" s="22">
        <f>IF($A1414="","",YEAR($A1414))</f>
        <v/>
      </c>
      <c r="F1414" s="22">
        <f>IF($A1414="","",MONTH($A1414))</f>
        <v/>
      </c>
      <c r="G1414" s="22">
        <f>IF($B1414="","",IFERROR(INDEX(ContaComp,MATCH($B1414,ContaNome,0)),"Conta inválida"))</f>
        <v/>
      </c>
    </row>
    <row r="1415" spans="1:7">
      <c r="A1415" s="21"/>
      <c r="B1415" s="15"/>
      <c r="C1415" s="15"/>
      <c r="D1415" s="17"/>
      <c r="E1415" s="22">
        <f>IF($A1415="","",YEAR($A1415))</f>
        <v/>
      </c>
      <c r="F1415" s="22">
        <f>IF($A1415="","",MONTH($A1415))</f>
        <v/>
      </c>
      <c r="G1415" s="22">
        <f>IF($B1415="","",IFERROR(INDEX(ContaComp,MATCH($B1415,ContaNome,0)),"Conta inválida"))</f>
        <v/>
      </c>
    </row>
    <row r="1416" spans="1:7">
      <c r="A1416" s="21"/>
      <c r="B1416" s="15"/>
      <c r="C1416" s="15"/>
      <c r="D1416" s="17"/>
      <c r="E1416" s="22">
        <f>IF($A1416="","",YEAR($A1416))</f>
        <v/>
      </c>
      <c r="F1416" s="22">
        <f>IF($A1416="","",MONTH($A1416))</f>
        <v/>
      </c>
      <c r="G1416" s="22">
        <f>IF($B1416="","",IFERROR(INDEX(ContaComp,MATCH($B1416,ContaNome,0)),"Conta inválida"))</f>
        <v/>
      </c>
    </row>
    <row r="1417" spans="1:7">
      <c r="A1417" s="21"/>
      <c r="B1417" s="15"/>
      <c r="C1417" s="15"/>
      <c r="D1417" s="17"/>
      <c r="E1417" s="22">
        <f>IF($A1417="","",YEAR($A1417))</f>
        <v/>
      </c>
      <c r="F1417" s="22">
        <f>IF($A1417="","",MONTH($A1417))</f>
        <v/>
      </c>
      <c r="G1417" s="22">
        <f>IF($B1417="","",IFERROR(INDEX(ContaComp,MATCH($B1417,ContaNome,0)),"Conta inválida"))</f>
        <v/>
      </c>
    </row>
    <row r="1418" spans="1:7">
      <c r="A1418" s="21"/>
      <c r="B1418" s="15"/>
      <c r="C1418" s="15"/>
      <c r="D1418" s="17"/>
      <c r="E1418" s="22">
        <f>IF($A1418="","",YEAR($A1418))</f>
        <v/>
      </c>
      <c r="F1418" s="22">
        <f>IF($A1418="","",MONTH($A1418))</f>
        <v/>
      </c>
      <c r="G1418" s="22">
        <f>IF($B1418="","",IFERROR(INDEX(ContaComp,MATCH($B1418,ContaNome,0)),"Conta inválida"))</f>
        <v/>
      </c>
    </row>
    <row r="1419" spans="1:7">
      <c r="A1419" s="21"/>
      <c r="B1419" s="15"/>
      <c r="C1419" s="15"/>
      <c r="D1419" s="17"/>
      <c r="E1419" s="22">
        <f>IF($A1419="","",YEAR($A1419))</f>
        <v/>
      </c>
      <c r="F1419" s="22">
        <f>IF($A1419="","",MONTH($A1419))</f>
        <v/>
      </c>
      <c r="G1419" s="22">
        <f>IF($B1419="","",IFERROR(INDEX(ContaComp,MATCH($B1419,ContaNome,0)),"Conta inválida"))</f>
        <v/>
      </c>
    </row>
    <row r="1420" spans="1:7">
      <c r="A1420" s="21"/>
      <c r="B1420" s="15"/>
      <c r="C1420" s="15"/>
      <c r="D1420" s="17"/>
      <c r="E1420" s="22">
        <f>IF($A1420="","",YEAR($A1420))</f>
        <v/>
      </c>
      <c r="F1420" s="22">
        <f>IF($A1420="","",MONTH($A1420))</f>
        <v/>
      </c>
      <c r="G1420" s="22">
        <f>IF($B1420="","",IFERROR(INDEX(ContaComp,MATCH($B1420,ContaNome,0)),"Conta inválida"))</f>
        <v/>
      </c>
    </row>
    <row r="1421" spans="1:7">
      <c r="A1421" s="21"/>
      <c r="B1421" s="15"/>
      <c r="C1421" s="15"/>
      <c r="D1421" s="17"/>
      <c r="E1421" s="22">
        <f>IF($A1421="","",YEAR($A1421))</f>
        <v/>
      </c>
      <c r="F1421" s="22">
        <f>IF($A1421="","",MONTH($A1421))</f>
        <v/>
      </c>
      <c r="G1421" s="22">
        <f>IF($B1421="","",IFERROR(INDEX(ContaComp,MATCH($B1421,ContaNome,0)),"Conta inválida"))</f>
        <v/>
      </c>
    </row>
    <row r="1422" spans="1:7">
      <c r="A1422" s="21"/>
      <c r="B1422" s="15"/>
      <c r="C1422" s="15"/>
      <c r="D1422" s="17"/>
      <c r="E1422" s="22">
        <f>IF($A1422="","",YEAR($A1422))</f>
        <v/>
      </c>
      <c r="F1422" s="22">
        <f>IF($A1422="","",MONTH($A1422))</f>
        <v/>
      </c>
      <c r="G1422" s="22">
        <f>IF($B1422="","",IFERROR(INDEX(ContaComp,MATCH($B1422,ContaNome,0)),"Conta inválida"))</f>
        <v/>
      </c>
    </row>
    <row r="1423" spans="1:7">
      <c r="A1423" s="21"/>
      <c r="B1423" s="15"/>
      <c r="C1423" s="15"/>
      <c r="D1423" s="17"/>
      <c r="E1423" s="22">
        <f>IF($A1423="","",YEAR($A1423))</f>
        <v/>
      </c>
      <c r="F1423" s="22">
        <f>IF($A1423="","",MONTH($A1423))</f>
        <v/>
      </c>
      <c r="G1423" s="22">
        <f>IF($B1423="","",IFERROR(INDEX(ContaComp,MATCH($B1423,ContaNome,0)),"Conta inválida"))</f>
        <v/>
      </c>
    </row>
    <row r="1424" spans="1:7">
      <c r="A1424" s="21"/>
      <c r="B1424" s="15"/>
      <c r="C1424" s="15"/>
      <c r="D1424" s="17"/>
      <c r="E1424" s="22">
        <f>IF($A1424="","",YEAR($A1424))</f>
        <v/>
      </c>
      <c r="F1424" s="22">
        <f>IF($A1424="","",MONTH($A1424))</f>
        <v/>
      </c>
      <c r="G1424" s="22">
        <f>IF($B1424="","",IFERROR(INDEX(ContaComp,MATCH($B1424,ContaNome,0)),"Conta inválida"))</f>
        <v/>
      </c>
    </row>
    <row r="1425" spans="1:7">
      <c r="A1425" s="21"/>
      <c r="B1425" s="15"/>
      <c r="C1425" s="15"/>
      <c r="D1425" s="17"/>
      <c r="E1425" s="22">
        <f>IF($A1425="","",YEAR($A1425))</f>
        <v/>
      </c>
      <c r="F1425" s="22">
        <f>IF($A1425="","",MONTH($A1425))</f>
        <v/>
      </c>
      <c r="G1425" s="22">
        <f>IF($B1425="","",IFERROR(INDEX(ContaComp,MATCH($B1425,ContaNome,0)),"Conta inválida"))</f>
        <v/>
      </c>
    </row>
    <row r="1426" spans="1:7">
      <c r="A1426" s="21"/>
      <c r="B1426" s="15"/>
      <c r="C1426" s="15"/>
      <c r="D1426" s="17"/>
      <c r="E1426" s="22">
        <f>IF($A1426="","",YEAR($A1426))</f>
        <v/>
      </c>
      <c r="F1426" s="22">
        <f>IF($A1426="","",MONTH($A1426))</f>
        <v/>
      </c>
      <c r="G1426" s="22">
        <f>IF($B1426="","",IFERROR(INDEX(ContaComp,MATCH($B1426,ContaNome,0)),"Conta inválida"))</f>
        <v/>
      </c>
    </row>
    <row r="1427" spans="1:7">
      <c r="A1427" s="21"/>
      <c r="B1427" s="15"/>
      <c r="C1427" s="15"/>
      <c r="D1427" s="17"/>
      <c r="E1427" s="22">
        <f>IF($A1427="","",YEAR($A1427))</f>
        <v/>
      </c>
      <c r="F1427" s="22">
        <f>IF($A1427="","",MONTH($A1427))</f>
        <v/>
      </c>
      <c r="G1427" s="22">
        <f>IF($B1427="","",IFERROR(INDEX(ContaComp,MATCH($B1427,ContaNome,0)),"Conta inválida"))</f>
        <v/>
      </c>
    </row>
    <row r="1428" spans="1:7">
      <c r="A1428" s="21"/>
      <c r="B1428" s="15"/>
      <c r="C1428" s="15"/>
      <c r="D1428" s="17"/>
      <c r="E1428" s="22">
        <f>IF($A1428="","",YEAR($A1428))</f>
        <v/>
      </c>
      <c r="F1428" s="22">
        <f>IF($A1428="","",MONTH($A1428))</f>
        <v/>
      </c>
      <c r="G1428" s="22">
        <f>IF($B1428="","",IFERROR(INDEX(ContaComp,MATCH($B1428,ContaNome,0)),"Conta inválida"))</f>
        <v/>
      </c>
    </row>
    <row r="1429" spans="1:7">
      <c r="A1429" s="21"/>
      <c r="B1429" s="15"/>
      <c r="C1429" s="15"/>
      <c r="D1429" s="17"/>
      <c r="E1429" s="22">
        <f>IF($A1429="","",YEAR($A1429))</f>
        <v/>
      </c>
      <c r="F1429" s="22">
        <f>IF($A1429="","",MONTH($A1429))</f>
        <v/>
      </c>
      <c r="G1429" s="22">
        <f>IF($B1429="","",IFERROR(INDEX(ContaComp,MATCH($B1429,ContaNome,0)),"Conta inválida"))</f>
        <v/>
      </c>
    </row>
    <row r="1430" spans="1:7">
      <c r="A1430" s="21"/>
      <c r="B1430" s="15"/>
      <c r="C1430" s="15"/>
      <c r="D1430" s="17"/>
      <c r="E1430" s="22">
        <f>IF($A1430="","",YEAR($A1430))</f>
        <v/>
      </c>
      <c r="F1430" s="22">
        <f>IF($A1430="","",MONTH($A1430))</f>
        <v/>
      </c>
      <c r="G1430" s="22">
        <f>IF($B1430="","",IFERROR(INDEX(ContaComp,MATCH($B1430,ContaNome,0)),"Conta inválida"))</f>
        <v/>
      </c>
    </row>
    <row r="1431" spans="1:7">
      <c r="A1431" s="21"/>
      <c r="B1431" s="15"/>
      <c r="C1431" s="15"/>
      <c r="D1431" s="17"/>
      <c r="E1431" s="22">
        <f>IF($A1431="","",YEAR($A1431))</f>
        <v/>
      </c>
      <c r="F1431" s="22">
        <f>IF($A1431="","",MONTH($A1431))</f>
        <v/>
      </c>
      <c r="G1431" s="22">
        <f>IF($B1431="","",IFERROR(INDEX(ContaComp,MATCH($B1431,ContaNome,0)),"Conta inválida"))</f>
        <v/>
      </c>
    </row>
    <row r="1432" spans="1:7">
      <c r="A1432" s="21"/>
      <c r="B1432" s="15"/>
      <c r="C1432" s="15"/>
      <c r="D1432" s="17"/>
      <c r="E1432" s="22">
        <f>IF($A1432="","",YEAR($A1432))</f>
        <v/>
      </c>
      <c r="F1432" s="22">
        <f>IF($A1432="","",MONTH($A1432))</f>
        <v/>
      </c>
      <c r="G1432" s="22">
        <f>IF($B1432="","",IFERROR(INDEX(ContaComp,MATCH($B1432,ContaNome,0)),"Conta inválida"))</f>
        <v/>
      </c>
    </row>
    <row r="1433" spans="1:7">
      <c r="A1433" s="21"/>
      <c r="B1433" s="15"/>
      <c r="C1433" s="15"/>
      <c r="D1433" s="17"/>
      <c r="E1433" s="22">
        <f>IF($A1433="","",YEAR($A1433))</f>
        <v/>
      </c>
      <c r="F1433" s="22">
        <f>IF($A1433="","",MONTH($A1433))</f>
        <v/>
      </c>
      <c r="G1433" s="22">
        <f>IF($B1433="","",IFERROR(INDEX(ContaComp,MATCH($B1433,ContaNome,0)),"Conta inválida"))</f>
        <v/>
      </c>
    </row>
    <row r="1434" spans="1:7">
      <c r="A1434" s="21"/>
      <c r="B1434" s="15"/>
      <c r="C1434" s="15"/>
      <c r="D1434" s="17"/>
      <c r="E1434" s="22">
        <f>IF($A1434="","",YEAR($A1434))</f>
        <v/>
      </c>
      <c r="F1434" s="22">
        <f>IF($A1434="","",MONTH($A1434))</f>
        <v/>
      </c>
      <c r="G1434" s="22">
        <f>IF($B1434="","",IFERROR(INDEX(ContaComp,MATCH($B1434,ContaNome,0)),"Conta inválida"))</f>
        <v/>
      </c>
    </row>
    <row r="1435" spans="1:7">
      <c r="A1435" s="21"/>
      <c r="B1435" s="15"/>
      <c r="C1435" s="15"/>
      <c r="D1435" s="17"/>
      <c r="E1435" s="22">
        <f>IF($A1435="","",YEAR($A1435))</f>
        <v/>
      </c>
      <c r="F1435" s="22">
        <f>IF($A1435="","",MONTH($A1435))</f>
        <v/>
      </c>
      <c r="G1435" s="22">
        <f>IF($B1435="","",IFERROR(INDEX(ContaComp,MATCH($B1435,ContaNome,0)),"Conta inválida"))</f>
        <v/>
      </c>
    </row>
    <row r="1436" spans="1:7">
      <c r="A1436" s="21"/>
      <c r="B1436" s="15"/>
      <c r="C1436" s="15"/>
      <c r="D1436" s="17"/>
      <c r="E1436" s="22">
        <f>IF($A1436="","",YEAR($A1436))</f>
        <v/>
      </c>
      <c r="F1436" s="22">
        <f>IF($A1436="","",MONTH($A1436))</f>
        <v/>
      </c>
      <c r="G1436" s="22">
        <f>IF($B1436="","",IFERROR(INDEX(ContaComp,MATCH($B1436,ContaNome,0)),"Conta inválida"))</f>
        <v/>
      </c>
    </row>
    <row r="1437" spans="1:7">
      <c r="A1437" s="21"/>
      <c r="B1437" s="15"/>
      <c r="C1437" s="15"/>
      <c r="D1437" s="17"/>
      <c r="E1437" s="22">
        <f>IF($A1437="","",YEAR($A1437))</f>
        <v/>
      </c>
      <c r="F1437" s="22">
        <f>IF($A1437="","",MONTH($A1437))</f>
        <v/>
      </c>
      <c r="G1437" s="22">
        <f>IF($B1437="","",IFERROR(INDEX(ContaComp,MATCH($B1437,ContaNome,0)),"Conta inválida"))</f>
        <v/>
      </c>
    </row>
    <row r="1438" spans="1:7">
      <c r="A1438" s="21"/>
      <c r="B1438" s="15"/>
      <c r="C1438" s="15"/>
      <c r="D1438" s="17"/>
      <c r="E1438" s="22">
        <f>IF($A1438="","",YEAR($A1438))</f>
        <v/>
      </c>
      <c r="F1438" s="22">
        <f>IF($A1438="","",MONTH($A1438))</f>
        <v/>
      </c>
      <c r="G1438" s="22">
        <f>IF($B1438="","",IFERROR(INDEX(ContaComp,MATCH($B1438,ContaNome,0)),"Conta inválida"))</f>
        <v/>
      </c>
    </row>
    <row r="1439" spans="1:7">
      <c r="A1439" s="21"/>
      <c r="B1439" s="15"/>
      <c r="C1439" s="15"/>
      <c r="D1439" s="17"/>
      <c r="E1439" s="22">
        <f>IF($A1439="","",YEAR($A1439))</f>
        <v/>
      </c>
      <c r="F1439" s="22">
        <f>IF($A1439="","",MONTH($A1439))</f>
        <v/>
      </c>
      <c r="G1439" s="22">
        <f>IF($B1439="","",IFERROR(INDEX(ContaComp,MATCH($B1439,ContaNome,0)),"Conta inválida"))</f>
        <v/>
      </c>
    </row>
    <row r="1440" spans="1:7">
      <c r="A1440" s="21"/>
      <c r="B1440" s="15"/>
      <c r="C1440" s="15"/>
      <c r="D1440" s="17"/>
      <c r="E1440" s="22">
        <f>IF($A1440="","",YEAR($A1440))</f>
        <v/>
      </c>
      <c r="F1440" s="22">
        <f>IF($A1440="","",MONTH($A1440))</f>
        <v/>
      </c>
      <c r="G1440" s="22">
        <f>IF($B1440="","",IFERROR(INDEX(ContaComp,MATCH($B1440,ContaNome,0)),"Conta inválida"))</f>
        <v/>
      </c>
    </row>
    <row r="1441" spans="1:7">
      <c r="A1441" s="21"/>
      <c r="B1441" s="15"/>
      <c r="C1441" s="15"/>
      <c r="D1441" s="17"/>
      <c r="E1441" s="22">
        <f>IF($A1441="","",YEAR($A1441))</f>
        <v/>
      </c>
      <c r="F1441" s="22">
        <f>IF($A1441="","",MONTH($A1441))</f>
        <v/>
      </c>
      <c r="G1441" s="22">
        <f>IF($B1441="","",IFERROR(INDEX(ContaComp,MATCH($B1441,ContaNome,0)),"Conta inválida"))</f>
        <v/>
      </c>
    </row>
    <row r="1442" spans="1:7">
      <c r="A1442" s="21"/>
      <c r="B1442" s="15"/>
      <c r="C1442" s="15"/>
      <c r="D1442" s="17"/>
      <c r="E1442" s="22">
        <f>IF($A1442="","",YEAR($A1442))</f>
        <v/>
      </c>
      <c r="F1442" s="22">
        <f>IF($A1442="","",MONTH($A1442))</f>
        <v/>
      </c>
      <c r="G1442" s="22">
        <f>IF($B1442="","",IFERROR(INDEX(ContaComp,MATCH($B1442,ContaNome,0)),"Conta inválida"))</f>
        <v/>
      </c>
    </row>
    <row r="1443" spans="1:7">
      <c r="A1443" s="21"/>
      <c r="B1443" s="15"/>
      <c r="C1443" s="15"/>
      <c r="D1443" s="17"/>
      <c r="E1443" s="22">
        <f>IF($A1443="","",YEAR($A1443))</f>
        <v/>
      </c>
      <c r="F1443" s="22">
        <f>IF($A1443="","",MONTH($A1443))</f>
        <v/>
      </c>
      <c r="G1443" s="22">
        <f>IF($B1443="","",IFERROR(INDEX(ContaComp,MATCH($B1443,ContaNome,0)),"Conta inválida"))</f>
        <v/>
      </c>
    </row>
    <row r="1444" spans="1:7">
      <c r="A1444" s="21"/>
      <c r="B1444" s="15"/>
      <c r="C1444" s="15"/>
      <c r="D1444" s="17"/>
      <c r="E1444" s="22">
        <f>IF($A1444="","",YEAR($A1444))</f>
        <v/>
      </c>
      <c r="F1444" s="22">
        <f>IF($A1444="","",MONTH($A1444))</f>
        <v/>
      </c>
      <c r="G1444" s="22">
        <f>IF($B1444="","",IFERROR(INDEX(ContaComp,MATCH($B1444,ContaNome,0)),"Conta inválida"))</f>
        <v/>
      </c>
    </row>
    <row r="1445" spans="1:7">
      <c r="A1445" s="21"/>
      <c r="B1445" s="15"/>
      <c r="C1445" s="15"/>
      <c r="D1445" s="17"/>
      <c r="E1445" s="22">
        <f>IF($A1445="","",YEAR($A1445))</f>
        <v/>
      </c>
      <c r="F1445" s="22">
        <f>IF($A1445="","",MONTH($A1445))</f>
        <v/>
      </c>
      <c r="G1445" s="22">
        <f>IF($B1445="","",IFERROR(INDEX(ContaComp,MATCH($B1445,ContaNome,0)),"Conta inválida"))</f>
        <v/>
      </c>
    </row>
    <row r="1446" spans="1:7">
      <c r="A1446" s="21"/>
      <c r="B1446" s="15"/>
      <c r="C1446" s="15"/>
      <c r="D1446" s="17"/>
      <c r="E1446" s="22">
        <f>IF($A1446="","",YEAR($A1446))</f>
        <v/>
      </c>
      <c r="F1446" s="22">
        <f>IF($A1446="","",MONTH($A1446))</f>
        <v/>
      </c>
      <c r="G1446" s="22">
        <f>IF($B1446="","",IFERROR(INDEX(ContaComp,MATCH($B1446,ContaNome,0)),"Conta inválida"))</f>
        <v/>
      </c>
    </row>
    <row r="1447" spans="1:7">
      <c r="A1447" s="21"/>
      <c r="B1447" s="15"/>
      <c r="C1447" s="15"/>
      <c r="D1447" s="17"/>
      <c r="E1447" s="22">
        <f>IF($A1447="","",YEAR($A1447))</f>
        <v/>
      </c>
      <c r="F1447" s="22">
        <f>IF($A1447="","",MONTH($A1447))</f>
        <v/>
      </c>
      <c r="G1447" s="22">
        <f>IF($B1447="","",IFERROR(INDEX(ContaComp,MATCH($B1447,ContaNome,0)),"Conta inválida"))</f>
        <v/>
      </c>
    </row>
    <row r="1448" spans="1:7">
      <c r="A1448" s="21"/>
      <c r="B1448" s="15"/>
      <c r="C1448" s="15"/>
      <c r="D1448" s="17"/>
      <c r="E1448" s="22">
        <f>IF($A1448="","",YEAR($A1448))</f>
        <v/>
      </c>
      <c r="F1448" s="22">
        <f>IF($A1448="","",MONTH($A1448))</f>
        <v/>
      </c>
      <c r="G1448" s="22">
        <f>IF($B1448="","",IFERROR(INDEX(ContaComp,MATCH($B1448,ContaNome,0)),"Conta inválida"))</f>
        <v/>
      </c>
    </row>
    <row r="1449" spans="1:7">
      <c r="A1449" s="21"/>
      <c r="B1449" s="15"/>
      <c r="C1449" s="15"/>
      <c r="D1449" s="17"/>
      <c r="E1449" s="22">
        <f>IF($A1449="","",YEAR($A1449))</f>
        <v/>
      </c>
      <c r="F1449" s="22">
        <f>IF($A1449="","",MONTH($A1449))</f>
        <v/>
      </c>
      <c r="G1449" s="22">
        <f>IF($B1449="","",IFERROR(INDEX(ContaComp,MATCH($B1449,ContaNome,0)),"Conta inválida"))</f>
        <v/>
      </c>
    </row>
    <row r="1450" spans="1:7">
      <c r="A1450" s="21"/>
      <c r="B1450" s="15"/>
      <c r="C1450" s="15"/>
      <c r="D1450" s="17"/>
      <c r="E1450" s="22">
        <f>IF($A1450="","",YEAR($A1450))</f>
        <v/>
      </c>
      <c r="F1450" s="22">
        <f>IF($A1450="","",MONTH($A1450))</f>
        <v/>
      </c>
      <c r="G1450" s="22">
        <f>IF($B1450="","",IFERROR(INDEX(ContaComp,MATCH($B1450,ContaNome,0)),"Conta inválida"))</f>
        <v/>
      </c>
    </row>
    <row r="1451" spans="1:7">
      <c r="A1451" s="21"/>
      <c r="B1451" s="15"/>
      <c r="C1451" s="15"/>
      <c r="D1451" s="17"/>
      <c r="E1451" s="22">
        <f>IF($A1451="","",YEAR($A1451))</f>
        <v/>
      </c>
      <c r="F1451" s="22">
        <f>IF($A1451="","",MONTH($A1451))</f>
        <v/>
      </c>
      <c r="G1451" s="22">
        <f>IF($B1451="","",IFERROR(INDEX(ContaComp,MATCH($B1451,ContaNome,0)),"Conta inválida"))</f>
        <v/>
      </c>
    </row>
    <row r="1452" spans="1:7">
      <c r="A1452" s="21"/>
      <c r="B1452" s="15"/>
      <c r="C1452" s="15"/>
      <c r="D1452" s="17"/>
      <c r="E1452" s="22">
        <f>IF($A1452="","",YEAR($A1452))</f>
        <v/>
      </c>
      <c r="F1452" s="22">
        <f>IF($A1452="","",MONTH($A1452))</f>
        <v/>
      </c>
      <c r="G1452" s="22">
        <f>IF($B1452="","",IFERROR(INDEX(ContaComp,MATCH($B1452,ContaNome,0)),"Conta inválida"))</f>
        <v/>
      </c>
    </row>
    <row r="1453" spans="1:7">
      <c r="A1453" s="21"/>
      <c r="B1453" s="15"/>
      <c r="C1453" s="15"/>
      <c r="D1453" s="17"/>
      <c r="E1453" s="22">
        <f>IF($A1453="","",YEAR($A1453))</f>
        <v/>
      </c>
      <c r="F1453" s="22">
        <f>IF($A1453="","",MONTH($A1453))</f>
        <v/>
      </c>
      <c r="G1453" s="22">
        <f>IF($B1453="","",IFERROR(INDEX(ContaComp,MATCH($B1453,ContaNome,0)),"Conta inválida"))</f>
        <v/>
      </c>
    </row>
    <row r="1454" spans="1:7">
      <c r="A1454" s="21"/>
      <c r="B1454" s="15"/>
      <c r="C1454" s="15"/>
      <c r="D1454" s="17"/>
      <c r="E1454" s="22">
        <f>IF($A1454="","",YEAR($A1454))</f>
        <v/>
      </c>
      <c r="F1454" s="22">
        <f>IF($A1454="","",MONTH($A1454))</f>
        <v/>
      </c>
      <c r="G1454" s="22">
        <f>IF($B1454="","",IFERROR(INDEX(ContaComp,MATCH($B1454,ContaNome,0)),"Conta inválida"))</f>
        <v/>
      </c>
    </row>
    <row r="1455" spans="1:7">
      <c r="A1455" s="21"/>
      <c r="B1455" s="15"/>
      <c r="C1455" s="15"/>
      <c r="D1455" s="17"/>
      <c r="E1455" s="22">
        <f>IF($A1455="","",YEAR($A1455))</f>
        <v/>
      </c>
      <c r="F1455" s="22">
        <f>IF($A1455="","",MONTH($A1455))</f>
        <v/>
      </c>
      <c r="G1455" s="22">
        <f>IF($B1455="","",IFERROR(INDEX(ContaComp,MATCH($B1455,ContaNome,0)),"Conta inválida"))</f>
        <v/>
      </c>
    </row>
    <row r="1456" spans="1:7">
      <c r="A1456" s="21"/>
      <c r="B1456" s="15"/>
      <c r="C1456" s="15"/>
      <c r="D1456" s="17"/>
      <c r="E1456" s="22">
        <f>IF($A1456="","",YEAR($A1456))</f>
        <v/>
      </c>
      <c r="F1456" s="22">
        <f>IF($A1456="","",MONTH($A1456))</f>
        <v/>
      </c>
      <c r="G1456" s="22">
        <f>IF($B1456="","",IFERROR(INDEX(ContaComp,MATCH($B1456,ContaNome,0)),"Conta inválida"))</f>
        <v/>
      </c>
    </row>
    <row r="1457" spans="1:7">
      <c r="A1457" s="21"/>
      <c r="B1457" s="15"/>
      <c r="C1457" s="15"/>
      <c r="D1457" s="17"/>
      <c r="E1457" s="22">
        <f>IF($A1457="","",YEAR($A1457))</f>
        <v/>
      </c>
      <c r="F1457" s="22">
        <f>IF($A1457="","",MONTH($A1457))</f>
        <v/>
      </c>
      <c r="G1457" s="22">
        <f>IF($B1457="","",IFERROR(INDEX(ContaComp,MATCH($B1457,ContaNome,0)),"Conta inválida"))</f>
        <v/>
      </c>
    </row>
    <row r="1458" spans="1:7">
      <c r="A1458" s="21"/>
      <c r="B1458" s="15"/>
      <c r="C1458" s="15"/>
      <c r="D1458" s="17"/>
      <c r="E1458" s="22">
        <f>IF($A1458="","",YEAR($A1458))</f>
        <v/>
      </c>
      <c r="F1458" s="22">
        <f>IF($A1458="","",MONTH($A1458))</f>
        <v/>
      </c>
      <c r="G1458" s="22">
        <f>IF($B1458="","",IFERROR(INDEX(ContaComp,MATCH($B1458,ContaNome,0)),"Conta inválida"))</f>
        <v/>
      </c>
    </row>
    <row r="1459" spans="1:7">
      <c r="A1459" s="21"/>
      <c r="B1459" s="15"/>
      <c r="C1459" s="15"/>
      <c r="D1459" s="17"/>
      <c r="E1459" s="22">
        <f>IF($A1459="","",YEAR($A1459))</f>
        <v/>
      </c>
      <c r="F1459" s="22">
        <f>IF($A1459="","",MONTH($A1459))</f>
        <v/>
      </c>
      <c r="G1459" s="22">
        <f>IF($B1459="","",IFERROR(INDEX(ContaComp,MATCH($B1459,ContaNome,0)),"Conta inválida"))</f>
        <v/>
      </c>
    </row>
    <row r="1460" spans="1:7">
      <c r="A1460" s="21"/>
      <c r="B1460" s="15"/>
      <c r="C1460" s="15"/>
      <c r="D1460" s="17"/>
      <c r="E1460" s="22">
        <f>IF($A1460="","",YEAR($A1460))</f>
        <v/>
      </c>
      <c r="F1460" s="22">
        <f>IF($A1460="","",MONTH($A1460))</f>
        <v/>
      </c>
      <c r="G1460" s="22">
        <f>IF($B1460="","",IFERROR(INDEX(ContaComp,MATCH($B1460,ContaNome,0)),"Conta inválida"))</f>
        <v/>
      </c>
    </row>
    <row r="1461" spans="1:7">
      <c r="A1461" s="21"/>
      <c r="B1461" s="15"/>
      <c r="C1461" s="15"/>
      <c r="D1461" s="17"/>
      <c r="E1461" s="22">
        <f>IF($A1461="","",YEAR($A1461))</f>
        <v/>
      </c>
      <c r="F1461" s="22">
        <f>IF($A1461="","",MONTH($A1461))</f>
        <v/>
      </c>
      <c r="G1461" s="22">
        <f>IF($B1461="","",IFERROR(INDEX(ContaComp,MATCH($B1461,ContaNome,0)),"Conta inválida"))</f>
        <v/>
      </c>
    </row>
    <row r="1462" spans="1:7">
      <c r="A1462" s="21"/>
      <c r="B1462" s="15"/>
      <c r="C1462" s="15"/>
      <c r="D1462" s="17"/>
      <c r="E1462" s="22">
        <f>IF($A1462="","",YEAR($A1462))</f>
        <v/>
      </c>
      <c r="F1462" s="22">
        <f>IF($A1462="","",MONTH($A1462))</f>
        <v/>
      </c>
      <c r="G1462" s="22">
        <f>IF($B1462="","",IFERROR(INDEX(ContaComp,MATCH($B1462,ContaNome,0)),"Conta inválida"))</f>
        <v/>
      </c>
    </row>
    <row r="1463" spans="1:7">
      <c r="A1463" s="21"/>
      <c r="B1463" s="15"/>
      <c r="C1463" s="15"/>
      <c r="D1463" s="17"/>
      <c r="E1463" s="22">
        <f>IF($A1463="","",YEAR($A1463))</f>
        <v/>
      </c>
      <c r="F1463" s="22">
        <f>IF($A1463="","",MONTH($A1463))</f>
        <v/>
      </c>
      <c r="G1463" s="22">
        <f>IF($B1463="","",IFERROR(INDEX(ContaComp,MATCH($B1463,ContaNome,0)),"Conta inválida"))</f>
        <v/>
      </c>
    </row>
    <row r="1464" spans="1:7">
      <c r="A1464" s="21"/>
      <c r="B1464" s="15"/>
      <c r="C1464" s="15"/>
      <c r="D1464" s="17"/>
      <c r="E1464" s="22">
        <f>IF($A1464="","",YEAR($A1464))</f>
        <v/>
      </c>
      <c r="F1464" s="22">
        <f>IF($A1464="","",MONTH($A1464))</f>
        <v/>
      </c>
      <c r="G1464" s="22">
        <f>IF($B1464="","",IFERROR(INDEX(ContaComp,MATCH($B1464,ContaNome,0)),"Conta inválida"))</f>
        <v/>
      </c>
    </row>
    <row r="1465" spans="1:7">
      <c r="A1465" s="21"/>
      <c r="B1465" s="15"/>
      <c r="C1465" s="15"/>
      <c r="D1465" s="17"/>
      <c r="E1465" s="22">
        <f>IF($A1465="","",YEAR($A1465))</f>
        <v/>
      </c>
      <c r="F1465" s="22">
        <f>IF($A1465="","",MONTH($A1465))</f>
        <v/>
      </c>
      <c r="G1465" s="22">
        <f>IF($B1465="","",IFERROR(INDEX(ContaComp,MATCH($B1465,ContaNome,0)),"Conta inválida"))</f>
        <v/>
      </c>
    </row>
    <row r="1466" spans="1:7">
      <c r="A1466" s="21"/>
      <c r="B1466" s="15"/>
      <c r="C1466" s="15"/>
      <c r="D1466" s="17"/>
      <c r="E1466" s="22">
        <f>IF($A1466="","",YEAR($A1466))</f>
        <v/>
      </c>
      <c r="F1466" s="22">
        <f>IF($A1466="","",MONTH($A1466))</f>
        <v/>
      </c>
      <c r="G1466" s="22">
        <f>IF($B1466="","",IFERROR(INDEX(ContaComp,MATCH($B1466,ContaNome,0)),"Conta inválida"))</f>
        <v/>
      </c>
    </row>
    <row r="1467" spans="1:7">
      <c r="A1467" s="21"/>
      <c r="B1467" s="15"/>
      <c r="C1467" s="15"/>
      <c r="D1467" s="17"/>
      <c r="E1467" s="22">
        <f>IF($A1467="","",YEAR($A1467))</f>
        <v/>
      </c>
      <c r="F1467" s="22">
        <f>IF($A1467="","",MONTH($A1467))</f>
        <v/>
      </c>
      <c r="G1467" s="22">
        <f>IF($B1467="","",IFERROR(INDEX(ContaComp,MATCH($B1467,ContaNome,0)),"Conta inválida"))</f>
        <v/>
      </c>
    </row>
    <row r="1468" spans="1:7">
      <c r="A1468" s="21"/>
      <c r="B1468" s="15"/>
      <c r="C1468" s="15"/>
      <c r="D1468" s="17"/>
      <c r="E1468" s="22">
        <f>IF($A1468="","",YEAR($A1468))</f>
        <v/>
      </c>
      <c r="F1468" s="22">
        <f>IF($A1468="","",MONTH($A1468))</f>
        <v/>
      </c>
      <c r="G1468" s="22">
        <f>IF($B1468="","",IFERROR(INDEX(ContaComp,MATCH($B1468,ContaNome,0)),"Conta inválida"))</f>
        <v/>
      </c>
    </row>
    <row r="1469" spans="1:7">
      <c r="A1469" s="21"/>
      <c r="B1469" s="15"/>
      <c r="C1469" s="15"/>
      <c r="D1469" s="17"/>
      <c r="E1469" s="22">
        <f>IF($A1469="","",YEAR($A1469))</f>
        <v/>
      </c>
      <c r="F1469" s="22">
        <f>IF($A1469="","",MONTH($A1469))</f>
        <v/>
      </c>
      <c r="G1469" s="22">
        <f>IF($B1469="","",IFERROR(INDEX(ContaComp,MATCH($B1469,ContaNome,0)),"Conta inválida"))</f>
        <v/>
      </c>
    </row>
    <row r="1470" spans="1:7">
      <c r="A1470" s="21"/>
      <c r="B1470" s="15"/>
      <c r="C1470" s="15"/>
      <c r="D1470" s="17"/>
      <c r="E1470" s="22">
        <f>IF($A1470="","",YEAR($A1470))</f>
        <v/>
      </c>
      <c r="F1470" s="22">
        <f>IF($A1470="","",MONTH($A1470))</f>
        <v/>
      </c>
      <c r="G1470" s="22">
        <f>IF($B1470="","",IFERROR(INDEX(ContaComp,MATCH($B1470,ContaNome,0)),"Conta inválida"))</f>
        <v/>
      </c>
    </row>
    <row r="1471" spans="1:7">
      <c r="A1471" s="21"/>
      <c r="B1471" s="15"/>
      <c r="C1471" s="15"/>
      <c r="D1471" s="17"/>
      <c r="E1471" s="22">
        <f>IF($A1471="","",YEAR($A1471))</f>
        <v/>
      </c>
      <c r="F1471" s="22">
        <f>IF($A1471="","",MONTH($A1471))</f>
        <v/>
      </c>
      <c r="G1471" s="22">
        <f>IF($B1471="","",IFERROR(INDEX(ContaComp,MATCH($B1471,ContaNome,0)),"Conta inválida"))</f>
        <v/>
      </c>
    </row>
    <row r="1472" spans="1:7">
      <c r="A1472" s="21"/>
      <c r="B1472" s="15"/>
      <c r="C1472" s="15"/>
      <c r="D1472" s="17"/>
      <c r="E1472" s="22">
        <f>IF($A1472="","",YEAR($A1472))</f>
        <v/>
      </c>
      <c r="F1472" s="22">
        <f>IF($A1472="","",MONTH($A1472))</f>
        <v/>
      </c>
      <c r="G1472" s="22">
        <f>IF($B1472="","",IFERROR(INDEX(ContaComp,MATCH($B1472,ContaNome,0)),"Conta inválida"))</f>
        <v/>
      </c>
    </row>
    <row r="1473" spans="1:7">
      <c r="A1473" s="21"/>
      <c r="B1473" s="15"/>
      <c r="C1473" s="15"/>
      <c r="D1473" s="17"/>
      <c r="E1473" s="22">
        <f>IF($A1473="","",YEAR($A1473))</f>
        <v/>
      </c>
      <c r="F1473" s="22">
        <f>IF($A1473="","",MONTH($A1473))</f>
        <v/>
      </c>
      <c r="G1473" s="22">
        <f>IF($B1473="","",IFERROR(INDEX(ContaComp,MATCH($B1473,ContaNome,0)),"Conta inválida"))</f>
        <v/>
      </c>
    </row>
    <row r="1474" spans="1:7">
      <c r="A1474" s="21"/>
      <c r="B1474" s="15"/>
      <c r="C1474" s="15"/>
      <c r="D1474" s="17"/>
      <c r="E1474" s="22">
        <f>IF($A1474="","",YEAR($A1474))</f>
        <v/>
      </c>
      <c r="F1474" s="22">
        <f>IF($A1474="","",MONTH($A1474))</f>
        <v/>
      </c>
      <c r="G1474" s="22">
        <f>IF($B1474="","",IFERROR(INDEX(ContaComp,MATCH($B1474,ContaNome,0)),"Conta inválida"))</f>
        <v/>
      </c>
    </row>
    <row r="1475" spans="1:7">
      <c r="A1475" s="21"/>
      <c r="B1475" s="15"/>
      <c r="C1475" s="15"/>
      <c r="D1475" s="17"/>
      <c r="E1475" s="22">
        <f>IF($A1475="","",YEAR($A1475))</f>
        <v/>
      </c>
      <c r="F1475" s="22">
        <f>IF($A1475="","",MONTH($A1475))</f>
        <v/>
      </c>
      <c r="G1475" s="22">
        <f>IF($B1475="","",IFERROR(INDEX(ContaComp,MATCH($B1475,ContaNome,0)),"Conta inválida"))</f>
        <v/>
      </c>
    </row>
    <row r="1476" spans="1:7">
      <c r="A1476" s="21"/>
      <c r="B1476" s="15"/>
      <c r="C1476" s="15"/>
      <c r="D1476" s="17"/>
      <c r="E1476" s="22">
        <f>IF($A1476="","",YEAR($A1476))</f>
        <v/>
      </c>
      <c r="F1476" s="22">
        <f>IF($A1476="","",MONTH($A1476))</f>
        <v/>
      </c>
      <c r="G1476" s="22">
        <f>IF($B1476="","",IFERROR(INDEX(ContaComp,MATCH($B1476,ContaNome,0)),"Conta inválida"))</f>
        <v/>
      </c>
    </row>
    <row r="1477" spans="1:7">
      <c r="A1477" s="21"/>
      <c r="B1477" s="15"/>
      <c r="C1477" s="15"/>
      <c r="D1477" s="17"/>
      <c r="E1477" s="22">
        <f>IF($A1477="","",YEAR($A1477))</f>
        <v/>
      </c>
      <c r="F1477" s="22">
        <f>IF($A1477="","",MONTH($A1477))</f>
        <v/>
      </c>
      <c r="G1477" s="22">
        <f>IF($B1477="","",IFERROR(INDEX(ContaComp,MATCH($B1477,ContaNome,0)),"Conta inválida"))</f>
        <v/>
      </c>
    </row>
    <row r="1478" spans="1:7">
      <c r="A1478" s="21"/>
      <c r="B1478" s="15"/>
      <c r="C1478" s="15"/>
      <c r="D1478" s="17"/>
      <c r="E1478" s="22">
        <f>IF($A1478="","",YEAR($A1478))</f>
        <v/>
      </c>
      <c r="F1478" s="22">
        <f>IF($A1478="","",MONTH($A1478))</f>
        <v/>
      </c>
      <c r="G1478" s="22">
        <f>IF($B1478="","",IFERROR(INDEX(ContaComp,MATCH($B1478,ContaNome,0)),"Conta inválida"))</f>
        <v/>
      </c>
    </row>
    <row r="1479" spans="1:7">
      <c r="A1479" s="21"/>
      <c r="B1479" s="15"/>
      <c r="C1479" s="15"/>
      <c r="D1479" s="17"/>
      <c r="E1479" s="22">
        <f>IF($A1479="","",YEAR($A1479))</f>
        <v/>
      </c>
      <c r="F1479" s="22">
        <f>IF($A1479="","",MONTH($A1479))</f>
        <v/>
      </c>
      <c r="G1479" s="22">
        <f>IF($B1479="","",IFERROR(INDEX(ContaComp,MATCH($B1479,ContaNome,0)),"Conta inválida"))</f>
        <v/>
      </c>
    </row>
    <row r="1480" spans="1:7">
      <c r="A1480" s="21"/>
      <c r="B1480" s="15"/>
      <c r="C1480" s="15"/>
      <c r="D1480" s="17"/>
      <c r="E1480" s="22">
        <f>IF($A1480="","",YEAR($A1480))</f>
        <v/>
      </c>
      <c r="F1480" s="22">
        <f>IF($A1480="","",MONTH($A1480))</f>
        <v/>
      </c>
      <c r="G1480" s="22">
        <f>IF($B1480="","",IFERROR(INDEX(ContaComp,MATCH($B1480,ContaNome,0)),"Conta inválida"))</f>
        <v/>
      </c>
    </row>
    <row r="1481" spans="1:7">
      <c r="A1481" s="21"/>
      <c r="B1481" s="15"/>
      <c r="C1481" s="15"/>
      <c r="D1481" s="17"/>
      <c r="E1481" s="22">
        <f>IF($A1481="","",YEAR($A1481))</f>
        <v/>
      </c>
      <c r="F1481" s="22">
        <f>IF($A1481="","",MONTH($A1481))</f>
        <v/>
      </c>
      <c r="G1481" s="22">
        <f>IF($B1481="","",IFERROR(INDEX(ContaComp,MATCH($B1481,ContaNome,0)),"Conta inválida"))</f>
        <v/>
      </c>
    </row>
    <row r="1482" spans="1:7">
      <c r="A1482" s="21"/>
      <c r="B1482" s="15"/>
      <c r="C1482" s="15"/>
      <c r="D1482" s="17"/>
      <c r="E1482" s="22">
        <f>IF($A1482="","",YEAR($A1482))</f>
        <v/>
      </c>
      <c r="F1482" s="22">
        <f>IF($A1482="","",MONTH($A1482))</f>
        <v/>
      </c>
      <c r="G1482" s="22">
        <f>IF($B1482="","",IFERROR(INDEX(ContaComp,MATCH($B1482,ContaNome,0)),"Conta inválida"))</f>
        <v/>
      </c>
    </row>
    <row r="1483" spans="1:7">
      <c r="A1483" s="21"/>
      <c r="B1483" s="15"/>
      <c r="C1483" s="15"/>
      <c r="D1483" s="17"/>
      <c r="E1483" s="22">
        <f>IF($A1483="","",YEAR($A1483))</f>
        <v/>
      </c>
      <c r="F1483" s="22">
        <f>IF($A1483="","",MONTH($A1483))</f>
        <v/>
      </c>
      <c r="G1483" s="22">
        <f>IF($B1483="","",IFERROR(INDEX(ContaComp,MATCH($B1483,ContaNome,0)),"Conta inválida"))</f>
        <v/>
      </c>
    </row>
    <row r="1484" spans="1:7">
      <c r="A1484" s="21"/>
      <c r="B1484" s="15"/>
      <c r="C1484" s="15"/>
      <c r="D1484" s="17"/>
      <c r="E1484" s="22">
        <f>IF($A1484="","",YEAR($A1484))</f>
        <v/>
      </c>
      <c r="F1484" s="22">
        <f>IF($A1484="","",MONTH($A1484))</f>
        <v/>
      </c>
      <c r="G1484" s="22">
        <f>IF($B1484="","",IFERROR(INDEX(ContaComp,MATCH($B1484,ContaNome,0)),"Conta inválida"))</f>
        <v/>
      </c>
    </row>
    <row r="1485" spans="1:7">
      <c r="A1485" s="21"/>
      <c r="B1485" s="15"/>
      <c r="C1485" s="15"/>
      <c r="D1485" s="17"/>
      <c r="E1485" s="22">
        <f>IF($A1485="","",YEAR($A1485))</f>
        <v/>
      </c>
      <c r="F1485" s="22">
        <f>IF($A1485="","",MONTH($A1485))</f>
        <v/>
      </c>
      <c r="G1485" s="22">
        <f>IF($B1485="","",IFERROR(INDEX(ContaComp,MATCH($B1485,ContaNome,0)),"Conta inválida"))</f>
        <v/>
      </c>
    </row>
    <row r="1486" spans="1:7">
      <c r="A1486" s="21"/>
      <c r="B1486" s="15"/>
      <c r="C1486" s="15"/>
      <c r="D1486" s="17"/>
      <c r="E1486" s="22">
        <f>IF($A1486="","",YEAR($A1486))</f>
        <v/>
      </c>
      <c r="F1486" s="22">
        <f>IF($A1486="","",MONTH($A1486))</f>
        <v/>
      </c>
      <c r="G1486" s="22">
        <f>IF($B1486="","",IFERROR(INDEX(ContaComp,MATCH($B1486,ContaNome,0)),"Conta inválida"))</f>
        <v/>
      </c>
    </row>
    <row r="1487" spans="1:7">
      <c r="A1487" s="21"/>
      <c r="B1487" s="15"/>
      <c r="C1487" s="15"/>
      <c r="D1487" s="17"/>
      <c r="E1487" s="22">
        <f>IF($A1487="","",YEAR($A1487))</f>
        <v/>
      </c>
      <c r="F1487" s="22">
        <f>IF($A1487="","",MONTH($A1487))</f>
        <v/>
      </c>
      <c r="G1487" s="22">
        <f>IF($B1487="","",IFERROR(INDEX(ContaComp,MATCH($B1487,ContaNome,0)),"Conta inválida"))</f>
        <v/>
      </c>
    </row>
    <row r="1488" spans="1:7">
      <c r="A1488" s="21"/>
      <c r="B1488" s="15"/>
      <c r="C1488" s="15"/>
      <c r="D1488" s="17"/>
      <c r="E1488" s="22">
        <f>IF($A1488="","",YEAR($A1488))</f>
        <v/>
      </c>
      <c r="F1488" s="22">
        <f>IF($A1488="","",MONTH($A1488))</f>
        <v/>
      </c>
      <c r="G1488" s="22">
        <f>IF($B1488="","",IFERROR(INDEX(ContaComp,MATCH($B1488,ContaNome,0)),"Conta inválida"))</f>
        <v/>
      </c>
    </row>
    <row r="1489" spans="1:7">
      <c r="A1489" s="21"/>
      <c r="B1489" s="15"/>
      <c r="C1489" s="15"/>
      <c r="D1489" s="17"/>
      <c r="E1489" s="22">
        <f>IF($A1489="","",YEAR($A1489))</f>
        <v/>
      </c>
      <c r="F1489" s="22">
        <f>IF($A1489="","",MONTH($A1489))</f>
        <v/>
      </c>
      <c r="G1489" s="22">
        <f>IF($B1489="","",IFERROR(INDEX(ContaComp,MATCH($B1489,ContaNome,0)),"Conta inválida"))</f>
        <v/>
      </c>
    </row>
    <row r="1490" spans="1:7">
      <c r="A1490" s="21"/>
      <c r="B1490" s="15"/>
      <c r="C1490" s="15"/>
      <c r="D1490" s="17"/>
      <c r="E1490" s="22">
        <f>IF($A1490="","",YEAR($A1490))</f>
        <v/>
      </c>
      <c r="F1490" s="22">
        <f>IF($A1490="","",MONTH($A1490))</f>
        <v/>
      </c>
      <c r="G1490" s="22">
        <f>IF($B1490="","",IFERROR(INDEX(ContaComp,MATCH($B1490,ContaNome,0)),"Conta inválida"))</f>
        <v/>
      </c>
    </row>
    <row r="1491" spans="1:7">
      <c r="A1491" s="21"/>
      <c r="B1491" s="15"/>
      <c r="C1491" s="15"/>
      <c r="D1491" s="17"/>
      <c r="E1491" s="22">
        <f>IF($A1491="","",YEAR($A1491))</f>
        <v/>
      </c>
      <c r="F1491" s="22">
        <f>IF($A1491="","",MONTH($A1491))</f>
        <v/>
      </c>
      <c r="G1491" s="22">
        <f>IF($B1491="","",IFERROR(INDEX(ContaComp,MATCH($B1491,ContaNome,0)),"Conta inválida"))</f>
        <v/>
      </c>
    </row>
    <row r="1492" spans="1:7">
      <c r="A1492" s="21"/>
      <c r="B1492" s="15"/>
      <c r="C1492" s="15"/>
      <c r="D1492" s="17"/>
      <c r="E1492" s="22">
        <f>IF($A1492="","",YEAR($A1492))</f>
        <v/>
      </c>
      <c r="F1492" s="22">
        <f>IF($A1492="","",MONTH($A1492))</f>
        <v/>
      </c>
      <c r="G1492" s="22">
        <f>IF($B1492="","",IFERROR(INDEX(ContaComp,MATCH($B1492,ContaNome,0)),"Conta inválida"))</f>
        <v/>
      </c>
    </row>
    <row r="1493" spans="1:7">
      <c r="A1493" s="21"/>
      <c r="B1493" s="15"/>
      <c r="C1493" s="15"/>
      <c r="D1493" s="17"/>
      <c r="E1493" s="22">
        <f>IF($A1493="","",YEAR($A1493))</f>
        <v/>
      </c>
      <c r="F1493" s="22">
        <f>IF($A1493="","",MONTH($A1493))</f>
        <v/>
      </c>
      <c r="G1493" s="22">
        <f>IF($B1493="","",IFERROR(INDEX(ContaComp,MATCH($B1493,ContaNome,0)),"Conta inválida"))</f>
        <v/>
      </c>
    </row>
    <row r="1494" spans="1:7">
      <c r="A1494" s="21"/>
      <c r="B1494" s="15"/>
      <c r="C1494" s="15"/>
      <c r="D1494" s="17"/>
      <c r="E1494" s="22">
        <f>IF($A1494="","",YEAR($A1494))</f>
        <v/>
      </c>
      <c r="F1494" s="22">
        <f>IF($A1494="","",MONTH($A1494))</f>
        <v/>
      </c>
      <c r="G1494" s="22">
        <f>IF($B1494="","",IFERROR(INDEX(ContaComp,MATCH($B1494,ContaNome,0)),"Conta inválida"))</f>
        <v/>
      </c>
    </row>
    <row r="1495" spans="1:7">
      <c r="A1495" s="21"/>
      <c r="B1495" s="15"/>
      <c r="C1495" s="15"/>
      <c r="D1495" s="17"/>
      <c r="E1495" s="22">
        <f>IF($A1495="","",YEAR($A1495))</f>
        <v/>
      </c>
      <c r="F1495" s="22">
        <f>IF($A1495="","",MONTH($A1495))</f>
        <v/>
      </c>
      <c r="G1495" s="22">
        <f>IF($B1495="","",IFERROR(INDEX(ContaComp,MATCH($B1495,ContaNome,0)),"Conta inválida"))</f>
        <v/>
      </c>
    </row>
    <row r="1496" spans="1:7">
      <c r="A1496" s="21"/>
      <c r="B1496" s="15"/>
      <c r="C1496" s="15"/>
      <c r="D1496" s="17"/>
      <c r="E1496" s="22">
        <f>IF($A1496="","",YEAR($A1496))</f>
        <v/>
      </c>
      <c r="F1496" s="22">
        <f>IF($A1496="","",MONTH($A1496))</f>
        <v/>
      </c>
      <c r="G1496" s="22">
        <f>IF($B1496="","",IFERROR(INDEX(ContaComp,MATCH($B1496,ContaNome,0)),"Conta inválida"))</f>
        <v/>
      </c>
    </row>
    <row r="1497" spans="1:7">
      <c r="A1497" s="21"/>
      <c r="B1497" s="15"/>
      <c r="C1497" s="15"/>
      <c r="D1497" s="17"/>
      <c r="E1497" s="22">
        <f>IF($A1497="","",YEAR($A1497))</f>
        <v/>
      </c>
      <c r="F1497" s="22">
        <f>IF($A1497="","",MONTH($A1497))</f>
        <v/>
      </c>
      <c r="G1497" s="22">
        <f>IF($B1497="","",IFERROR(INDEX(ContaComp,MATCH($B1497,ContaNome,0)),"Conta inválida"))</f>
        <v/>
      </c>
    </row>
    <row r="1498" spans="1:7">
      <c r="A1498" s="21"/>
      <c r="B1498" s="15"/>
      <c r="C1498" s="15"/>
      <c r="D1498" s="17"/>
      <c r="E1498" s="22">
        <f>IF($A1498="","",YEAR($A1498))</f>
        <v/>
      </c>
      <c r="F1498" s="22">
        <f>IF($A1498="","",MONTH($A1498))</f>
        <v/>
      </c>
      <c r="G1498" s="22">
        <f>IF($B1498="","",IFERROR(INDEX(ContaComp,MATCH($B1498,ContaNome,0)),"Conta inválida"))</f>
        <v/>
      </c>
    </row>
    <row r="1499" spans="1:7">
      <c r="A1499" s="21"/>
      <c r="B1499" s="15"/>
      <c r="C1499" s="15"/>
      <c r="D1499" s="17"/>
      <c r="E1499" s="22">
        <f>IF($A1499="","",YEAR($A1499))</f>
        <v/>
      </c>
      <c r="F1499" s="22">
        <f>IF($A1499="","",MONTH($A1499))</f>
        <v/>
      </c>
      <c r="G1499" s="22">
        <f>IF($B1499="","",IFERROR(INDEX(ContaComp,MATCH($B1499,ContaNome,0)),"Conta inválida"))</f>
        <v/>
      </c>
    </row>
    <row r="1500" spans="1:7">
      <c r="A1500" s="21"/>
      <c r="B1500" s="15"/>
      <c r="C1500" s="15"/>
      <c r="D1500" s="17"/>
      <c r="E1500" s="22">
        <f>IF($A1500="","",YEAR($A1500))</f>
        <v/>
      </c>
      <c r="F1500" s="22">
        <f>IF($A1500="","",MONTH($A1500))</f>
        <v/>
      </c>
      <c r="G1500" s="22">
        <f>IF($B1500="","",IFERROR(INDEX(ContaComp,MATCH($B1500,ContaNome,0)),"Conta inválida"))</f>
        <v/>
      </c>
    </row>
    <row r="1501" spans="1:7">
      <c r="A1501" s="21"/>
      <c r="B1501" s="15"/>
      <c r="C1501" s="15"/>
      <c r="D1501" s="17"/>
      <c r="E1501" s="22">
        <f>IF($A1501="","",YEAR($A1501))</f>
        <v/>
      </c>
      <c r="F1501" s="22">
        <f>IF($A1501="","",MONTH($A1501))</f>
        <v/>
      </c>
      <c r="G1501" s="22">
        <f>IF($B1501="","",IFERROR(INDEX(ContaComp,MATCH($B1501,ContaNome,0)),"Conta inválida"))</f>
        <v/>
      </c>
    </row>
    <row r="1502" spans="1:7">
      <c r="A1502" s="21"/>
      <c r="B1502" s="15"/>
      <c r="C1502" s="15"/>
      <c r="D1502" s="17"/>
      <c r="E1502" s="22">
        <f>IF($A1502="","",YEAR($A1502))</f>
        <v/>
      </c>
      <c r="F1502" s="22">
        <f>IF($A1502="","",MONTH($A1502))</f>
        <v/>
      </c>
      <c r="G1502" s="22">
        <f>IF($B1502="","",IFERROR(INDEX(ContaComp,MATCH($B1502,ContaNome,0)),"Conta inválida"))</f>
        <v/>
      </c>
    </row>
    <row r="1503" spans="1:7">
      <c r="A1503" s="21"/>
      <c r="B1503" s="15"/>
      <c r="C1503" s="15"/>
      <c r="D1503" s="17"/>
      <c r="E1503" s="22">
        <f>IF($A1503="","",YEAR($A1503))</f>
        <v/>
      </c>
      <c r="F1503" s="22">
        <f>IF($A1503="","",MONTH($A1503))</f>
        <v/>
      </c>
      <c r="G1503" s="22">
        <f>IF($B1503="","",IFERROR(INDEX(ContaComp,MATCH($B1503,ContaNome,0)),"Conta inválida"))</f>
        <v/>
      </c>
    </row>
    <row r="1504" spans="1:7">
      <c r="A1504" s="21"/>
      <c r="B1504" s="15"/>
      <c r="C1504" s="15"/>
      <c r="D1504" s="17"/>
      <c r="E1504" s="22">
        <f>IF($A1504="","",YEAR($A1504))</f>
        <v/>
      </c>
      <c r="F1504" s="22">
        <f>IF($A1504="","",MONTH($A1504))</f>
        <v/>
      </c>
      <c r="G1504" s="22">
        <f>IF($B1504="","",IFERROR(INDEX(ContaComp,MATCH($B1504,ContaNome,0)),"Conta inválida"))</f>
        <v/>
      </c>
    </row>
  </sheetData>
  <autoFilter ref="A4:G1504"/>
  <mergeCells count="2">
    <mergeCell ref="A1:G1"/>
    <mergeCell ref="A2:G2"/>
  </mergeCells>
  <dataValidations count="3">
    <dataValidation type="date" operator="greaterThanOrEqual" allowBlank="1" showInputMessage="1" showErrorMessage="1" errorTitle="Data inválida" error="Digite uma data válida (dd/mm/aaaa)." promptTitle="Data" prompt="Digite a data no formato dd/mm/aaaa" sqref="A5:A1504">
      <formula1>36526</formula1>
    </dataValidation>
    <dataValidation type="list" allowBlank="1" showInputMessage="1" showErrorMessage="1" errorTitle="Valor inválido" error="Escolha um item da lista." sqref="B5:B1504">
      <formula1>ContaNome</formula1>
    </dataValidation>
    <dataValidation type="decimal" operator="greaterThanOrEqual" allowBlank="1" showInputMessage="1" showErrorMessage="1" errorTitle="Valor inválido" error="Digite um número maior ou igual a 0." promptTitle="Dica" prompt="Digite sempre positivo" sqref="D5:D15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DRE e Ponto de Equilíbrio&amp;R&amp;8Página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O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13" width="12.28515625" customWidth="1"/>
    <col min="14" max="14" width="14.7109375" customWidth="1"/>
    <col min="15" max="15" width="10.7109375" customWidth="1"/>
  </cols>
  <sheetData>
    <row r="1" spans="1:15" ht="36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3" t="s">
        <v>39</v>
      </c>
    </row>
    <row r="4" spans="1:15" ht="26" customHeight="1">
      <c r="A4" s="11" t="s">
        <v>97</v>
      </c>
      <c r="B4" s="23">
        <f>DATE(Ano,1,1)</f>
        <v>46023.0</v>
      </c>
      <c r="C4" s="23">
        <f>DATE(Ano,2,1)</f>
        <v>46054.0</v>
      </c>
      <c r="D4" s="23">
        <f>DATE(Ano,3,1)</f>
        <v>46082.0</v>
      </c>
      <c r="E4" s="23">
        <f>DATE(Ano,4,1)</f>
        <v>46113.0</v>
      </c>
      <c r="F4" s="23">
        <f>DATE(Ano,5,1)</f>
        <v>46143.0</v>
      </c>
      <c r="G4" s="23">
        <f>DATE(Ano,6,1)</f>
        <v>46174.0</v>
      </c>
      <c r="H4" s="23">
        <f>DATE(Ano,7,1)</f>
        <v>46204.0</v>
      </c>
      <c r="I4" s="23">
        <f>DATE(Ano,8,1)</f>
        <v>46235.0</v>
      </c>
      <c r="J4" s="23">
        <f>DATE(Ano,9,1)</f>
        <v>46266.0</v>
      </c>
      <c r="K4" s="23">
        <f>DATE(Ano,10,1)</f>
        <v>46296.0</v>
      </c>
      <c r="L4" s="23">
        <f>DATE(Ano,11,1)</f>
        <v>46327.0</v>
      </c>
      <c r="M4" s="23">
        <f>DATE(Ano,12,1)</f>
        <v>46357.0</v>
      </c>
      <c r="N4" s="11" t="s">
        <v>98</v>
      </c>
      <c r="O4" s="11" t="s">
        <v>99</v>
      </c>
    </row>
    <row r="5" spans="1:15">
      <c r="A5" s="24" t="s">
        <v>47</v>
      </c>
      <c r="B5" s="25">
        <f>SUMIFS('Lançamentos'!$D$5:$D$1504,'Lançamentos'!$B$5:$B$1504,"Receita bruta",'Lançamentos'!$E$5:$E$1504,Ano,'Lançamentos'!$F$5:$F$1504,MONTH(B$4))</f>
        <v>75044.1</v>
      </c>
      <c r="C5" s="25">
        <f>SUMIFS('Lançamentos'!$D$5:$D$1504,'Lançamentos'!$B$5:$B$1504,"Receita bruta",'Lançamentos'!$E$5:$E$1504,Ano,'Lançamentos'!$F$5:$F$1504,MONTH(C$4))</f>
        <v>65899.68</v>
      </c>
      <c r="D5" s="25">
        <f>SUMIFS('Lançamentos'!$D$5:$D$1504,'Lançamentos'!$B$5:$B$1504,"Receita bruta",'Lançamentos'!$E$5:$E$1504,Ano,'Lançamentos'!$F$5:$F$1504,MONTH(D$4))</f>
        <v>93386.43</v>
      </c>
      <c r="E5" s="25">
        <f>SUMIFS('Lançamentos'!$D$5:$D$1504,'Lançamentos'!$B$5:$B$1504,"Receita bruta",'Lançamentos'!$E$5:$E$1504,Ano,'Lançamentos'!$F$5:$F$1504,MONTH(E$4))</f>
        <v>96441.92</v>
      </c>
      <c r="F5" s="25">
        <f>SUMIFS('Lançamentos'!$D$5:$D$1504,'Lançamentos'!$B$5:$B$1504,"Receita bruta",'Lançamentos'!$E$5:$E$1504,Ano,'Lançamentos'!$F$5:$F$1504,MONTH(F$4))</f>
        <v>104557</v>
      </c>
      <c r="G5" s="25">
        <f>SUMIFS('Lançamentos'!$D$5:$D$1504,'Lançamentos'!$B$5:$B$1504,"Receita bruta",'Lançamentos'!$E$5:$E$1504,Ano,'Lançamentos'!$F$5:$F$1504,MONTH(G$4))</f>
        <v>113584.48</v>
      </c>
      <c r="H5" s="25">
        <f>SUMIFS('Lançamentos'!$D$5:$D$1504,'Lançamentos'!$B$5:$B$1504,"Receita bruta",'Lançamentos'!$E$5:$E$1504,Ano,'Lançamentos'!$F$5:$F$1504,MONTH(H$4))</f>
        <v>111117.92</v>
      </c>
      <c r="I5" s="25">
        <f>SUMIFS('Lançamentos'!$D$5:$D$1504,'Lançamentos'!$B$5:$B$1504,"Receita bruta",'Lançamentos'!$E$5:$E$1504,Ano,'Lançamentos'!$F$5:$F$1504,MONTH(I$4))</f>
        <v>121072.33</v>
      </c>
      <c r="J5" s="25">
        <f>SUMIFS('Lançamentos'!$D$5:$D$1504,'Lançamentos'!$B$5:$B$1504,"Receita bruta",'Lançamentos'!$E$5:$E$1504,Ano,'Lançamentos'!$F$5:$F$1504,MONTH(J$4))</f>
        <v>124107.65</v>
      </c>
      <c r="K5" s="25">
        <f>SUMIFS('Lançamentos'!$D$5:$D$1504,'Lançamentos'!$B$5:$B$1504,"Receita bruta",'Lançamentos'!$E$5:$E$1504,Ano,'Lançamentos'!$F$5:$F$1504,MONTH(K$4))</f>
        <v>0</v>
      </c>
      <c r="L5" s="25">
        <f>SUMIFS('Lançamentos'!$D$5:$D$1504,'Lançamentos'!$B$5:$B$1504,"Receita bruta",'Lançamentos'!$E$5:$E$1504,Ano,'Lançamentos'!$F$5:$F$1504,MONTH(L$4))</f>
        <v>0</v>
      </c>
      <c r="M5" s="25">
        <f>SUMIFS('Lançamentos'!$D$5:$D$1504,'Lançamentos'!$B$5:$B$1504,"Receita bruta",'Lançamentos'!$E$5:$E$1504,Ano,'Lançamentos'!$F$5:$F$1504,MONTH(M$4))</f>
        <v>0</v>
      </c>
      <c r="N5" s="25">
        <f>SUM(B5:M5)</f>
        <v>905211.51</v>
      </c>
      <c r="O5" s="26">
        <f>IF($N$5=0,0,N5/$N$5)</f>
        <v>1</v>
      </c>
    </row>
    <row r="6" spans="1:15">
      <c r="A6" s="24" t="s">
        <v>100</v>
      </c>
      <c r="B6" s="25">
        <f>SUMIFS('Lançamentos'!$D$5:$D$1504,'Lançamentos'!$B$5:$B$1504,"Deduções e impostos sobre vendas",'Lançamentos'!$E$5:$E$1504,Ano,'Lançamentos'!$F$5:$F$1504,MONTH(B$4))</f>
        <v>5553.26</v>
      </c>
      <c r="C6" s="25">
        <f>SUMIFS('Lançamentos'!$D$5:$D$1504,'Lançamentos'!$B$5:$B$1504,"Deduções e impostos sobre vendas",'Lançamentos'!$E$5:$E$1504,Ano,'Lançamentos'!$F$5:$F$1504,MONTH(C$4))</f>
        <v>4876.58</v>
      </c>
      <c r="D6" s="25">
        <f>SUMIFS('Lançamentos'!$D$5:$D$1504,'Lançamentos'!$B$5:$B$1504,"Deduções e impostos sobre vendas",'Lançamentos'!$E$5:$E$1504,Ano,'Lançamentos'!$F$5:$F$1504,MONTH(D$4))</f>
        <v>6910.6</v>
      </c>
      <c r="E6" s="25">
        <f>SUMIFS('Lançamentos'!$D$5:$D$1504,'Lançamentos'!$B$5:$B$1504,"Deduções e impostos sobre vendas",'Lançamentos'!$E$5:$E$1504,Ano,'Lançamentos'!$F$5:$F$1504,MONTH(E$4))</f>
        <v>7136.7</v>
      </c>
      <c r="F6" s="25">
        <f>SUMIFS('Lançamentos'!$D$5:$D$1504,'Lançamentos'!$B$5:$B$1504,"Deduções e impostos sobre vendas",'Lançamentos'!$E$5:$E$1504,Ano,'Lançamentos'!$F$5:$F$1504,MONTH(F$4))</f>
        <v>7737.22</v>
      </c>
      <c r="G6" s="25">
        <f>SUMIFS('Lançamentos'!$D$5:$D$1504,'Lançamentos'!$B$5:$B$1504,"Deduções e impostos sobre vendas",'Lançamentos'!$E$5:$E$1504,Ano,'Lançamentos'!$F$5:$F$1504,MONTH(G$4))</f>
        <v>8405.25</v>
      </c>
      <c r="H6" s="25">
        <f>SUMIFS('Lançamentos'!$D$5:$D$1504,'Lançamentos'!$B$5:$B$1504,"Deduções e impostos sobre vendas",'Lançamentos'!$E$5:$E$1504,Ano,'Lançamentos'!$F$5:$F$1504,MONTH(H$4))</f>
        <v>8222.73</v>
      </c>
      <c r="I6" s="25">
        <f>SUMIFS('Lançamentos'!$D$5:$D$1504,'Lançamentos'!$B$5:$B$1504,"Deduções e impostos sobre vendas",'Lançamentos'!$E$5:$E$1504,Ano,'Lançamentos'!$F$5:$F$1504,MONTH(I$4))</f>
        <v>8959.35</v>
      </c>
      <c r="J6" s="25">
        <f>SUMIFS('Lançamentos'!$D$5:$D$1504,'Lançamentos'!$B$5:$B$1504,"Deduções e impostos sobre vendas",'Lançamentos'!$E$5:$E$1504,Ano,'Lançamentos'!$F$5:$F$1504,MONTH(J$4))</f>
        <v>9183.97</v>
      </c>
      <c r="K6" s="25">
        <f>SUMIFS('Lançamentos'!$D$5:$D$1504,'Lançamentos'!$B$5:$B$1504,"Deduções e impostos sobre vendas",'Lançamentos'!$E$5:$E$1504,Ano,'Lançamentos'!$F$5:$F$1504,MONTH(K$4))</f>
        <v>0</v>
      </c>
      <c r="L6" s="25">
        <f>SUMIFS('Lançamentos'!$D$5:$D$1504,'Lançamentos'!$B$5:$B$1504,"Deduções e impostos sobre vendas",'Lançamentos'!$E$5:$E$1504,Ano,'Lançamentos'!$F$5:$F$1504,MONTH(L$4))</f>
        <v>0</v>
      </c>
      <c r="M6" s="25">
        <f>SUMIFS('Lançamentos'!$D$5:$D$1504,'Lançamentos'!$B$5:$B$1504,"Deduções e impostos sobre vendas",'Lançamentos'!$E$5:$E$1504,Ano,'Lançamentos'!$F$5:$F$1504,MONTH(M$4))</f>
        <v>0</v>
      </c>
      <c r="N6" s="25">
        <f>SUM(B6:M6)</f>
        <v>66985.66</v>
      </c>
      <c r="O6" s="26">
        <f>IF($N$5=0,0,N6/$N$5)</f>
        <v>0.0740000091249392</v>
      </c>
    </row>
    <row r="7" spans="1:15">
      <c r="A7" s="27" t="s">
        <v>101</v>
      </c>
      <c r="B7" s="28">
        <f>B5-B6</f>
        <v>69490.84</v>
      </c>
      <c r="C7" s="28">
        <f>C5-C6</f>
        <v>61023.1</v>
      </c>
      <c r="D7" s="28">
        <f>D5-D6</f>
        <v>86475.83</v>
      </c>
      <c r="E7" s="28">
        <f>E5-E6</f>
        <v>89305.22</v>
      </c>
      <c r="F7" s="28">
        <f>F5-F6</f>
        <v>96819.78</v>
      </c>
      <c r="G7" s="28">
        <f>G5-G6</f>
        <v>105179.23</v>
      </c>
      <c r="H7" s="28">
        <f>H5-H6</f>
        <v>102895.19</v>
      </c>
      <c r="I7" s="28">
        <f>I5-I6</f>
        <v>112112.98</v>
      </c>
      <c r="J7" s="28">
        <f>J5-J6</f>
        <v>114923.68</v>
      </c>
      <c r="K7" s="28">
        <f>K5-K6</f>
        <v>0</v>
      </c>
      <c r="L7" s="28">
        <f>L5-L6</f>
        <v>0</v>
      </c>
      <c r="M7" s="28">
        <f>M5-M6</f>
        <v>0</v>
      </c>
      <c r="N7" s="28">
        <f>N5-N6</f>
        <v>838225.85</v>
      </c>
      <c r="O7" s="29">
        <f>IF($N$5=0,0,N7/$N$5)</f>
        <v>0.925999990875061</v>
      </c>
    </row>
    <row r="8" spans="1:15">
      <c r="A8" s="24" t="s">
        <v>102</v>
      </c>
      <c r="B8" s="25">
        <f>SUMIFS('Lançamentos'!$D$5:$D$1504,'Lançamentos'!$B$5:$B$1504,"Custos variáveis (CMV / insumos)",'Lançamentos'!$E$5:$E$1504,Ano,'Lançamentos'!$F$5:$F$1504,MONTH(B$4))</f>
        <v>26767.63</v>
      </c>
      <c r="C8" s="25">
        <f>SUMIFS('Lançamentos'!$D$5:$D$1504,'Lançamentos'!$B$5:$B$1504,"Custos variáveis (CMV / insumos)",'Lançamentos'!$E$5:$E$1504,Ano,'Lançamentos'!$F$5:$F$1504,MONTH(C$4))</f>
        <v>23717.8</v>
      </c>
      <c r="D8" s="25">
        <f>SUMIFS('Lançamentos'!$D$5:$D$1504,'Lançamentos'!$B$5:$B$1504,"Custos variáveis (CMV / insumos)",'Lançamentos'!$E$5:$E$1504,Ano,'Lançamentos'!$F$5:$F$1504,MONTH(D$4))</f>
        <v>34309.44</v>
      </c>
      <c r="E8" s="25">
        <f>SUMIFS('Lançamentos'!$D$5:$D$1504,'Lançamentos'!$B$5:$B$1504,"Custos variáveis (CMV / insumos)",'Lançamentos'!$E$5:$E$1504,Ano,'Lançamentos'!$F$5:$F$1504,MONTH(E$4))</f>
        <v>34857.09</v>
      </c>
      <c r="F8" s="25">
        <f>SUMIFS('Lançamentos'!$D$5:$D$1504,'Lançamentos'!$B$5:$B$1504,"Custos variáveis (CMV / insumos)",'Lançamentos'!$E$5:$E$1504,Ano,'Lançamentos'!$F$5:$F$1504,MONTH(F$4))</f>
        <v>39038.2</v>
      </c>
      <c r="G8" s="25">
        <f>SUMIFS('Lançamentos'!$D$5:$D$1504,'Lançamentos'!$B$5:$B$1504,"Custos variáveis (CMV / insumos)",'Lançamentos'!$E$5:$E$1504,Ano,'Lançamentos'!$F$5:$F$1504,MONTH(G$4))</f>
        <v>42284.68</v>
      </c>
      <c r="H8" s="25">
        <f>SUMIFS('Lançamentos'!$D$5:$D$1504,'Lançamentos'!$B$5:$B$1504,"Custos variáveis (CMV / insumos)",'Lançamentos'!$E$5:$E$1504,Ano,'Lançamentos'!$F$5:$F$1504,MONTH(H$4))</f>
        <v>40644.5</v>
      </c>
      <c r="I8" s="25">
        <f>SUMIFS('Lançamentos'!$D$5:$D$1504,'Lançamentos'!$B$5:$B$1504,"Custos variáveis (CMV / insumos)",'Lançamentos'!$E$5:$E$1504,Ano,'Lançamentos'!$F$5:$F$1504,MONTH(I$4))</f>
        <v>44160.44</v>
      </c>
      <c r="J8" s="25">
        <f>SUMIFS('Lançamentos'!$D$5:$D$1504,'Lançamentos'!$B$5:$B$1504,"Custos variáveis (CMV / insumos)",'Lançamentos'!$E$5:$E$1504,Ano,'Lançamentos'!$F$5:$F$1504,MONTH(J$4))</f>
        <v>47648.17</v>
      </c>
      <c r="K8" s="25">
        <f>SUMIFS('Lançamentos'!$D$5:$D$1504,'Lançamentos'!$B$5:$B$1504,"Custos variáveis (CMV / insumos)",'Lançamentos'!$E$5:$E$1504,Ano,'Lançamentos'!$F$5:$F$1504,MONTH(K$4))</f>
        <v>0</v>
      </c>
      <c r="L8" s="25">
        <f>SUMIFS('Lançamentos'!$D$5:$D$1504,'Lançamentos'!$B$5:$B$1504,"Custos variáveis (CMV / insumos)",'Lançamentos'!$E$5:$E$1504,Ano,'Lançamentos'!$F$5:$F$1504,MONTH(L$4))</f>
        <v>0</v>
      </c>
      <c r="M8" s="25">
        <f>SUMIFS('Lançamentos'!$D$5:$D$1504,'Lançamentos'!$B$5:$B$1504,"Custos variáveis (CMV / insumos)",'Lançamentos'!$E$5:$E$1504,Ano,'Lançamentos'!$F$5:$F$1504,MONTH(M$4))</f>
        <v>0</v>
      </c>
      <c r="N8" s="25">
        <f>SUM(B8:M8)</f>
        <v>333427.95</v>
      </c>
      <c r="O8" s="26">
        <f>IF($N$5=0,0,N8/$N$5)</f>
        <v>0.36834258768981</v>
      </c>
    </row>
    <row r="9" spans="1:15">
      <c r="A9" s="24" t="s">
        <v>103</v>
      </c>
      <c r="B9" s="25">
        <f>SUMIFS('Lançamentos'!$D$5:$D$1504,'Lançamentos'!$B$5:$B$1504,"Comissões e taxas de venda",'Lançamentos'!$E$5:$E$1504,Ano,'Lançamentos'!$F$5:$F$1504,MONTH(B$4))</f>
        <v>2476.46</v>
      </c>
      <c r="C9" s="25">
        <f>SUMIFS('Lançamentos'!$D$5:$D$1504,'Lançamentos'!$B$5:$B$1504,"Comissões e taxas de venda",'Lançamentos'!$E$5:$E$1504,Ano,'Lançamentos'!$F$5:$F$1504,MONTH(C$4))</f>
        <v>2174.69</v>
      </c>
      <c r="D9" s="25">
        <f>SUMIFS('Lançamentos'!$D$5:$D$1504,'Lançamentos'!$B$5:$B$1504,"Comissões e taxas de venda",'Lançamentos'!$E$5:$E$1504,Ano,'Lançamentos'!$F$5:$F$1504,MONTH(D$4))</f>
        <v>3081.75</v>
      </c>
      <c r="E9" s="25">
        <f>SUMIFS('Lançamentos'!$D$5:$D$1504,'Lançamentos'!$B$5:$B$1504,"Comissões e taxas de venda",'Lançamentos'!$E$5:$E$1504,Ano,'Lançamentos'!$F$5:$F$1504,MONTH(E$4))</f>
        <v>3182.58</v>
      </c>
      <c r="F9" s="25">
        <f>SUMIFS('Lançamentos'!$D$5:$D$1504,'Lançamentos'!$B$5:$B$1504,"Comissões e taxas de venda",'Lançamentos'!$E$5:$E$1504,Ano,'Lançamentos'!$F$5:$F$1504,MONTH(F$4))</f>
        <v>3450.38</v>
      </c>
      <c r="G9" s="25">
        <f>SUMIFS('Lançamentos'!$D$5:$D$1504,'Lançamentos'!$B$5:$B$1504,"Comissões e taxas de venda",'Lançamentos'!$E$5:$E$1504,Ano,'Lançamentos'!$F$5:$F$1504,MONTH(G$4))</f>
        <v>3748.29</v>
      </c>
      <c r="H9" s="25">
        <f>SUMIFS('Lançamentos'!$D$5:$D$1504,'Lançamentos'!$B$5:$B$1504,"Comissões e taxas de venda",'Lançamentos'!$E$5:$E$1504,Ano,'Lançamentos'!$F$5:$F$1504,MONTH(H$4))</f>
        <v>3666.89</v>
      </c>
      <c r="I9" s="25">
        <f>SUMIFS('Lançamentos'!$D$5:$D$1504,'Lançamentos'!$B$5:$B$1504,"Comissões e taxas de venda",'Lançamentos'!$E$5:$E$1504,Ano,'Lançamentos'!$F$5:$F$1504,MONTH(I$4))</f>
        <v>3995.39</v>
      </c>
      <c r="J9" s="25">
        <f>SUMIFS('Lançamentos'!$D$5:$D$1504,'Lançamentos'!$B$5:$B$1504,"Comissões e taxas de venda",'Lançamentos'!$E$5:$E$1504,Ano,'Lançamentos'!$F$5:$F$1504,MONTH(J$4))</f>
        <v>4095.55</v>
      </c>
      <c r="K9" s="25">
        <f>SUMIFS('Lançamentos'!$D$5:$D$1504,'Lançamentos'!$B$5:$B$1504,"Comissões e taxas de venda",'Lançamentos'!$E$5:$E$1504,Ano,'Lançamentos'!$F$5:$F$1504,MONTH(K$4))</f>
        <v>0</v>
      </c>
      <c r="L9" s="25">
        <f>SUMIFS('Lançamentos'!$D$5:$D$1504,'Lançamentos'!$B$5:$B$1504,"Comissões e taxas de venda",'Lançamentos'!$E$5:$E$1504,Ano,'Lançamentos'!$F$5:$F$1504,MONTH(L$4))</f>
        <v>0</v>
      </c>
      <c r="M9" s="25">
        <f>SUMIFS('Lançamentos'!$D$5:$D$1504,'Lançamentos'!$B$5:$B$1504,"Comissões e taxas de venda",'Lançamentos'!$E$5:$E$1504,Ano,'Lançamentos'!$F$5:$F$1504,MONTH(M$4))</f>
        <v>0</v>
      </c>
      <c r="N9" s="25">
        <f>SUM(B9:M9)</f>
        <v>29871.98</v>
      </c>
      <c r="O9" s="26">
        <f>IF($N$5=0,0,N9/$N$5)</f>
        <v>0.0330000001878014</v>
      </c>
    </row>
    <row r="10" spans="1:15">
      <c r="A10" s="27" t="s">
        <v>104</v>
      </c>
      <c r="B10" s="28">
        <f>B7-B8-B9</f>
        <v>40246.75</v>
      </c>
      <c r="C10" s="28">
        <f>C7-C8-C9</f>
        <v>35130.61</v>
      </c>
      <c r="D10" s="28">
        <f>D7-D8-D9</f>
        <v>49084.64</v>
      </c>
      <c r="E10" s="28">
        <f>E7-E8-E9</f>
        <v>51265.55</v>
      </c>
      <c r="F10" s="28">
        <f>F7-F8-F9</f>
        <v>54331.2</v>
      </c>
      <c r="G10" s="28">
        <f>G7-G8-G9</f>
        <v>59146.26</v>
      </c>
      <c r="H10" s="28">
        <f>H7-H8-H9</f>
        <v>58583.8</v>
      </c>
      <c r="I10" s="28">
        <f>I7-I8-I9</f>
        <v>63957.15</v>
      </c>
      <c r="J10" s="28">
        <f>J7-J8-J9</f>
        <v>63179.96</v>
      </c>
      <c r="K10" s="28">
        <f>K7-K8-K9</f>
        <v>0</v>
      </c>
      <c r="L10" s="28">
        <f>L7-L8-L9</f>
        <v>0</v>
      </c>
      <c r="M10" s="28">
        <f>M7-M8-M9</f>
        <v>0</v>
      </c>
      <c r="N10" s="28">
        <f>N7-N8-N9</f>
        <v>474925.92</v>
      </c>
      <c r="O10" s="29">
        <f>IF($N$5=0,0,N10/$N$5)</f>
        <v>0.52465740299745</v>
      </c>
    </row>
    <row r="11" spans="1:15">
      <c r="A11" s="30" t="s">
        <v>105</v>
      </c>
      <c r="B11" s="31">
        <f>IF(B5=0,0,B10/B5)</f>
        <v>0.536307984238601</v>
      </c>
      <c r="C11" s="31">
        <f>IF(C5=0,0,C10/C5)</f>
        <v>0.533092269947289</v>
      </c>
      <c r="D11" s="31">
        <f>IF(D5=0,0,D10/D5)</f>
        <v>0.525607842595546</v>
      </c>
      <c r="E11" s="31">
        <f>IF(E5=0,0,E10/E5)</f>
        <v>0.531569155819378</v>
      </c>
      <c r="F11" s="31">
        <f>IF(F5=0,0,F10/F5)</f>
        <v>0.519632353644424</v>
      </c>
      <c r="G11" s="31">
        <f>IF(G5=0,0,G10/G5)</f>
        <v>0.520724838463846</v>
      </c>
      <c r="H11" s="31">
        <f>IF(H5=0,0,H10/H5)</f>
        <v>0.527221891842468</v>
      </c>
      <c r="I11" s="31">
        <f>IF(I5=0,0,I10/I5)</f>
        <v>0.528255712927966</v>
      </c>
      <c r="J11" s="31">
        <f>IF(J5=0,0,J10/J5)</f>
        <v>0.5090738564464</v>
      </c>
      <c r="K11" s="31">
        <f>IF(K5=0,0,K10/K5)</f>
        <v>0</v>
      </c>
      <c r="L11" s="31">
        <f>IF(L5=0,0,L10/L5)</f>
        <v>0</v>
      </c>
      <c r="M11" s="31">
        <f>IF(M5=0,0,M10/M5)</f>
        <v>0</v>
      </c>
      <c r="N11" s="31">
        <f>IF(N5=0,0,N10/N5)</f>
        <v>0.52465740299745</v>
      </c>
      <c r="O11" s="32"/>
    </row>
    <row r="12" spans="1:15">
      <c r="A12" s="24" t="s">
        <v>106</v>
      </c>
      <c r="B12" s="25">
        <f>SUMIFS('Lançamentos'!$D$5:$D$1504,'Lançamentos'!$B$5:$B$1504,"Despesas com pessoal",'Lançamentos'!$E$5:$E$1504,Ano,'Lançamentos'!$F$5:$F$1504,MONTH(B$4))</f>
        <v>31800</v>
      </c>
      <c r="C12" s="25">
        <f>SUMIFS('Lançamentos'!$D$5:$D$1504,'Lançamentos'!$B$5:$B$1504,"Despesas com pessoal",'Lançamentos'!$E$5:$E$1504,Ano,'Lançamentos'!$F$5:$F$1504,MONTH(C$4))</f>
        <v>31800</v>
      </c>
      <c r="D12" s="25">
        <f>SUMIFS('Lançamentos'!$D$5:$D$1504,'Lançamentos'!$B$5:$B$1504,"Despesas com pessoal",'Lançamentos'!$E$5:$E$1504,Ano,'Lançamentos'!$F$5:$F$1504,MONTH(D$4))</f>
        <v>31800</v>
      </c>
      <c r="E12" s="25">
        <f>SUMIFS('Lançamentos'!$D$5:$D$1504,'Lançamentos'!$B$5:$B$1504,"Despesas com pessoal",'Lançamentos'!$E$5:$E$1504,Ano,'Lançamentos'!$F$5:$F$1504,MONTH(E$4))</f>
        <v>31800</v>
      </c>
      <c r="F12" s="25">
        <f>SUMIFS('Lançamentos'!$D$5:$D$1504,'Lançamentos'!$B$5:$B$1504,"Despesas com pessoal",'Lançamentos'!$E$5:$E$1504,Ano,'Lançamentos'!$F$5:$F$1504,MONTH(F$4))</f>
        <v>31800</v>
      </c>
      <c r="G12" s="25">
        <f>SUMIFS('Lançamentos'!$D$5:$D$1504,'Lançamentos'!$B$5:$B$1504,"Despesas com pessoal",'Lançamentos'!$E$5:$E$1504,Ano,'Lançamentos'!$F$5:$F$1504,MONTH(G$4))</f>
        <v>31800</v>
      </c>
      <c r="H12" s="25">
        <f>SUMIFS('Lançamentos'!$D$5:$D$1504,'Lançamentos'!$B$5:$B$1504,"Despesas com pessoal",'Lançamentos'!$E$5:$E$1504,Ano,'Lançamentos'!$F$5:$F$1504,MONTH(H$4))</f>
        <v>31800</v>
      </c>
      <c r="I12" s="25">
        <f>SUMIFS('Lançamentos'!$D$5:$D$1504,'Lançamentos'!$B$5:$B$1504,"Despesas com pessoal",'Lançamentos'!$E$5:$E$1504,Ano,'Lançamentos'!$F$5:$F$1504,MONTH(I$4))</f>
        <v>31800</v>
      </c>
      <c r="J12" s="25">
        <f>SUMIFS('Lançamentos'!$D$5:$D$1504,'Lançamentos'!$B$5:$B$1504,"Despesas com pessoal",'Lançamentos'!$E$5:$E$1504,Ano,'Lançamentos'!$F$5:$F$1504,MONTH(J$4))</f>
        <v>31800</v>
      </c>
      <c r="K12" s="25">
        <f>SUMIFS('Lançamentos'!$D$5:$D$1504,'Lançamentos'!$B$5:$B$1504,"Despesas com pessoal",'Lançamentos'!$E$5:$E$1504,Ano,'Lançamentos'!$F$5:$F$1504,MONTH(K$4))</f>
        <v>0</v>
      </c>
      <c r="L12" s="25">
        <f>SUMIFS('Lançamentos'!$D$5:$D$1504,'Lançamentos'!$B$5:$B$1504,"Despesas com pessoal",'Lançamentos'!$E$5:$E$1504,Ano,'Lançamentos'!$F$5:$F$1504,MONTH(L$4))</f>
        <v>0</v>
      </c>
      <c r="M12" s="25">
        <f>SUMIFS('Lançamentos'!$D$5:$D$1504,'Lançamentos'!$B$5:$B$1504,"Despesas com pessoal",'Lançamentos'!$E$5:$E$1504,Ano,'Lançamentos'!$F$5:$F$1504,MONTH(M$4))</f>
        <v>0</v>
      </c>
      <c r="N12" s="25">
        <f>SUM(B12:M12)</f>
        <v>286200</v>
      </c>
      <c r="O12" s="26">
        <f>IF($N$5=0,0,N12/$N$5)</f>
        <v>0.316169201162721</v>
      </c>
    </row>
    <row r="13" spans="1:15">
      <c r="A13" s="24" t="s">
        <v>107</v>
      </c>
      <c r="B13" s="25">
        <f>SUMIFS('Lançamentos'!$D$5:$D$1504,'Lançamentos'!$B$5:$B$1504,"Despesas administrativas",'Lançamentos'!$E$5:$E$1504,Ano,'Lançamentos'!$F$5:$F$1504,MONTH(B$4))</f>
        <v>9233.13</v>
      </c>
      <c r="C13" s="25">
        <f>SUMIFS('Lançamentos'!$D$5:$D$1504,'Lançamentos'!$B$5:$B$1504,"Despesas administrativas",'Lançamentos'!$E$5:$E$1504,Ano,'Lançamentos'!$F$5:$F$1504,MONTH(C$4))</f>
        <v>9347.46</v>
      </c>
      <c r="D13" s="25">
        <f>SUMIFS('Lançamentos'!$D$5:$D$1504,'Lançamentos'!$B$5:$B$1504,"Despesas administrativas",'Lançamentos'!$E$5:$E$1504,Ano,'Lançamentos'!$F$5:$F$1504,MONTH(D$4))</f>
        <v>8948.59</v>
      </c>
      <c r="E13" s="25">
        <f>SUMIFS('Lançamentos'!$D$5:$D$1504,'Lançamentos'!$B$5:$B$1504,"Despesas administrativas",'Lançamentos'!$E$5:$E$1504,Ano,'Lançamentos'!$F$5:$F$1504,MONTH(E$4))</f>
        <v>9287.19</v>
      </c>
      <c r="F13" s="25">
        <f>SUMIFS('Lançamentos'!$D$5:$D$1504,'Lançamentos'!$B$5:$B$1504,"Despesas administrativas",'Lançamentos'!$E$5:$E$1504,Ano,'Lançamentos'!$F$5:$F$1504,MONTH(F$4))</f>
        <v>9061.92</v>
      </c>
      <c r="G13" s="25">
        <f>SUMIFS('Lançamentos'!$D$5:$D$1504,'Lançamentos'!$B$5:$B$1504,"Despesas administrativas",'Lançamentos'!$E$5:$E$1504,Ano,'Lançamentos'!$F$5:$F$1504,MONTH(G$4))</f>
        <v>8937.11</v>
      </c>
      <c r="H13" s="25">
        <f>SUMIFS('Lançamentos'!$D$5:$D$1504,'Lançamentos'!$B$5:$B$1504,"Despesas administrativas",'Lançamentos'!$E$5:$E$1504,Ano,'Lançamentos'!$F$5:$F$1504,MONTH(H$4))</f>
        <v>8936.96</v>
      </c>
      <c r="I13" s="25">
        <f>SUMIFS('Lançamentos'!$D$5:$D$1504,'Lançamentos'!$B$5:$B$1504,"Despesas administrativas",'Lançamentos'!$E$5:$E$1504,Ano,'Lançamentos'!$F$5:$F$1504,MONTH(I$4))</f>
        <v>9380.54</v>
      </c>
      <c r="J13" s="25">
        <f>SUMIFS('Lançamentos'!$D$5:$D$1504,'Lançamentos'!$B$5:$B$1504,"Despesas administrativas",'Lançamentos'!$E$5:$E$1504,Ano,'Lançamentos'!$F$5:$F$1504,MONTH(J$4))</f>
        <v>9213.33</v>
      </c>
      <c r="K13" s="25">
        <f>SUMIFS('Lançamentos'!$D$5:$D$1504,'Lançamentos'!$B$5:$B$1504,"Despesas administrativas",'Lançamentos'!$E$5:$E$1504,Ano,'Lançamentos'!$F$5:$F$1504,MONTH(K$4))</f>
        <v>0</v>
      </c>
      <c r="L13" s="25">
        <f>SUMIFS('Lançamentos'!$D$5:$D$1504,'Lançamentos'!$B$5:$B$1504,"Despesas administrativas",'Lançamentos'!$E$5:$E$1504,Ano,'Lançamentos'!$F$5:$F$1504,MONTH(L$4))</f>
        <v>0</v>
      </c>
      <c r="M13" s="25">
        <f>SUMIFS('Lançamentos'!$D$5:$D$1504,'Lançamentos'!$B$5:$B$1504,"Despesas administrativas",'Lançamentos'!$E$5:$E$1504,Ano,'Lançamentos'!$F$5:$F$1504,MONTH(M$4))</f>
        <v>0</v>
      </c>
      <c r="N13" s="25">
        <f>SUM(B13:M13)</f>
        <v>82346.23</v>
      </c>
      <c r="O13" s="26">
        <f>IF($N$5=0,0,N13/$N$5)</f>
        <v>0.0909690487696074</v>
      </c>
    </row>
    <row r="14" spans="1:15">
      <c r="A14" s="24" t="s">
        <v>108</v>
      </c>
      <c r="B14" s="25">
        <f>SUMIFS('Lançamentos'!$D$5:$D$1504,'Lançamentos'!$B$5:$B$1504,"Despesas comerciais e marketing",'Lançamentos'!$E$5:$E$1504,Ano,'Lançamentos'!$F$5:$F$1504,MONTH(B$4))</f>
        <v>4723.85</v>
      </c>
      <c r="C14" s="25">
        <f>SUMIFS('Lançamentos'!$D$5:$D$1504,'Lançamentos'!$B$5:$B$1504,"Despesas comerciais e marketing",'Lançamentos'!$E$5:$E$1504,Ano,'Lançamentos'!$F$5:$F$1504,MONTH(C$4))</f>
        <v>4716.5</v>
      </c>
      <c r="D14" s="25">
        <f>SUMIFS('Lançamentos'!$D$5:$D$1504,'Lançamentos'!$B$5:$B$1504,"Despesas comerciais e marketing",'Lançamentos'!$E$5:$E$1504,Ano,'Lançamentos'!$F$5:$F$1504,MONTH(D$4))</f>
        <v>4345.5</v>
      </c>
      <c r="E14" s="25">
        <f>SUMIFS('Lançamentos'!$D$5:$D$1504,'Lançamentos'!$B$5:$B$1504,"Despesas comerciais e marketing",'Lançamentos'!$E$5:$E$1504,Ano,'Lançamentos'!$F$5:$F$1504,MONTH(E$4))</f>
        <v>4586.12</v>
      </c>
      <c r="F14" s="25">
        <f>SUMIFS('Lançamentos'!$D$5:$D$1504,'Lançamentos'!$B$5:$B$1504,"Despesas comerciais e marketing",'Lançamentos'!$E$5:$E$1504,Ano,'Lançamentos'!$F$5:$F$1504,MONTH(F$4))</f>
        <v>4852.44</v>
      </c>
      <c r="G14" s="25">
        <f>SUMIFS('Lançamentos'!$D$5:$D$1504,'Lançamentos'!$B$5:$B$1504,"Despesas comerciais e marketing",'Lançamentos'!$E$5:$E$1504,Ano,'Lançamentos'!$F$5:$F$1504,MONTH(G$4))</f>
        <v>4547.74</v>
      </c>
      <c r="H14" s="25">
        <f>SUMIFS('Lançamentos'!$D$5:$D$1504,'Lançamentos'!$B$5:$B$1504,"Despesas comerciais e marketing",'Lançamentos'!$E$5:$E$1504,Ano,'Lançamentos'!$F$5:$F$1504,MONTH(H$4))</f>
        <v>3869.17</v>
      </c>
      <c r="I14" s="25">
        <f>SUMIFS('Lançamentos'!$D$5:$D$1504,'Lançamentos'!$B$5:$B$1504,"Despesas comerciais e marketing",'Lançamentos'!$E$5:$E$1504,Ano,'Lançamentos'!$F$5:$F$1504,MONTH(I$4))</f>
        <v>4497.63</v>
      </c>
      <c r="J14" s="25">
        <f>SUMIFS('Lançamentos'!$D$5:$D$1504,'Lançamentos'!$B$5:$B$1504,"Despesas comerciais e marketing",'Lançamentos'!$E$5:$E$1504,Ano,'Lançamentos'!$F$5:$F$1504,MONTH(J$4))</f>
        <v>4646.83</v>
      </c>
      <c r="K14" s="25">
        <f>SUMIFS('Lançamentos'!$D$5:$D$1504,'Lançamentos'!$B$5:$B$1504,"Despesas comerciais e marketing",'Lançamentos'!$E$5:$E$1504,Ano,'Lançamentos'!$F$5:$F$1504,MONTH(K$4))</f>
        <v>0</v>
      </c>
      <c r="L14" s="25">
        <f>SUMIFS('Lançamentos'!$D$5:$D$1504,'Lançamentos'!$B$5:$B$1504,"Despesas comerciais e marketing",'Lançamentos'!$E$5:$E$1504,Ano,'Lançamentos'!$F$5:$F$1504,MONTH(L$4))</f>
        <v>0</v>
      </c>
      <c r="M14" s="25">
        <f>SUMIFS('Lançamentos'!$D$5:$D$1504,'Lançamentos'!$B$5:$B$1504,"Despesas comerciais e marketing",'Lançamentos'!$E$5:$E$1504,Ano,'Lançamentos'!$F$5:$F$1504,MONTH(M$4))</f>
        <v>0</v>
      </c>
      <c r="N14" s="25">
        <f>SUM(B14:M14)</f>
        <v>40785.78</v>
      </c>
      <c r="O14" s="26">
        <f>IF($N$5=0,0,N14/$N$5)</f>
        <v>0.0450566299140408</v>
      </c>
    </row>
    <row r="15" spans="1:15">
      <c r="A15" s="27" t="s">
        <v>109</v>
      </c>
      <c r="B15" s="28">
        <f>B10-B12-B13-B14</f>
        <v>-5510.22999999999</v>
      </c>
      <c r="C15" s="28">
        <f>C10-C12-C13-C14</f>
        <v>-10733.35</v>
      </c>
      <c r="D15" s="28">
        <f>D10-D12-D13-D14</f>
        <v>3990.54999999998</v>
      </c>
      <c r="E15" s="28">
        <f>E10-E12-E13-E14</f>
        <v>5592.24</v>
      </c>
      <c r="F15" s="28">
        <f>F10-F12-F13-F14</f>
        <v>8616.84</v>
      </c>
      <c r="G15" s="28">
        <f>G10-G12-G13-G14</f>
        <v>13861.41</v>
      </c>
      <c r="H15" s="28">
        <f>H10-H12-H13-H14</f>
        <v>13977.67</v>
      </c>
      <c r="I15" s="28">
        <f>I10-I12-I13-I14</f>
        <v>18278.98</v>
      </c>
      <c r="J15" s="28">
        <f>J10-J12-J13-J14</f>
        <v>17519.8</v>
      </c>
      <c r="K15" s="28">
        <f>K10-K12-K13-K14</f>
        <v>0</v>
      </c>
      <c r="L15" s="28">
        <f>L10-L12-L13-L14</f>
        <v>0</v>
      </c>
      <c r="M15" s="28">
        <f>M10-M12-M13-M14</f>
        <v>0</v>
      </c>
      <c r="N15" s="28">
        <f>N10-N12-N13-N14</f>
        <v>65593.91</v>
      </c>
      <c r="O15" s="29">
        <f>IF($N$5=0,0,N15/$N$5)</f>
        <v>0.072462523151081</v>
      </c>
    </row>
    <row r="16" spans="1:15">
      <c r="A16" s="24" t="s">
        <v>110</v>
      </c>
      <c r="B16" s="25">
        <f>SUMIFS('Lançamentos'!$D$5:$D$1504,'Lançamentos'!$B$5:$B$1504,"Receitas financeiras",'Lançamentos'!$E$5:$E$1504,Ano,'Lançamentos'!$F$5:$F$1504,MONTH(B$4))</f>
        <v>0</v>
      </c>
      <c r="C16" s="25">
        <f>SUMIFS('Lançamentos'!$D$5:$D$1504,'Lançamentos'!$B$5:$B$1504,"Receitas financeiras",'Lançamentos'!$E$5:$E$1504,Ano,'Lançamentos'!$F$5:$F$1504,MONTH(C$4))</f>
        <v>0</v>
      </c>
      <c r="D16" s="25">
        <f>SUMIFS('Lançamentos'!$D$5:$D$1504,'Lançamentos'!$B$5:$B$1504,"Receitas financeiras",'Lançamentos'!$E$5:$E$1504,Ano,'Lançamentos'!$F$5:$F$1504,MONTH(D$4))</f>
        <v>509.66</v>
      </c>
      <c r="E16" s="25">
        <f>SUMIFS('Lançamentos'!$D$5:$D$1504,'Lançamentos'!$B$5:$B$1504,"Receitas financeiras",'Lançamentos'!$E$5:$E$1504,Ano,'Lançamentos'!$F$5:$F$1504,MONTH(E$4))</f>
        <v>0</v>
      </c>
      <c r="F16" s="25">
        <f>SUMIFS('Lançamentos'!$D$5:$D$1504,'Lançamentos'!$B$5:$B$1504,"Receitas financeiras",'Lançamentos'!$E$5:$E$1504,Ano,'Lançamentos'!$F$5:$F$1504,MONTH(F$4))</f>
        <v>0</v>
      </c>
      <c r="G16" s="25">
        <f>SUMIFS('Lançamentos'!$D$5:$D$1504,'Lançamentos'!$B$5:$B$1504,"Receitas financeiras",'Lançamentos'!$E$5:$E$1504,Ano,'Lançamentos'!$F$5:$F$1504,MONTH(G$4))</f>
        <v>380</v>
      </c>
      <c r="H16" s="25">
        <f>SUMIFS('Lançamentos'!$D$5:$D$1504,'Lançamentos'!$B$5:$B$1504,"Receitas financeiras",'Lançamentos'!$E$5:$E$1504,Ano,'Lançamentos'!$F$5:$F$1504,MONTH(H$4))</f>
        <v>0</v>
      </c>
      <c r="I16" s="25">
        <f>SUMIFS('Lançamentos'!$D$5:$D$1504,'Lançamentos'!$B$5:$B$1504,"Receitas financeiras",'Lançamentos'!$E$5:$E$1504,Ano,'Lançamentos'!$F$5:$F$1504,MONTH(I$4))</f>
        <v>0</v>
      </c>
      <c r="J16" s="25">
        <f>SUMIFS('Lançamentos'!$D$5:$D$1504,'Lançamentos'!$B$5:$B$1504,"Receitas financeiras",'Lançamentos'!$E$5:$E$1504,Ano,'Lançamentos'!$F$5:$F$1504,MONTH(J$4))</f>
        <v>304.62</v>
      </c>
      <c r="K16" s="25">
        <f>SUMIFS('Lançamentos'!$D$5:$D$1504,'Lançamentos'!$B$5:$B$1504,"Receitas financeiras",'Lançamentos'!$E$5:$E$1504,Ano,'Lançamentos'!$F$5:$F$1504,MONTH(K$4))</f>
        <v>0</v>
      </c>
      <c r="L16" s="25">
        <f>SUMIFS('Lançamentos'!$D$5:$D$1504,'Lançamentos'!$B$5:$B$1504,"Receitas financeiras",'Lançamentos'!$E$5:$E$1504,Ano,'Lançamentos'!$F$5:$F$1504,MONTH(L$4))</f>
        <v>0</v>
      </c>
      <c r="M16" s="25">
        <f>SUMIFS('Lançamentos'!$D$5:$D$1504,'Lançamentos'!$B$5:$B$1504,"Receitas financeiras",'Lançamentos'!$E$5:$E$1504,Ano,'Lançamentos'!$F$5:$F$1504,MONTH(M$4))</f>
        <v>0</v>
      </c>
      <c r="N16" s="25">
        <f>SUM(B16:M16)</f>
        <v>1194.28</v>
      </c>
      <c r="O16" s="26">
        <f>IF($N$5=0,0,N16/$N$5)</f>
        <v>0.00131933806276944</v>
      </c>
    </row>
    <row r="17" spans="1:15">
      <c r="A17" s="24" t="s">
        <v>111</v>
      </c>
      <c r="B17" s="25">
        <f>SUMIFS('Lançamentos'!$D$5:$D$1504,'Lançamentos'!$B$5:$B$1504,"Despesas financeiras",'Lançamentos'!$E$5:$E$1504,Ano,'Lançamentos'!$F$5:$F$1504,MONTH(B$4))</f>
        <v>1153.35</v>
      </c>
      <c r="C17" s="25">
        <f>SUMIFS('Lançamentos'!$D$5:$D$1504,'Lançamentos'!$B$5:$B$1504,"Despesas financeiras",'Lançamentos'!$E$5:$E$1504,Ano,'Lançamentos'!$F$5:$F$1504,MONTH(C$4))</f>
        <v>1107.55</v>
      </c>
      <c r="D17" s="25">
        <f>SUMIFS('Lançamentos'!$D$5:$D$1504,'Lançamentos'!$B$5:$B$1504,"Despesas financeiras",'Lançamentos'!$E$5:$E$1504,Ano,'Lançamentos'!$F$5:$F$1504,MONTH(D$4))</f>
        <v>1266.05</v>
      </c>
      <c r="E17" s="25">
        <f>SUMIFS('Lançamentos'!$D$5:$D$1504,'Lançamentos'!$B$5:$B$1504,"Despesas financeiras",'Lançamentos'!$E$5:$E$1504,Ano,'Lançamentos'!$F$5:$F$1504,MONTH(E$4))</f>
        <v>1157.5</v>
      </c>
      <c r="F17" s="25">
        <f>SUMIFS('Lançamentos'!$D$5:$D$1504,'Lançamentos'!$B$5:$B$1504,"Despesas financeiras",'Lançamentos'!$E$5:$E$1504,Ano,'Lançamentos'!$F$5:$F$1504,MONTH(F$4))</f>
        <v>1151.65</v>
      </c>
      <c r="G17" s="25">
        <f>SUMIFS('Lançamentos'!$D$5:$D$1504,'Lançamentos'!$B$5:$B$1504,"Despesas financeiras",'Lançamentos'!$E$5:$E$1504,Ano,'Lançamentos'!$F$5:$F$1504,MONTH(G$4))</f>
        <v>1494.81</v>
      </c>
      <c r="H17" s="25">
        <f>SUMIFS('Lançamentos'!$D$5:$D$1504,'Lançamentos'!$B$5:$B$1504,"Despesas financeiras",'Lançamentos'!$E$5:$E$1504,Ano,'Lançamentos'!$F$5:$F$1504,MONTH(H$4))</f>
        <v>1410.36</v>
      </c>
      <c r="I17" s="25">
        <f>SUMIFS('Lançamentos'!$D$5:$D$1504,'Lançamentos'!$B$5:$B$1504,"Despesas financeiras",'Lançamentos'!$E$5:$E$1504,Ano,'Lançamentos'!$F$5:$F$1504,MONTH(I$4))</f>
        <v>1226.83</v>
      </c>
      <c r="J17" s="25">
        <f>SUMIFS('Lançamentos'!$D$5:$D$1504,'Lançamentos'!$B$5:$B$1504,"Despesas financeiras",'Lançamentos'!$E$5:$E$1504,Ano,'Lançamentos'!$F$5:$F$1504,MONTH(J$4))</f>
        <v>1300.81</v>
      </c>
      <c r="K17" s="25">
        <f>SUMIFS('Lançamentos'!$D$5:$D$1504,'Lançamentos'!$B$5:$B$1504,"Despesas financeiras",'Lançamentos'!$E$5:$E$1504,Ano,'Lançamentos'!$F$5:$F$1504,MONTH(K$4))</f>
        <v>0</v>
      </c>
      <c r="L17" s="25">
        <f>SUMIFS('Lançamentos'!$D$5:$D$1504,'Lançamentos'!$B$5:$B$1504,"Despesas financeiras",'Lançamentos'!$E$5:$E$1504,Ano,'Lançamentos'!$F$5:$F$1504,MONTH(L$4))</f>
        <v>0</v>
      </c>
      <c r="M17" s="25">
        <f>SUMIFS('Lançamentos'!$D$5:$D$1504,'Lançamentos'!$B$5:$B$1504,"Despesas financeiras",'Lançamentos'!$E$5:$E$1504,Ano,'Lançamentos'!$F$5:$F$1504,MONTH(M$4))</f>
        <v>0</v>
      </c>
      <c r="N17" s="25">
        <f>SUM(B17:M17)</f>
        <v>11268.91</v>
      </c>
      <c r="O17" s="26">
        <f>IF($N$5=0,0,N17/$N$5)</f>
        <v>0.0124489247822313</v>
      </c>
    </row>
    <row r="18" spans="1:15">
      <c r="A18" s="27" t="s">
        <v>112</v>
      </c>
      <c r="B18" s="28">
        <f>B15+B16-B17</f>
        <v>-6663.57999999999</v>
      </c>
      <c r="C18" s="28">
        <f>C15+C16-C17</f>
        <v>-11840.9</v>
      </c>
      <c r="D18" s="28">
        <f>D15+D16-D17</f>
        <v>3234.15999999998</v>
      </c>
      <c r="E18" s="28">
        <f>E15+E16-E17</f>
        <v>4434.74</v>
      </c>
      <c r="F18" s="28">
        <f>F15+F16-F17</f>
        <v>7465.19</v>
      </c>
      <c r="G18" s="28">
        <f>G15+G16-G17</f>
        <v>12746.6</v>
      </c>
      <c r="H18" s="28">
        <f>H15+H16-H17</f>
        <v>12567.31</v>
      </c>
      <c r="I18" s="28">
        <f>I15+I16-I17</f>
        <v>17052.15</v>
      </c>
      <c r="J18" s="28">
        <f>J15+J16-J17</f>
        <v>16523.61</v>
      </c>
      <c r="K18" s="28">
        <f>K15+K16-K17</f>
        <v>0</v>
      </c>
      <c r="L18" s="28">
        <f>L15+L16-L17</f>
        <v>0</v>
      </c>
      <c r="M18" s="28">
        <f>M15+M16-M17</f>
        <v>0</v>
      </c>
      <c r="N18" s="28">
        <f>N15+N16-N17</f>
        <v>55519.28</v>
      </c>
      <c r="O18" s="29">
        <f>IF($N$5=0,0,N18/$N$5)</f>
        <v>0.0613329364316192</v>
      </c>
    </row>
    <row r="19" spans="1:15">
      <c r="A19" s="24" t="s">
        <v>113</v>
      </c>
      <c r="B19" s="25">
        <f>SUMIFS('Lançamentos'!$D$5:$D$1504,'Lançamentos'!$B$5:$B$1504,"IRPJ / CSLL",'Lançamentos'!$E$5:$E$1504,Ano,'Lançamentos'!$F$5:$F$1504,MONTH(B$4))</f>
        <v>0</v>
      </c>
      <c r="C19" s="25">
        <f>SUMIFS('Lançamentos'!$D$5:$D$1504,'Lançamentos'!$B$5:$B$1504,"IRPJ / CSLL",'Lançamentos'!$E$5:$E$1504,Ano,'Lançamentos'!$F$5:$F$1504,MONTH(C$4))</f>
        <v>0</v>
      </c>
      <c r="D19" s="25">
        <f>SUMIFS('Lançamentos'!$D$5:$D$1504,'Lançamentos'!$B$5:$B$1504,"IRPJ / CSLL",'Lançamentos'!$E$5:$E$1504,Ano,'Lançamentos'!$F$5:$F$1504,MONTH(D$4))</f>
        <v>0</v>
      </c>
      <c r="E19" s="25">
        <f>SUMIFS('Lançamentos'!$D$5:$D$1504,'Lançamentos'!$B$5:$B$1504,"IRPJ / CSLL",'Lançamentos'!$E$5:$E$1504,Ano,'Lançamentos'!$F$5:$F$1504,MONTH(E$4))</f>
        <v>0</v>
      </c>
      <c r="F19" s="25">
        <f>SUMIFS('Lançamentos'!$D$5:$D$1504,'Lançamentos'!$B$5:$B$1504,"IRPJ / CSLL",'Lançamentos'!$E$5:$E$1504,Ano,'Lançamentos'!$F$5:$F$1504,MONTH(F$4))</f>
        <v>0</v>
      </c>
      <c r="G19" s="25">
        <f>SUMIFS('Lançamentos'!$D$5:$D$1504,'Lançamentos'!$B$5:$B$1504,"IRPJ / CSLL",'Lançamentos'!$E$5:$E$1504,Ano,'Lançamentos'!$F$5:$F$1504,MONTH(G$4))</f>
        <v>0</v>
      </c>
      <c r="H19" s="25">
        <f>SUMIFS('Lançamentos'!$D$5:$D$1504,'Lançamentos'!$B$5:$B$1504,"IRPJ / CSLL",'Lançamentos'!$E$5:$E$1504,Ano,'Lançamentos'!$F$5:$F$1504,MONTH(H$4))</f>
        <v>0</v>
      </c>
      <c r="I19" s="25">
        <f>SUMIFS('Lançamentos'!$D$5:$D$1504,'Lançamentos'!$B$5:$B$1504,"IRPJ / CSLL",'Lançamentos'!$E$5:$E$1504,Ano,'Lançamentos'!$F$5:$F$1504,MONTH(I$4))</f>
        <v>0</v>
      </c>
      <c r="J19" s="25">
        <f>SUMIFS('Lançamentos'!$D$5:$D$1504,'Lançamentos'!$B$5:$B$1504,"IRPJ / CSLL",'Lançamentos'!$E$5:$E$1504,Ano,'Lançamentos'!$F$5:$F$1504,MONTH(J$4))</f>
        <v>0</v>
      </c>
      <c r="K19" s="25">
        <f>SUMIFS('Lançamentos'!$D$5:$D$1504,'Lançamentos'!$B$5:$B$1504,"IRPJ / CSLL",'Lançamentos'!$E$5:$E$1504,Ano,'Lançamentos'!$F$5:$F$1504,MONTH(K$4))</f>
        <v>0</v>
      </c>
      <c r="L19" s="25">
        <f>SUMIFS('Lançamentos'!$D$5:$D$1504,'Lançamentos'!$B$5:$B$1504,"IRPJ / CSLL",'Lançamentos'!$E$5:$E$1504,Ano,'Lançamentos'!$F$5:$F$1504,MONTH(L$4))</f>
        <v>0</v>
      </c>
      <c r="M19" s="25">
        <f>SUMIFS('Lançamentos'!$D$5:$D$1504,'Lançamentos'!$B$5:$B$1504,"IRPJ / CSLL",'Lançamentos'!$E$5:$E$1504,Ano,'Lançamentos'!$F$5:$F$1504,MONTH(M$4))</f>
        <v>0</v>
      </c>
      <c r="N19" s="25">
        <f>SUM(B19:M19)</f>
        <v>0</v>
      </c>
      <c r="O19" s="26">
        <f>IF($N$5=0,0,N19/$N$5)</f>
        <v>0</v>
      </c>
    </row>
    <row r="20" spans="1:15">
      <c r="A20" s="27" t="s">
        <v>114</v>
      </c>
      <c r="B20" s="33">
        <f>B18-B19</f>
        <v>-6663.57999999999</v>
      </c>
      <c r="C20" s="33">
        <f>C18-C19</f>
        <v>-11840.9</v>
      </c>
      <c r="D20" s="33">
        <f>D18-D19</f>
        <v>3234.15999999998</v>
      </c>
      <c r="E20" s="33">
        <f>E18-E19</f>
        <v>4434.74</v>
      </c>
      <c r="F20" s="33">
        <f>F18-F19</f>
        <v>7465.19</v>
      </c>
      <c r="G20" s="33">
        <f>G18-G19</f>
        <v>12746.6</v>
      </c>
      <c r="H20" s="33">
        <f>H18-H19</f>
        <v>12567.31</v>
      </c>
      <c r="I20" s="33">
        <f>I18-I19</f>
        <v>17052.15</v>
      </c>
      <c r="J20" s="33">
        <f>J18-J19</f>
        <v>16523.61</v>
      </c>
      <c r="K20" s="33">
        <f>K18-K19</f>
        <v>0</v>
      </c>
      <c r="L20" s="33">
        <f>L18-L19</f>
        <v>0</v>
      </c>
      <c r="M20" s="33">
        <f>M18-M19</f>
        <v>0</v>
      </c>
      <c r="N20" s="33">
        <f>N18-N19</f>
        <v>55519.28</v>
      </c>
      <c r="O20" s="29">
        <f>IF($N$5=0,0,N20/$N$5)</f>
        <v>0.0613329364316192</v>
      </c>
    </row>
    <row r="21" spans="1:15">
      <c r="A21" s="30" t="s">
        <v>115</v>
      </c>
      <c r="B21" s="31">
        <f>IF(B5=0,0,B20/B5)</f>
        <v>-0.0887955215666521</v>
      </c>
      <c r="C21" s="31">
        <f>IF(C5=0,0,C20/C5)</f>
        <v>-0.179680690406995</v>
      </c>
      <c r="D21" s="31">
        <f>IF(D5=0,0,D20/D5)</f>
        <v>0.034632012381242</v>
      </c>
      <c r="E21" s="31">
        <f>IF(E5=0,0,E20/E5)</f>
        <v>0.0459835308131568</v>
      </c>
      <c r="F21" s="31">
        <f>IF(F5=0,0,F20/F5)</f>
        <v>0.0713982803638207</v>
      </c>
      <c r="G21" s="31">
        <f>IF(G5=0,0,G20/G5)</f>
        <v>0.112221317560286</v>
      </c>
      <c r="H21" s="31">
        <f>IF(H5=0,0,H20/H5)</f>
        <v>0.113098859301902</v>
      </c>
      <c r="I21" s="31">
        <f>IF(I5=0,0,I20/I5)</f>
        <v>0.140842668180252</v>
      </c>
      <c r="J21" s="31">
        <f>IF(J5=0,0,J20/J5)</f>
        <v>0.133139335085307</v>
      </c>
      <c r="K21" s="31">
        <f>IF(K5=0,0,K20/K5)</f>
        <v>0</v>
      </c>
      <c r="L21" s="31">
        <f>IF(L5=0,0,L20/L5)</f>
        <v>0</v>
      </c>
      <c r="M21" s="31">
        <f>IF(M5=0,0,M20/M5)</f>
        <v>0</v>
      </c>
      <c r="N21" s="31">
        <f>IF(N5=0,0,N20/N5)</f>
        <v>0.0613329364316192</v>
      </c>
      <c r="O21" s="32"/>
    </row>
  </sheetData>
  <sheetProtection sheet="1" objects="1" scenarios="1"/>
  <mergeCells count="2">
    <mergeCell ref="A1:O1"/>
    <mergeCell ref="A2:O2"/>
  </mergeCells>
  <conditionalFormatting sqref="B15:N15">
    <cfRule type="cellIs" dxfId="0" priority="2" operator="lessThan">
      <formula>0</formula>
    </cfRule>
  </conditionalFormatting>
  <conditionalFormatting sqref="B20:N20">
    <cfRule type="cellIs" dxfId="0" priority="1" operator="lessThan">
      <formula>0</formula>
    </cfRule>
  </conditionalFormatting>
  <pageMargins left="0.7" right="0.7" top="0.75" bottom="0.75" header="0.3" footer="0.3"/>
  <pageSetup paperSize="9" orientation="landscape"/>
  <headerFooter>
    <oddFooter>&amp;L&amp;8Carvex XLS - DRE e Ponto de Equilíbrio&amp;R&amp;8Página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24"/>
  <sheetViews>
    <sheetView showGridLines="0" workbookViewId="0"/>
  </sheetViews>
  <sheetFormatPr defaultRowHeight="15"/>
  <cols>
    <col min="1" max="10" width="14.7109375" customWidth="1"/>
  </cols>
  <sheetData>
    <row r="1" spans="1:10" ht="36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116</v>
      </c>
      <c r="B2" s="2"/>
      <c r="C2" s="2"/>
      <c r="D2" s="2"/>
      <c r="E2" s="2"/>
      <c r="F2" s="2"/>
      <c r="G2" s="2"/>
      <c r="H2" s="2"/>
      <c r="I2" s="2"/>
      <c r="J2" s="13" t="s">
        <v>39</v>
      </c>
    </row>
    <row r="4" spans="1:10" ht="24" customHeight="1">
      <c r="A4" s="34" t="s">
        <v>117</v>
      </c>
      <c r="B4" s="34"/>
      <c r="C4" s="34" t="s">
        <v>118</v>
      </c>
      <c r="D4" s="34"/>
      <c r="E4" s="34" t="s">
        <v>119</v>
      </c>
      <c r="F4" s="34"/>
      <c r="G4" s="34" t="s">
        <v>120</v>
      </c>
      <c r="H4" s="34"/>
      <c r="I4" s="34" t="s">
        <v>121</v>
      </c>
      <c r="J4" s="34"/>
    </row>
    <row r="5" spans="1:10" ht="32" customHeight="1">
      <c r="A5" s="35">
        <f>DRE!N5</f>
        <v>905211.51</v>
      </c>
      <c r="B5" s="35"/>
      <c r="C5" s="35">
        <f>DRE!N20</f>
        <v>55519.28</v>
      </c>
      <c r="D5" s="35"/>
      <c r="E5" s="36">
        <f>DRE!N21</f>
        <v>0.0613329364316192</v>
      </c>
      <c r="F5" s="36"/>
      <c r="G5" s="36">
        <f>DRE!N11</f>
        <v>0.52465740299745</v>
      </c>
      <c r="H5" s="36"/>
      <c r="I5" s="35">
        <f>IFERROR(C8/G5,0)</f>
        <v>89074.1944906527</v>
      </c>
      <c r="J5" s="35"/>
    </row>
    <row r="7" spans="1:10" ht="24" customHeight="1">
      <c r="A7" s="34" t="s">
        <v>122</v>
      </c>
      <c r="B7" s="34"/>
      <c r="C7" s="34" t="s">
        <v>123</v>
      </c>
      <c r="D7" s="34"/>
      <c r="E7" s="34" t="s">
        <v>124</v>
      </c>
      <c r="F7" s="34"/>
      <c r="G7" s="34" t="s">
        <v>125</v>
      </c>
      <c r="H7" s="34"/>
      <c r="I7" s="34" t="s">
        <v>126</v>
      </c>
      <c r="J7" s="34"/>
    </row>
    <row r="8" spans="1:10" ht="32" customHeight="1">
      <c r="A8" s="36">
        <f>IF(A5=0,0,1-(I5*COUNTIF(B12:B23,"&gt;0"))/A5)</f>
        <v>0.114386260493005</v>
      </c>
      <c r="B8" s="36"/>
      <c r="C8" s="35">
        <f>IFERROR(E24/COUNTIF(B12:B23,"&gt;0"),0)</f>
        <v>46733.4355555556</v>
      </c>
      <c r="D8" s="35"/>
      <c r="E8" s="37">
        <f>IFERROR((C8+MetaLucro)/G5,0)</f>
        <v>104322.240080584</v>
      </c>
      <c r="F8" s="37"/>
      <c r="G8" s="38">
        <f>COUNTIF(I12:I23,"Acima do PE")</f>
        <v>7</v>
      </c>
      <c r="H8" s="38"/>
      <c r="I8" s="39">
        <f>COUNTIF(I12:I23,"ABAIXO do PE")</f>
        <v>2</v>
      </c>
      <c r="J8" s="39"/>
    </row>
    <row r="11" spans="1:10" ht="36" customHeight="1">
      <c r="A11" s="11" t="s">
        <v>78</v>
      </c>
      <c r="B11" s="11" t="s">
        <v>47</v>
      </c>
      <c r="C11" s="11" t="s">
        <v>127</v>
      </c>
      <c r="D11" s="11" t="s">
        <v>128</v>
      </c>
      <c r="E11" s="11" t="s">
        <v>129</v>
      </c>
      <c r="F11" s="11" t="s">
        <v>130</v>
      </c>
      <c r="G11" s="11" t="s">
        <v>131</v>
      </c>
      <c r="H11" s="11" t="s">
        <v>132</v>
      </c>
      <c r="I11" s="11" t="s">
        <v>133</v>
      </c>
      <c r="J11" s="11" t="s">
        <v>134</v>
      </c>
    </row>
    <row r="12" spans="1:10">
      <c r="A12" s="40">
        <f>DATE(Ano,1,1)</f>
        <v>46023.0</v>
      </c>
      <c r="B12" s="41">
        <f>INDEX(DRE!$B$5:$M$5,MONTH($A12))</f>
        <v>75044.1</v>
      </c>
      <c r="C12" s="41">
        <f>INDEX(DRE!$B$10:$M$10,MONTH($A12))</f>
        <v>40246.75</v>
      </c>
      <c r="D12" s="26">
        <f>IF(B12=0,0,C12/B12)</f>
        <v>0.536307984238601</v>
      </c>
      <c r="E12" s="41">
        <f>INDEX(DRE!$B$12:$M$12,MONTH($A12))+INDEX(DRE!$B$13:$M$13,MONTH($A12))+INDEX(DRE!$B$14:$M$14,MONTH($A12))+INDEX(DRE!$B$17:$M$17,MONTH($A12))</f>
        <v>46910.33</v>
      </c>
      <c r="F12" s="41">
        <f>IF(OR(B12=0,D12&lt;=0),"",E12/D12)</f>
        <v>87469.0129154031</v>
      </c>
      <c r="G12" s="41">
        <f>IF(F12="","",B12-F12)</f>
        <v>-12424.9129154031</v>
      </c>
      <c r="H12" s="26">
        <f>IF(F12="","",G12/B12)</f>
        <v>-0.165568151465646</v>
      </c>
      <c r="I12" s="42" t="str">
        <f>IF(B12=0,"",IF(F12="","MC negativa",IF(B12&gt;=F12,"Acima do PE","ABAIXO do PE")))</f>
        <v>ABAIXO do PE</v>
      </c>
      <c r="J12" s="41">
        <f>INDEX(DRE!$B$20:$M$20,MONTH($A12))</f>
        <v>-6663.57999999999</v>
      </c>
    </row>
    <row r="13" spans="1:10">
      <c r="A13" s="40">
        <f>DATE(Ano,2,1)</f>
        <v>46054.0</v>
      </c>
      <c r="B13" s="41">
        <f>INDEX(DRE!$B$5:$M$5,MONTH($A13))</f>
        <v>65899.68</v>
      </c>
      <c r="C13" s="41">
        <f>INDEX(DRE!$B$10:$M$10,MONTH($A13))</f>
        <v>35130.61</v>
      </c>
      <c r="D13" s="26">
        <f>IF(B13=0,0,C13/B13)</f>
        <v>0.533092269947289</v>
      </c>
      <c r="E13" s="41">
        <f>INDEX(DRE!$B$12:$M$12,MONTH($A13))+INDEX(DRE!$B$13:$M$13,MONTH($A13))+INDEX(DRE!$B$14:$M$14,MONTH($A13))+INDEX(DRE!$B$17:$M$17,MONTH($A13))</f>
        <v>46971.51</v>
      </c>
      <c r="F13" s="41">
        <f>IF(OR(B13=0,D13&lt;=0),"",E13/D13)</f>
        <v>88111.4070640049</v>
      </c>
      <c r="G13" s="41">
        <f>IF(F13="","",B13-F13)</f>
        <v>-22211.7270640049</v>
      </c>
      <c r="H13" s="26">
        <f>IF(F13="","",G13/B13)</f>
        <v>-0.337053640685431</v>
      </c>
      <c r="I13" s="42" t="str">
        <f>IF(B13=0,"",IF(F13="","MC negativa",IF(B13&gt;=F13,"Acima do PE","ABAIXO do PE")))</f>
        <v>ABAIXO do PE</v>
      </c>
      <c r="J13" s="41">
        <f>INDEX(DRE!$B$20:$M$20,MONTH($A13))</f>
        <v>-11840.9</v>
      </c>
    </row>
    <row r="14" spans="1:10">
      <c r="A14" s="40">
        <f>DATE(Ano,3,1)</f>
        <v>46082.0</v>
      </c>
      <c r="B14" s="41">
        <f>INDEX(DRE!$B$5:$M$5,MONTH($A14))</f>
        <v>93386.43</v>
      </c>
      <c r="C14" s="41">
        <f>INDEX(DRE!$B$10:$M$10,MONTH($A14))</f>
        <v>49084.64</v>
      </c>
      <c r="D14" s="26">
        <f>IF(B14=0,0,C14/B14)</f>
        <v>0.525607842595546</v>
      </c>
      <c r="E14" s="41">
        <f>INDEX(DRE!$B$12:$M$12,MONTH($A14))+INDEX(DRE!$B$13:$M$13,MONTH($A14))+INDEX(DRE!$B$14:$M$14,MONTH($A14))+INDEX(DRE!$B$17:$M$17,MONTH($A14))</f>
        <v>46360.14</v>
      </c>
      <c r="F14" s="41">
        <f>IF(OR(B14=0,D14&lt;=0),"",E14/D14)</f>
        <v>88202.9076489142</v>
      </c>
      <c r="G14" s="41">
        <f>IF(F14="","",B14-F14)</f>
        <v>5183.52235108578</v>
      </c>
      <c r="H14" s="26">
        <f>IF(F14="","",G14/B14)</f>
        <v>0.0555061624165928</v>
      </c>
      <c r="I14" s="42" t="str">
        <f>IF(B14=0,"",IF(F14="","MC negativa",IF(B14&gt;=F14,"Acima do PE","ABAIXO do PE")))</f>
        <v>Acima do PE</v>
      </c>
      <c r="J14" s="41">
        <f>INDEX(DRE!$B$20:$M$20,MONTH($A14))</f>
        <v>3234.15999999998</v>
      </c>
    </row>
    <row r="15" spans="1:10">
      <c r="A15" s="40">
        <f>DATE(Ano,4,1)</f>
        <v>46113.0</v>
      </c>
      <c r="B15" s="41">
        <f>INDEX(DRE!$B$5:$M$5,MONTH($A15))</f>
        <v>96441.92</v>
      </c>
      <c r="C15" s="41">
        <f>INDEX(DRE!$B$10:$M$10,MONTH($A15))</f>
        <v>51265.55</v>
      </c>
      <c r="D15" s="26">
        <f>IF(B15=0,0,C15/B15)</f>
        <v>0.531569155819378</v>
      </c>
      <c r="E15" s="41">
        <f>INDEX(DRE!$B$12:$M$12,MONTH($A15))+INDEX(DRE!$B$13:$M$13,MONTH($A15))+INDEX(DRE!$B$14:$M$14,MONTH($A15))+INDEX(DRE!$B$17:$M$17,MONTH($A15))</f>
        <v>46830.81</v>
      </c>
      <c r="F15" s="41">
        <f>IF(OR(B15=0,D15&lt;=0),"",E15/D15)</f>
        <v>88099.1861309437</v>
      </c>
      <c r="G15" s="41">
        <f>IF(F15="","",B15-F15)</f>
        <v>8342.73386905631</v>
      </c>
      <c r="H15" s="26">
        <f>IF(F15="","",G15/B15)</f>
        <v>0.0865052652317198</v>
      </c>
      <c r="I15" s="42" t="str">
        <f>IF(B15=0,"",IF(F15="","MC negativa",IF(B15&gt;=F15,"Acima do PE","ABAIXO do PE")))</f>
        <v>Acima do PE</v>
      </c>
      <c r="J15" s="41">
        <f>INDEX(DRE!$B$20:$M$20,MONTH($A15))</f>
        <v>4434.74</v>
      </c>
    </row>
    <row r="16" spans="1:10">
      <c r="A16" s="40">
        <f>DATE(Ano,5,1)</f>
        <v>46143.0</v>
      </c>
      <c r="B16" s="41">
        <f>INDEX(DRE!$B$5:$M$5,MONTH($A16))</f>
        <v>104557</v>
      </c>
      <c r="C16" s="41">
        <f>INDEX(DRE!$B$10:$M$10,MONTH($A16))</f>
        <v>54331.2</v>
      </c>
      <c r="D16" s="26">
        <f>IF(B16=0,0,C16/B16)</f>
        <v>0.519632353644424</v>
      </c>
      <c r="E16" s="41">
        <f>INDEX(DRE!$B$12:$M$12,MONTH($A16))+INDEX(DRE!$B$13:$M$13,MONTH($A16))+INDEX(DRE!$B$14:$M$14,MONTH($A16))+INDEX(DRE!$B$17:$M$17,MONTH($A16))</f>
        <v>46866.01</v>
      </c>
      <c r="F16" s="41">
        <f>IF(OR(B16=0,D16&lt;=0),"",E16/D16)</f>
        <v>90190.708240753</v>
      </c>
      <c r="G16" s="41">
        <f>IF(F16="","",B16-F16)</f>
        <v>14366.291759247</v>
      </c>
      <c r="H16" s="26">
        <f>IF(F16="","",G16/B16)</f>
        <v>0.13740152987602</v>
      </c>
      <c r="I16" s="42" t="str">
        <f>IF(B16=0,"",IF(F16="","MC negativa",IF(B16&gt;=F16,"Acima do PE","ABAIXO do PE")))</f>
        <v>Acima do PE</v>
      </c>
      <c r="J16" s="41">
        <f>INDEX(DRE!$B$20:$M$20,MONTH($A16))</f>
        <v>7465.19</v>
      </c>
    </row>
    <row r="17" spans="1:10">
      <c r="A17" s="40">
        <f>DATE(Ano,6,1)</f>
        <v>46174.0</v>
      </c>
      <c r="B17" s="41">
        <f>INDEX(DRE!$B$5:$M$5,MONTH($A17))</f>
        <v>113584.48</v>
      </c>
      <c r="C17" s="41">
        <f>INDEX(DRE!$B$10:$M$10,MONTH($A17))</f>
        <v>59146.26</v>
      </c>
      <c r="D17" s="26">
        <f>IF(B17=0,0,C17/B17)</f>
        <v>0.520724838463846</v>
      </c>
      <c r="E17" s="41">
        <f>INDEX(DRE!$B$12:$M$12,MONTH($A17))+INDEX(DRE!$B$13:$M$13,MONTH($A17))+INDEX(DRE!$B$14:$M$14,MONTH($A17))+INDEX(DRE!$B$17:$M$17,MONTH($A17))</f>
        <v>46779.66</v>
      </c>
      <c r="F17" s="41">
        <f>IF(OR(B17=0,D17&lt;=0),"",E17/D17)</f>
        <v>89835.6608799407</v>
      </c>
      <c r="G17" s="41">
        <f>IF(F17="","",B17-F17)</f>
        <v>23748.8191200593</v>
      </c>
      <c r="H17" s="26">
        <f>IF(F17="","",G17/B17)</f>
        <v>0.209085071482119</v>
      </c>
      <c r="I17" s="42" t="str">
        <f>IF(B17=0,"",IF(F17="","MC negativa",IF(B17&gt;=F17,"Acima do PE","ABAIXO do PE")))</f>
        <v>Acima do PE</v>
      </c>
      <c r="J17" s="41">
        <f>INDEX(DRE!$B$20:$M$20,MONTH($A17))</f>
        <v>12746.6</v>
      </c>
    </row>
    <row r="18" spans="1:10">
      <c r="A18" s="40">
        <f>DATE(Ano,7,1)</f>
        <v>46204.0</v>
      </c>
      <c r="B18" s="41">
        <f>INDEX(DRE!$B$5:$M$5,MONTH($A18))</f>
        <v>111117.92</v>
      </c>
      <c r="C18" s="41">
        <f>INDEX(DRE!$B$10:$M$10,MONTH($A18))</f>
        <v>58583.8</v>
      </c>
      <c r="D18" s="26">
        <f>IF(B18=0,0,C18/B18)</f>
        <v>0.527221891842468</v>
      </c>
      <c r="E18" s="41">
        <f>INDEX(DRE!$B$12:$M$12,MONTH($A18))+INDEX(DRE!$B$13:$M$13,MONTH($A18))+INDEX(DRE!$B$14:$M$14,MONTH($A18))+INDEX(DRE!$B$17:$M$17,MONTH($A18))</f>
        <v>46016.49</v>
      </c>
      <c r="F18" s="41">
        <f>IF(OR(B18=0,D18&lt;=0),"",E18/D18)</f>
        <v>87281.068392641</v>
      </c>
      <c r="G18" s="41">
        <f>IF(F18="","",B18-F18)</f>
        <v>23836.851607359</v>
      </c>
      <c r="H18" s="26">
        <f>IF(F18="","",G18/B18)</f>
        <v>0.214518518771401</v>
      </c>
      <c r="I18" s="42" t="str">
        <f>IF(B18=0,"",IF(F18="","MC negativa",IF(B18&gt;=F18,"Acima do PE","ABAIXO do PE")))</f>
        <v>Acima do PE</v>
      </c>
      <c r="J18" s="41">
        <f>INDEX(DRE!$B$20:$M$20,MONTH($A18))</f>
        <v>12567.31</v>
      </c>
    </row>
    <row r="19" spans="1:10">
      <c r="A19" s="40">
        <f>DATE(Ano,8,1)</f>
        <v>46235.0</v>
      </c>
      <c r="B19" s="41">
        <f>INDEX(DRE!$B$5:$M$5,MONTH($A19))</f>
        <v>121072.33</v>
      </c>
      <c r="C19" s="41">
        <f>INDEX(DRE!$B$10:$M$10,MONTH($A19))</f>
        <v>63957.15</v>
      </c>
      <c r="D19" s="26">
        <f>IF(B19=0,0,C19/B19)</f>
        <v>0.528255712927966</v>
      </c>
      <c r="E19" s="41">
        <f>INDEX(DRE!$B$12:$M$12,MONTH($A19))+INDEX(DRE!$B$13:$M$13,MONTH($A19))+INDEX(DRE!$B$14:$M$14,MONTH($A19))+INDEX(DRE!$B$17:$M$17,MONTH($A19))</f>
        <v>46905</v>
      </c>
      <c r="F19" s="41">
        <f>IF(OR(B19=0,D19&lt;=0),"",E19/D19)</f>
        <v>88792.2247731489</v>
      </c>
      <c r="G19" s="41">
        <f>IF(F19="","",B19-F19)</f>
        <v>32280.1052268511</v>
      </c>
      <c r="H19" s="26">
        <f>IF(F19="","",G19/B19)</f>
        <v>0.266618353069203</v>
      </c>
      <c r="I19" s="42" t="str">
        <f>IF(B19=0,"",IF(F19="","MC negativa",IF(B19&gt;=F19,"Acima do PE","ABAIXO do PE")))</f>
        <v>Acima do PE</v>
      </c>
      <c r="J19" s="41">
        <f>INDEX(DRE!$B$20:$M$20,MONTH($A19))</f>
        <v>17052.15</v>
      </c>
    </row>
    <row r="20" spans="1:10">
      <c r="A20" s="40">
        <f>DATE(Ano,9,1)</f>
        <v>46266.0</v>
      </c>
      <c r="B20" s="41">
        <f>INDEX(DRE!$B$5:$M$5,MONTH($A20))</f>
        <v>124107.65</v>
      </c>
      <c r="C20" s="41">
        <f>INDEX(DRE!$B$10:$M$10,MONTH($A20))</f>
        <v>63179.96</v>
      </c>
      <c r="D20" s="26">
        <f>IF(B20=0,0,C20/B20)</f>
        <v>0.5090738564464</v>
      </c>
      <c r="E20" s="41">
        <f>INDEX(DRE!$B$12:$M$12,MONTH($A20))+INDEX(DRE!$B$13:$M$13,MONTH($A20))+INDEX(DRE!$B$14:$M$14,MONTH($A20))+INDEX(DRE!$B$17:$M$17,MONTH($A20))</f>
        <v>46960.97</v>
      </c>
      <c r="F20" s="41">
        <f>IF(OR(B20=0,D20&lt;=0),"",E20/D20)</f>
        <v>92247.852458604</v>
      </c>
      <c r="G20" s="41">
        <f>IF(F20="","",B20-F20)</f>
        <v>31859.7975413961</v>
      </c>
      <c r="H20" s="26">
        <f>IF(F20="","",G20/B20)</f>
        <v>0.256710988737568</v>
      </c>
      <c r="I20" s="42" t="str">
        <f>IF(B20=0,"",IF(F20="","MC negativa",IF(B20&gt;=F20,"Acima do PE","ABAIXO do PE")))</f>
        <v>Acima do PE</v>
      </c>
      <c r="J20" s="41">
        <f>INDEX(DRE!$B$20:$M$20,MONTH($A20))</f>
        <v>16523.61</v>
      </c>
    </row>
    <row r="21" spans="1:10">
      <c r="A21" s="40">
        <f>DATE(Ano,10,1)</f>
        <v>46296.0</v>
      </c>
      <c r="B21" s="41">
        <f>INDEX(DRE!$B$5:$M$5,MONTH($A21))</f>
        <v>0</v>
      </c>
      <c r="C21" s="41">
        <f>INDEX(DRE!$B$10:$M$10,MONTH($A21))</f>
        <v>0</v>
      </c>
      <c r="D21" s="26">
        <f>IF(B21=0,0,C21/B21)</f>
        <v>0</v>
      </c>
      <c r="E21" s="41">
        <f>INDEX(DRE!$B$12:$M$12,MONTH($A21))+INDEX(DRE!$B$13:$M$13,MONTH($A21))+INDEX(DRE!$B$14:$M$14,MONTH($A21))+INDEX(DRE!$B$17:$M$17,MONTH($A21))</f>
        <v>0</v>
      </c>
      <c r="F21" s="41">
        <f>IF(OR(B21=0,D21&lt;=0),"",E21/D21)</f>
        <v/>
      </c>
      <c r="G21" s="41">
        <f>IF(F21="","",B21-F21)</f>
        <v/>
      </c>
      <c r="H21" s="26">
        <f>IF(F21="","",G21/B21)</f>
        <v/>
      </c>
      <c r="I21" s="42">
        <f>IF(B21=0,"",IF(F21="","MC negativa",IF(B21&gt;=F21,"Acima do PE","ABAIXO do PE")))</f>
        <v/>
      </c>
      <c r="J21" s="41">
        <f>INDEX(DRE!$B$20:$M$20,MONTH($A21))</f>
        <v>0</v>
      </c>
    </row>
    <row r="22" spans="1:10">
      <c r="A22" s="40">
        <f>DATE(Ano,11,1)</f>
        <v>46327.0</v>
      </c>
      <c r="B22" s="41">
        <f>INDEX(DRE!$B$5:$M$5,MONTH($A22))</f>
        <v>0</v>
      </c>
      <c r="C22" s="41">
        <f>INDEX(DRE!$B$10:$M$10,MONTH($A22))</f>
        <v>0</v>
      </c>
      <c r="D22" s="26">
        <f>IF(B22=0,0,C22/B22)</f>
        <v>0</v>
      </c>
      <c r="E22" s="41">
        <f>INDEX(DRE!$B$12:$M$12,MONTH($A22))+INDEX(DRE!$B$13:$M$13,MONTH($A22))+INDEX(DRE!$B$14:$M$14,MONTH($A22))+INDEX(DRE!$B$17:$M$17,MONTH($A22))</f>
        <v>0</v>
      </c>
      <c r="F22" s="41">
        <f>IF(OR(B22=0,D22&lt;=0),"",E22/D22)</f>
        <v/>
      </c>
      <c r="G22" s="41">
        <f>IF(F22="","",B22-F22)</f>
        <v/>
      </c>
      <c r="H22" s="26">
        <f>IF(F22="","",G22/B22)</f>
        <v/>
      </c>
      <c r="I22" s="42">
        <f>IF(B22=0,"",IF(F22="","MC negativa",IF(B22&gt;=F22,"Acima do PE","ABAIXO do PE")))</f>
        <v/>
      </c>
      <c r="J22" s="41">
        <f>INDEX(DRE!$B$20:$M$20,MONTH($A22))</f>
        <v>0</v>
      </c>
    </row>
    <row r="23" spans="1:10">
      <c r="A23" s="40">
        <f>DATE(Ano,12,1)</f>
        <v>46357.0</v>
      </c>
      <c r="B23" s="41">
        <f>INDEX(DRE!$B$5:$M$5,MONTH($A23))</f>
        <v>0</v>
      </c>
      <c r="C23" s="41">
        <f>INDEX(DRE!$B$10:$M$10,MONTH($A23))</f>
        <v>0</v>
      </c>
      <c r="D23" s="26">
        <f>IF(B23=0,0,C23/B23)</f>
        <v>0</v>
      </c>
      <c r="E23" s="41">
        <f>INDEX(DRE!$B$12:$M$12,MONTH($A23))+INDEX(DRE!$B$13:$M$13,MONTH($A23))+INDEX(DRE!$B$14:$M$14,MONTH($A23))+INDEX(DRE!$B$17:$M$17,MONTH($A23))</f>
        <v>0</v>
      </c>
      <c r="F23" s="41">
        <f>IF(OR(B23=0,D23&lt;=0),"",E23/D23)</f>
        <v/>
      </c>
      <c r="G23" s="41">
        <f>IF(F23="","",B23-F23)</f>
        <v/>
      </c>
      <c r="H23" s="26">
        <f>IF(F23="","",G23/B23)</f>
        <v/>
      </c>
      <c r="I23" s="42">
        <f>IF(B23=0,"",IF(F23="","MC negativa",IF(B23&gt;=F23,"Acima do PE","ABAIXO do PE")))</f>
        <v/>
      </c>
      <c r="J23" s="41">
        <f>INDEX(DRE!$B$20:$M$20,MONTH($A23))</f>
        <v>0</v>
      </c>
    </row>
    <row r="24" spans="1:10">
      <c r="A24" s="43" t="s">
        <v>77</v>
      </c>
      <c r="B24" s="44">
        <f>SUM(B12:B23)</f>
        <v>905211.51</v>
      </c>
      <c r="C24" s="44">
        <f>SUM(C12:C23)</f>
        <v>474925.92</v>
      </c>
      <c r="D24" s="29">
        <f>IF(B24=0,0,C24/B24)</f>
        <v>0.52465740299745</v>
      </c>
      <c r="E24" s="44">
        <f>SUM(E12:E23)</f>
        <v>420600.92</v>
      </c>
      <c r="F24" s="27"/>
      <c r="G24" s="27"/>
      <c r="H24" s="27"/>
      <c r="I24" s="27"/>
      <c r="J24" s="44">
        <f>SUM(J12:J23)</f>
        <v>55519.28</v>
      </c>
    </row>
  </sheetData>
  <sheetProtection sheet="1" objects="1" scenarios="1"/>
  <mergeCells count="22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</mergeCells>
  <conditionalFormatting sqref="I12:I23">
    <cfRule type="cellIs" dxfId="1" priority="1" operator="equal">
      <formula>"ABAIXO do PE"</formula>
    </cfRule>
    <cfRule type="cellIs" dxfId="2" priority="2" operator="equal">
      <formula>"Acima do PE"</formula>
    </cfRule>
  </conditionalFormatting>
  <pageMargins left="0.7" right="0.7" top="0.75" bottom="0.75" header="0.3" footer="0.3"/>
  <pageSetup paperSize="9" orientation="landscape"/>
  <headerFooter>
    <oddFooter>&amp;L&amp;8Carvex XLS - DRE e Ponto de Equilíbrio&amp;R&amp;8Página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Início</vt:lpstr>
      <vt:lpstr>Config</vt:lpstr>
      <vt:lpstr>Lançamentos</vt:lpstr>
      <vt:lpstr>DRE</vt:lpstr>
      <vt:lpstr>Ponto de Equilíbrio</vt:lpstr>
      <vt:lpstr>Ano</vt:lpstr>
      <vt:lpstr>ContaComp</vt:lpstr>
      <vt:lpstr>ContaNome</vt:lpstr>
      <vt:lpstr>MetaLucro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DRE e Ponto de Equilíbrio</dc:title>
  <dc:creator>Carvex XLS</dc:creator>
  <dc:description>Planilha empresarial Carvex XLS (EXEMPLO com dados fictícios)</dc:description>
  <cp:lastModifiedBy>Carvex XLS</cp:lastModifiedBy>
  <dcterms:created xsi:type="dcterms:W3CDTF">2026-10-08T12:55:24Z</dcterms:created>
  <dcterms:modified xsi:type="dcterms:W3CDTF">2026-10-08T12:55:24Z</dcterms:modified>
</cp:coreProperties>
</file>