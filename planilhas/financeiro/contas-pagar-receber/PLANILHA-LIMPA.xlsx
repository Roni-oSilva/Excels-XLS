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Receber" sheetId="3" r:id="rId3"/>
    <sheet name="Pagar" sheetId="4" r:id="rId4"/>
    <sheet name="Calc" sheetId="5" state="hidden" r:id="rId5"/>
    <sheet name="Painel" sheetId="6" r:id="rId6"/>
  </sheets>
  <definedNames>
    <definedName name="_xlnm._FilterDatabase" localSheetId="3" hidden="1">Pagar!$A$4:$L$1004</definedName>
    <definedName name="_xlnm._FilterDatabase" localSheetId="2" hidden="1">Receber!$A$4:$O$1004</definedName>
    <definedName name="CatDesp">Config!$J$5:$J$34</definedName>
    <definedName name="ClienteNome">Config!$E$5:$E$104</definedName>
    <definedName name="ClienteTel">Config!$F$5:$F$104</definedName>
    <definedName name="DiasAlerta">Config!$C$8</definedName>
    <definedName name="Formas">Config!$L$5:$L$16</definedName>
    <definedName name="FornNome">Config!$H$5:$H$64</definedName>
    <definedName name="Hoje">Config!$C$5</definedName>
    <definedName name="Juros">Config!$C$7</definedName>
    <definedName name="Multa">Config!$C$6</definedName>
  </definedNames>
  <calcPr calcId="124519" fullCalcOnLoad="1"/>
</workbook>
</file>

<file path=xl/sharedStrings.xml><?xml version="1.0" encoding="utf-8"?>
<sst xmlns="http://schemas.openxmlformats.org/spreadsheetml/2006/main" count="143" uniqueCount="128">
  <si>
    <t>Contas a Pagar e Receber</t>
  </si>
  <si>
    <t>Carvex XLS · Controle de vencimentos, cobrança e inadimplência</t>
  </si>
  <si>
    <t>O que esta planilha faz</t>
  </si>
  <si>
    <t>Registre o que você tem a receber e a pagar. A planilha mostra o status de cada conta, calcula multa e juros dos atrasados, monta a mensagem de cobrança pronta, ranqueia os clientes que mais devem e prevê o saldo das próximas 8 semanas.</t>
  </si>
  <si>
    <t>Como começar (5 minutos)</t>
  </si>
  <si>
    <t>1. Config</t>
  </si>
  <si>
    <t>Informe multa, juros, quantos dias antes quer ser avisado e cadastre clientes (com telefone), fornecedores, categorias e formas de pagamento.</t>
  </si>
  <si>
    <t>2. Lance as contas a receber</t>
  </si>
  <si>
    <t>Na aba Receber: cliente, descrição, vencimento e valor. Quando o cliente pagar, preencha a data e o valor pago.</t>
  </si>
  <si>
    <t>3. Lance as contas a pagar</t>
  </si>
  <si>
    <t>Na aba Pagar: fornecedor, categoria, vencimento e valor. Ao pagar, preencha data e valor pago.</t>
  </si>
  <si>
    <t>4. Cobre quem está atrasado</t>
  </si>
  <si>
    <t>Na aba Receber, a coluna Mensagem de cobrança já traz o texto pronto para copiar e enviar por WhatsApp.</t>
  </si>
  <si>
    <t>5. Acompanhe o Painel</t>
  </si>
  <si>
    <t>Veja inadimplência, aging por faixa de atraso, maiores devedores e o saldo previsto semana a semana.</t>
  </si>
  <si>
    <t>Mapa das abas (clique para ir)</t>
  </si>
  <si>
    <t>Config</t>
  </si>
  <si>
    <t>Parâmetros e cadastros.</t>
  </si>
  <si>
    <t>Receber</t>
  </si>
  <si>
    <t>Contas a receber (até 1.000 linhas).</t>
  </si>
  <si>
    <t>Pagar</t>
  </si>
  <si>
    <t>Contas a pagar (até 1.000 linhas).</t>
  </si>
  <si>
    <t>Painel</t>
  </si>
  <si>
    <t>Indicadores, aging, ranking de devedores e previsão de 8 semanas.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</si>
  <si>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</si>
  <si>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</si>
  <si>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</si>
  <si>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</si>
  <si>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</si>
  <si>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</si>
  <si>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</si>
  <si>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</si>
  <si>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Para pagamento parcial, preencha o valor pago menor que o valor da conta: o saldo continua em aberto.</t>
  </si>
  <si>
    <t>• Multa e juros são estimativas pela taxa informada na Config (juros pro rata por dia). Confira o que foi combinado em contrato.</t>
  </si>
  <si>
    <t>• O Painel usa a data de hoje da Config. No arquivo de exemplo a data é fixa (08/10/2026).</t>
  </si>
  <si>
    <t>Carvex XLS · Contas a Pagar e Receber com Inadimplência · versão 1.0 · Dúvidas: consulte o TUTORIAL.md e o MANUAL.md que acompanham o produto.</t>
  </si>
  <si>
    <t>Configurações e cadastros</t>
  </si>
  <si>
    <t>Preencha as células amarelas.</t>
  </si>
  <si>
    <t>Empresa</t>
  </si>
  <si>
    <t>Data de hoje (referência)</t>
  </si>
  <si>
    <t>Multa por atraso (%)</t>
  </si>
  <si>
    <t>Juros de mora ao mês (%)</t>
  </si>
  <si>
    <t>Avisar contas a pagar com até (dias)</t>
  </si>
  <si>
    <t>Clientes</t>
  </si>
  <si>
    <t>Telefone</t>
  </si>
  <si>
    <t>Fornecedores</t>
  </si>
  <si>
    <t>Categorias de despesa</t>
  </si>
  <si>
    <t>Aluguel</t>
  </si>
  <si>
    <t>Folha / pró-labore</t>
  </si>
  <si>
    <t>Impostos</t>
  </si>
  <si>
    <t>Energia e água</t>
  </si>
  <si>
    <t>Internet e telefone</t>
  </si>
  <si>
    <t>Marketing</t>
  </si>
  <si>
    <t>Sistemas e contador</t>
  </si>
  <si>
    <t>Manutenção</t>
  </si>
  <si>
    <t>Outras despesas</t>
  </si>
  <si>
    <t>Formas de pagamento</t>
  </si>
  <si>
    <t>Pix</t>
  </si>
  <si>
    <t>Boleto</t>
  </si>
  <si>
    <t>Cartão de crédito</t>
  </si>
  <si>
    <t>Cartão de débito</t>
  </si>
  <si>
    <t>Transferência</t>
  </si>
  <si>
    <t>Dinheiro</t>
  </si>
  <si>
    <t>Contas a Receber</t>
  </si>
  <si>
    <t>Preencha cliente, vencimento e valor. Ao receber, preencha data e valor pago.</t>
  </si>
  <si>
    <t>Cliente</t>
  </si>
  <si>
    <t>Descrição</t>
  </si>
  <si>
    <t>Emissão</t>
  </si>
  <si>
    <t>Vencimento</t>
  </si>
  <si>
    <t>Valor (R$)</t>
  </si>
  <si>
    <t>Data do pagamento</t>
  </si>
  <si>
    <t>Valor pago (R$)</t>
  </si>
  <si>
    <t>Forma</t>
  </si>
  <si>
    <t>STATUS</t>
  </si>
  <si>
    <t>Dias de atraso</t>
  </si>
  <si>
    <t>Faixa</t>
  </si>
  <si>
    <t>Saldo em aberto</t>
  </si>
  <si>
    <t>Multa + juros</t>
  </si>
  <si>
    <t>Total a cobrar hoje</t>
  </si>
  <si>
    <t>Mensagem de cobrança (copie e envie)</t>
  </si>
  <si>
    <t>Contas a Pagar</t>
  </si>
  <si>
    <t>Preencha fornecedor, categoria, vencimento e valor. Ao pagar, preencha data e valor pago.</t>
  </si>
  <si>
    <t>Fornecedor</t>
  </si>
  <si>
    <t>Categoria</t>
  </si>
  <si>
    <t>Dias p/ vencer (negativo = atrasada)</t>
  </si>
  <si>
    <t>Saldo a pagar</t>
  </si>
  <si>
    <t>Ação</t>
  </si>
  <si>
    <t>Em atraso (R$)</t>
  </si>
  <si>
    <t>Chave</t>
  </si>
  <si>
    <t>Painel de contas</t>
  </si>
  <si>
    <t>Inadimplência, vencimentos e previsão. Atualiza sozinho.</t>
  </si>
  <si>
    <t>A RECEBER EM ABERTO</t>
  </si>
  <si>
    <t>VENCIDO A RECEBER</t>
  </si>
  <si>
    <t>INADIMPLÊNCIA (% do aberto)</t>
  </si>
  <si>
    <t>RECEBIDO NO MÊS</t>
  </si>
  <si>
    <t>A PAGAR EM ABERTO</t>
  </si>
  <si>
    <t>VENCIDO A PAGAR</t>
  </si>
  <si>
    <t>A PAGAR NOS PRÓXIMOS DIAS (alerta)</t>
  </si>
  <si>
    <t>PAGO NO MÊS</t>
  </si>
  <si>
    <t>Aging: quanto está atrasado e há quanto tempo</t>
  </si>
  <si>
    <t>Títulos</t>
  </si>
  <si>
    <t>Valor em aberto</t>
  </si>
  <si>
    <t>% do total</t>
  </si>
  <si>
    <t>A vencer</t>
  </si>
  <si>
    <t>1-15 dias</t>
  </si>
  <si>
    <t>16-30 dias</t>
  </si>
  <si>
    <t>31-60 dias</t>
  </si>
  <si>
    <t>Mais de 60 dias</t>
  </si>
  <si>
    <t>Maiores devedores (em atraso)</t>
  </si>
  <si>
    <t>#</t>
  </si>
  <si>
    <t>Previsão das próximas 8 semanas (somente contas em aberto)</t>
  </si>
  <si>
    <t>Semana</t>
  </si>
  <si>
    <t>Início</t>
  </si>
  <si>
    <t>Fim</t>
  </si>
  <si>
    <t>A receber</t>
  </si>
  <si>
    <t>A pagar</t>
  </si>
  <si>
    <t>Saldo da semana</t>
  </si>
  <si>
    <t>Saldo acumulado</t>
  </si>
  <si>
    <t>Em atraso</t>
  </si>
  <si>
    <t>-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</si>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</sst>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0.0%"/>
    <numFmt numFmtId="166" formatCode="&quot;R$&quot; #,##0.00;[Red]-&quot;R$&quot; #,##0.00"/>
    <numFmt numFmtId="167" formatCode="#,##0"/>
  </numFmts>
  <fonts count="1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DC2626"/>
      <name val="Calibri"/>
      <family val="2"/>
      <scheme val="minor"/>
    </font>
    <font>
      <b/>
      <sz val="16"/>
      <color rgb="FFB45309"/>
      <name val="Calibri"/>
      <family val="2"/>
      <scheme val="minor"/>
    </font>
    <font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2C55E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8" fillId="3" borderId="2" xfId="0" applyFont="1" applyFill="1" applyBorder="1" applyAlignment="1" applyProtection="1">
      <alignment vertical="center"/>
      <protection locked="0"/>
    </xf>
    <xf numFmtId="0" fontId="9" fillId="4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3" borderId="2" xfId="0" applyFont="1" applyFill="1" applyBorder="1" applyAlignment="1" applyProtection="1">
      <alignment vertical="center"/>
      <protection locked="0"/>
    </xf>
    <xf numFmtId="164" fontId="12" fillId="4" borderId="2" xfId="0" applyNumberFormat="1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 applyProtection="1">
      <alignment horizontal="center" vertical="center"/>
      <protection locked="0"/>
    </xf>
    <xf numFmtId="1" fontId="6" fillId="3" borderId="2" xfId="0" applyNumberFormat="1" applyFont="1" applyFill="1" applyBorder="1" applyAlignment="1" applyProtection="1">
      <alignment horizontal="center" vertical="center"/>
      <protection locked="0"/>
    </xf>
    <xf numFmtId="164" fontId="6" fillId="3" borderId="2" xfId="0" applyNumberFormat="1" applyFont="1" applyFill="1" applyBorder="1" applyAlignment="1" applyProtection="1">
      <alignment horizontal="center" vertical="center"/>
      <protection locked="0"/>
    </xf>
    <xf numFmtId="166" fontId="6" fillId="3" borderId="2" xfId="0" applyNumberFormat="1" applyFont="1" applyFill="1" applyBorder="1" applyAlignment="1" applyProtection="1">
      <alignment vertical="center"/>
      <protection locked="0"/>
    </xf>
    <xf numFmtId="0" fontId="9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166" fontId="12" fillId="4" borderId="2" xfId="0" applyNumberFormat="1" applyFont="1" applyFill="1" applyBorder="1" applyAlignment="1">
      <alignment vertical="center"/>
    </xf>
    <xf numFmtId="166" fontId="9" fillId="4" borderId="2" xfId="0" applyNumberFormat="1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0" fontId="14" fillId="5" borderId="4" xfId="0" applyFont="1" applyFill="1" applyBorder="1" applyAlignment="1">
      <alignment horizontal="center" vertical="center" wrapText="1"/>
    </xf>
    <xf numFmtId="166" fontId="15" fillId="5" borderId="5" xfId="0" applyNumberFormat="1" applyFont="1" applyFill="1" applyBorder="1" applyAlignment="1">
      <alignment horizontal="center" vertical="center"/>
    </xf>
    <xf numFmtId="166" fontId="16" fillId="5" borderId="5" xfId="0" applyNumberFormat="1" applyFont="1" applyFill="1" applyBorder="1" applyAlignment="1">
      <alignment horizontal="center" vertical="center"/>
    </xf>
    <xf numFmtId="165" fontId="16" fillId="5" borderId="5" xfId="0" applyNumberFormat="1" applyFont="1" applyFill="1" applyBorder="1" applyAlignment="1">
      <alignment horizontal="center" vertical="center"/>
    </xf>
    <xf numFmtId="166" fontId="17" fillId="5" borderId="5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7" fontId="12" fillId="4" borderId="2" xfId="0" applyNumberFormat="1" applyFont="1" applyFill="1" applyBorder="1" applyAlignment="1">
      <alignment horizontal="center" vertical="center"/>
    </xf>
    <xf numFmtId="165" fontId="12" fillId="4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4" borderId="2" xfId="0" applyFont="1" applyFill="1" applyBorder="1" applyAlignment="1">
      <alignment vertical="center"/>
    </xf>
    <xf numFmtId="0" fontId="18" fillId="4" borderId="2" xfId="0" applyFont="1" applyFill="1" applyBorder="1" applyAlignment="1">
      <alignment vertical="center"/>
    </xf>
  </cellXfs>
  <cellStyles count="1">
    <cellStyle name="Normal" xfId="0" builtinId="0"/>
  </cellStyles>
  <dxfs count="7">
    <dxf>
      <font>
        <b/>
        <color rgb="FF15803D"/>
      </font>
      <fill>
        <patternFill>
          <bgColor rgb="FFDCFCE7"/>
        </patternFill>
      </fill>
    </dxf>
    <dxf>
      <font>
        <b/>
        <color rgb="FFFFFFFF"/>
      </font>
      <fill>
        <patternFill>
          <bgColor rgb="FFDC2626"/>
        </patternFill>
      </fill>
    </dxf>
    <dxf>
      <font>
        <b/>
        <color rgb="FFFFFFFF"/>
      </font>
      <fill>
        <patternFill>
          <bgColor rgb="FFF87171"/>
        </patternFill>
      </fill>
    </dxf>
    <dxf>
      <font>
        <b/>
        <color rgb="FFFFFFFF"/>
      </font>
      <fill>
        <patternFill>
          <bgColor rgb="FFF59E0B"/>
        </patternFill>
      </fill>
    </dxf>
    <dxf>
      <font>
        <b/>
        <color rgb="FF1E40AF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DC2626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Aging da carteira a receber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Valor em aberto</c:v>
          </c:tx>
          <c:dPt>
            <c:idx val="0"/>
            <c:spPr>
              <a:solidFill>
                <a:srgbClr val="93C5FD"/>
              </a:solidFill>
            </c:spPr>
          </c:dPt>
          <c:dPt>
            <c:idx val="1"/>
            <c:spPr>
              <a:solidFill>
                <a:srgbClr val="FCD34D"/>
              </a:solidFill>
            </c:spPr>
          </c:dPt>
          <c:dPt>
            <c:idx val="2"/>
            <c:spPr>
              <a:solidFill>
                <a:srgbClr val="FB923C"/>
              </a:solidFill>
            </c:spPr>
          </c:dPt>
          <c:dPt>
            <c:idx val="3"/>
            <c:spPr>
              <a:solidFill>
                <a:srgbClr val="EF4444"/>
              </a:solidFill>
            </c:spPr>
          </c:dPt>
          <c:dPt>
            <c:idx val="4"/>
            <c:spPr>
              <a:solidFill>
                <a:srgbClr val="991B1B"/>
              </a:solidFill>
            </c:spPr>
          </c:dPt>
          <c:dLbls>
            <c:numFmt formatCode="#,##0" sourceLinked="0"/>
            <c:showVal val="1"/>
          </c:dLbls>
          <c:cat>
            <c:strRef>
              <c:f>Painel!$A$12:$A$16</c:f>
              <c:strCache>
                <c:ptCount val="5"/>
                <c:pt idx="0">
                  <c:v>A vencer</c:v>
                </c:pt>
                <c:pt idx="1">
                  <c:v>1-15 dias</c:v>
                </c:pt>
                <c:pt idx="2">
                  <c:v>16-30 dias</c:v>
                </c:pt>
                <c:pt idx="3">
                  <c:v>31-60 dias</c:v>
                </c:pt>
                <c:pt idx="4">
                  <c:v>Mais de 60 dias</c:v>
                </c:pt>
              </c:strCache>
            </c:strRef>
          </c:cat>
          <c:val>
            <c:numRef>
              <c:f>Painel!$C$12:$C$16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Previsão: receber x pagar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 receber</c:v>
          </c:tx>
          <c:spPr>
            <a:solidFill>
              <a:srgbClr val="16A34A"/>
            </a:solidFill>
          </c:spPr>
          <c:cat>
            <c:strRef>
              <c:f>Painel!$A$21:$A$29</c:f>
              <c:strCache>
                <c:ptCount val="9"/>
                <c:pt idx="0">
                  <c:v>Em atraso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  <c:pt idx="5">
                  <c:v>Semana 5</c:v>
                </c:pt>
                <c:pt idx="6">
                  <c:v>Semana 6</c:v>
                </c:pt>
                <c:pt idx="7">
                  <c:v>Semana 7</c:v>
                </c:pt>
                <c:pt idx="8">
                  <c:v>Semana 8</c:v>
                </c:pt>
              </c:strCache>
            </c:strRef>
          </c:cat>
          <c:val>
            <c:numRef>
              <c:f>Painel!$D$21:$D$29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A pagar</c:v>
          </c:tx>
          <c:spPr>
            <a:solidFill>
              <a:srgbClr val="F87171"/>
            </a:solidFill>
          </c:spPr>
          <c:cat>
            <c:strRef>
              <c:f>Painel!$A$21:$A$29</c:f>
              <c:strCache>
                <c:ptCount val="9"/>
                <c:pt idx="0">
                  <c:v>Em atraso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  <c:pt idx="5">
                  <c:v>Semana 5</c:v>
                </c:pt>
                <c:pt idx="6">
                  <c:v>Semana 6</c:v>
                </c:pt>
                <c:pt idx="7">
                  <c:v>Semana 7</c:v>
                </c:pt>
                <c:pt idx="8">
                  <c:v>Semana 8</c:v>
                </c:pt>
              </c:strCache>
            </c:strRef>
          </c:cat>
          <c:val>
            <c:numRef>
              <c:f>Painel!$E$21:$E$29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2"/>
          <c:order val="2"/>
          <c:tx>
            <c:v>Saldo acumulado</c:v>
          </c:tx>
          <c:spPr>
            <a:ln w="31750">
              <a:solidFill>
                <a:srgbClr val="0B3B24"/>
              </a:solidFill>
            </a:ln>
          </c:spPr>
          <c:marker>
            <c:symbol val="circle"/>
          </c:marker>
          <c:cat>
            <c:strRef>
              <c:f>Painel!$A$21:$A$29</c:f>
              <c:strCache>
                <c:ptCount val="9"/>
                <c:pt idx="0">
                  <c:v>Em atraso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  <c:pt idx="5">
                  <c:v>Semana 5</c:v>
                </c:pt>
                <c:pt idx="6">
                  <c:v>Semana 6</c:v>
                </c:pt>
                <c:pt idx="7">
                  <c:v>Semana 7</c:v>
                </c:pt>
                <c:pt idx="8">
                  <c:v>Semana 8</c:v>
                </c:pt>
              </c:strCache>
            </c:strRef>
          </c:cat>
          <c:val>
            <c:numRef>
              <c:f>Painel!$G$21:$G$29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5</xdr:col>
      <xdr:colOff>381000</xdr:colOff>
      <xdr:row>45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11</xdr:col>
      <xdr:colOff>381000</xdr:colOff>
      <xdr:row>45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0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>
      <c r="B4" s="3" t="s">
        <v>2</v>
      </c>
      <c r="C4" s="3"/>
    </row>
    <row r="5" spans="1:3" ht="48" customHeight="1">
      <c r="B5" s="4" t="s">
        <v>3</v>
      </c>
      <c r="C5" s="4"/>
    </row>
    <row r="7" spans="1:3">
      <c r="B7" s="3" t="s">
        <v>4</v>
      </c>
      <c r="C7" s="3"/>
    </row>
    <row r="8" spans="1:3" ht="30" customHeight="1">
      <c r="B8" s="5" t="s">
        <v>5</v>
      </c>
      <c r="C8" s="6" t="s">
        <v>6</v>
      </c>
    </row>
    <row r="9" spans="1:3" ht="30" customHeight="1">
      <c r="B9" s="5" t="s">
        <v>7</v>
      </c>
      <c r="C9" s="6" t="s">
        <v>8</v>
      </c>
    </row>
    <row r="10" spans="1:3" ht="30" customHeight="1">
      <c r="B10" s="5" t="s">
        <v>9</v>
      </c>
      <c r="C10" s="6" t="s">
        <v>10</v>
      </c>
    </row>
    <row r="11" spans="1:3" ht="30" customHeight="1">
      <c r="B11" s="5" t="s">
        <v>11</v>
      </c>
      <c r="C11" s="6" t="s">
        <v>12</v>
      </c>
    </row>
    <row r="12" spans="1:3" ht="30" customHeight="1">
      <c r="B12" s="5" t="s">
        <v>13</v>
      </c>
      <c r="C12" s="6" t="s">
        <v>14</v>
      </c>
    </row>
    <row r="14" spans="1:3">
      <c r="B14" s="3" t="s">
        <v>15</v>
      </c>
      <c r="C14" s="3"/>
    </row>
    <row r="15" spans="1:3" ht="18" customHeight="1">
      <c r="B15" s="7" t="s">
        <v>16</v>
      </c>
      <c r="C15" s="6" t="s">
        <v>17</v>
      </c>
    </row>
    <row r="16" spans="1:3" ht="18" customHeight="1">
      <c r="B16" s="7" t="s">
        <v>18</v>
      </c>
      <c r="C16" s="6" t="s">
        <v>19</v>
      </c>
    </row>
    <row r="17" spans="2:3" ht="18" customHeight="1">
      <c r="B17" s="7" t="s">
        <v>20</v>
      </c>
      <c r="C17" s="6" t="s">
        <v>21</v>
      </c>
    </row>
    <row r="18" spans="2:3" ht="18" customHeight="1">
      <c r="B18" s="7" t="s">
        <v>22</v>
      </c>
      <c r="C18" s="6" t="s">
        <v>23</v>
      </c>
    </row>
    <row r="20" spans="2:3">
      <c r="B20" s="3" t="s">
        <v>24</v>
      </c>
      <c r="C20" s="3"/>
    </row>
    <row r="21" spans="2:3">
      <c r="B21" s="8" t="s">
        <v>25</v>
      </c>
      <c r="C21" s="6" t="s">
        <v>26</v>
      </c>
    </row>
    <row r="22" spans="2:3">
      <c r="B22" s="9" t="s">
        <v>27</v>
      </c>
      <c r="C22" s="6" t="s">
        <v>28</v>
      </c>
    </row>
    <row r="23" spans="2:3">
      <c r="B23" s="10" t="s">
        <v>29</v>
      </c>
      <c r="C23" s="6" t="s">
        <v>30</v>
      </c>
    </row>
    <row r="25" spans="2:3">
      <c r="B25" s="3" t="s">
        <v>31</v>
      </c>
      <c r="C25" s="3"/>
    </row>
    <row r="26" spans="2:3" ht="30" customHeight="1">
      <c r="B26" s="6" t="s">
        <v>32</v>
      </c>
      <c r="C26" s="6"/>
    </row>
    <row r="27" spans="2:3" ht="30" customHeight="1">
      <c r="B27" s="6" t="s">
        <v>33</v>
      </c>
      <c r="C27" s="6"/>
    </row>
    <row r="28" spans="2:3" ht="18" customHeight="1">
      <c r="B28" s="6" t="s">
        <v>34</v>
      </c>
      <c r="C28" s="6"/>
    </row>
    <row r="30" spans="2:3">
      <c r="B30" s="11" t="s">
        <v>35</v>
      </c>
      <c r="C30" s="11"/>
    </row>
  </sheetData>
  <sheetProtection sheet="1" objects="1" scenarios="1"/>
  <mergeCells count="12">
    <mergeCell ref="A1:C1"/>
    <mergeCell ref="A2:C2"/>
    <mergeCell ref="B4:C4"/>
    <mergeCell ref="B5:C5"/>
    <mergeCell ref="B7:C7"/>
    <mergeCell ref="B14:C14"/>
    <mergeCell ref="B20:C20"/>
    <mergeCell ref="B25:C25"/>
    <mergeCell ref="B26:C26"/>
    <mergeCell ref="B27:C27"/>
    <mergeCell ref="B28:C28"/>
    <mergeCell ref="B30:C30"/>
  </mergeCells>
  <hyperlinks>
    <hyperlink ref="B15" location="'Config'!A1" display="Config"/>
    <hyperlink ref="B16" location="'Receber'!A1" display="Receber"/>
    <hyperlink ref="B17" location="'Pagar'!A1" display="Pagar"/>
    <hyperlink ref="B18" location="'Painel'!A1" display="Painel"/>
  </hyperlinks>
  <pageMargins left="0.7" right="0.7" top="0.75" bottom="0.75" header="0.3" footer="0.3"/>
  <pageSetup paperSize="9" fitToHeight="0" orientation="landscape"/>
  <headerFooter>
    <oddFooter>&amp;L&amp;8Carvex XLS - Contas a Pagar e Receber com Inadimplência&amp;R&amp;8Página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M104"/>
  <sheetViews>
    <sheetView showGridLines="0" workbookViewId="0"/>
  </sheetViews>
  <sheetFormatPr defaultRowHeight="15"/>
  <cols>
    <col min="1" max="1" width="3.7109375" customWidth="1"/>
    <col min="2" max="2" width="36.7109375" customWidth="1"/>
    <col min="3" max="3" width="14.7109375" customWidth="1"/>
    <col min="4" max="4" width="3.7109375" customWidth="1"/>
    <col min="5" max="5" width="28.7109375" customWidth="1"/>
    <col min="6" max="6" width="16.7109375" customWidth="1"/>
    <col min="7" max="7" width="3.7109375" customWidth="1"/>
    <col min="8" max="8" width="30.7109375" customWidth="1"/>
    <col min="9" max="9" width="3.7109375" customWidth="1"/>
    <col min="10" max="10" width="24.7109375" customWidth="1"/>
    <col min="11" max="11" width="3.7109375" customWidth="1"/>
    <col min="12" max="12" width="20.7109375" customWidth="1"/>
  </cols>
  <sheetData>
    <row r="1" spans="1:13" ht="36" customHeight="1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" customHeight="1">
      <c r="A2" s="2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B4" s="12" t="s">
        <v>38</v>
      </c>
      <c r="C4" s="13"/>
      <c r="E4" s="10" t="s">
        <v>43</v>
      </c>
      <c r="F4" s="10" t="s">
        <v>44</v>
      </c>
      <c r="H4" s="10" t="s">
        <v>45</v>
      </c>
      <c r="J4" s="10" t="s">
        <v>46</v>
      </c>
      <c r="L4" s="10" t="s">
        <v>56</v>
      </c>
    </row>
    <row r="5" spans="1:13">
      <c r="B5" s="12" t="s">
        <v>39</v>
      </c>
      <c r="C5" s="14">
        <f>TODAY()</f>
        <v>46303.0</v>
      </c>
      <c r="E5" s="13"/>
      <c r="F5" s="13"/>
      <c r="H5" s="13"/>
      <c r="J5" s="13" t="s">
        <v>45</v>
      </c>
      <c r="L5" s="13" t="s">
        <v>57</v>
      </c>
    </row>
    <row r="6" spans="1:13">
      <c r="B6" s="12" t="s">
        <v>40</v>
      </c>
      <c r="C6" s="15">
        <v>0.02</v>
      </c>
      <c r="E6" s="13"/>
      <c r="F6" s="13"/>
      <c r="H6" s="13"/>
      <c r="J6" s="13" t="s">
        <v>47</v>
      </c>
      <c r="L6" s="13" t="s">
        <v>58</v>
      </c>
    </row>
    <row r="7" spans="1:13">
      <c r="B7" s="12" t="s">
        <v>41</v>
      </c>
      <c r="C7" s="15">
        <v>0.01</v>
      </c>
      <c r="E7" s="13"/>
      <c r="F7" s="13"/>
      <c r="H7" s="13"/>
      <c r="J7" s="13" t="s">
        <v>48</v>
      </c>
      <c r="L7" s="13" t="s">
        <v>59</v>
      </c>
    </row>
    <row r="8" spans="1:13">
      <c r="B8" s="12" t="s">
        <v>42</v>
      </c>
      <c r="C8" s="16">
        <v>7</v>
      </c>
      <c r="E8" s="13"/>
      <c r="F8" s="13"/>
      <c r="H8" s="13"/>
      <c r="J8" s="13" t="s">
        <v>49</v>
      </c>
      <c r="L8" s="13" t="s">
        <v>60</v>
      </c>
    </row>
    <row r="9" spans="1:13">
      <c r="E9" s="13"/>
      <c r="F9" s="13"/>
      <c r="H9" s="13"/>
      <c r="J9" s="13" t="s">
        <v>50</v>
      </c>
      <c r="L9" s="13" t="s">
        <v>61</v>
      </c>
    </row>
    <row r="10" spans="1:13">
      <c r="E10" s="13"/>
      <c r="F10" s="13"/>
      <c r="H10" s="13"/>
      <c r="J10" s="13" t="s">
        <v>51</v>
      </c>
      <c r="L10" s="13" t="s">
        <v>62</v>
      </c>
    </row>
    <row r="11" spans="1:13">
      <c r="E11" s="13"/>
      <c r="F11" s="13"/>
      <c r="H11" s="13"/>
      <c r="J11" s="13" t="s">
        <v>52</v>
      </c>
      <c r="L11" s="13"/>
    </row>
    <row r="12" spans="1:13">
      <c r="E12" s="13"/>
      <c r="F12" s="13"/>
      <c r="H12" s="13"/>
      <c r="J12" s="13" t="s">
        <v>53</v>
      </c>
      <c r="L12" s="13"/>
    </row>
    <row r="13" spans="1:13">
      <c r="E13" s="13"/>
      <c r="F13" s="13"/>
      <c r="H13" s="13"/>
      <c r="J13" s="13" t="s">
        <v>54</v>
      </c>
      <c r="L13" s="13"/>
    </row>
    <row r="14" spans="1:13">
      <c r="E14" s="13"/>
      <c r="F14" s="13"/>
      <c r="H14" s="13"/>
      <c r="J14" s="13" t="s">
        <v>55</v>
      </c>
      <c r="L14" s="13"/>
    </row>
    <row r="15" spans="1:13">
      <c r="E15" s="13"/>
      <c r="F15" s="13"/>
      <c r="H15" s="13"/>
      <c r="J15" s="13"/>
      <c r="L15" s="13"/>
    </row>
    <row r="16" spans="1:13">
      <c r="E16" s="13"/>
      <c r="F16" s="13"/>
      <c r="H16" s="13"/>
      <c r="J16" s="13"/>
      <c r="L16" s="13"/>
    </row>
    <row r="17" spans="5:10">
      <c r="E17" s="13"/>
      <c r="F17" s="13"/>
      <c r="H17" s="13"/>
      <c r="J17" s="13"/>
    </row>
    <row r="18" spans="5:10">
      <c r="E18" s="13"/>
      <c r="F18" s="13"/>
      <c r="H18" s="13"/>
      <c r="J18" s="13"/>
    </row>
    <row r="19" spans="5:10">
      <c r="E19" s="13"/>
      <c r="F19" s="13"/>
      <c r="H19" s="13"/>
      <c r="J19" s="13"/>
    </row>
    <row r="20" spans="5:10">
      <c r="E20" s="13"/>
      <c r="F20" s="13"/>
      <c r="H20" s="13"/>
      <c r="J20" s="13"/>
    </row>
    <row r="21" spans="5:10">
      <c r="E21" s="13"/>
      <c r="F21" s="13"/>
      <c r="H21" s="13"/>
      <c r="J21" s="13"/>
    </row>
    <row r="22" spans="5:10">
      <c r="E22" s="13"/>
      <c r="F22" s="13"/>
      <c r="H22" s="13"/>
      <c r="J22" s="13"/>
    </row>
    <row r="23" spans="5:10">
      <c r="E23" s="13"/>
      <c r="F23" s="13"/>
      <c r="H23" s="13"/>
      <c r="J23" s="13"/>
    </row>
    <row r="24" spans="5:10">
      <c r="E24" s="13"/>
      <c r="F24" s="13"/>
      <c r="H24" s="13"/>
      <c r="J24" s="13"/>
    </row>
    <row r="25" spans="5:10">
      <c r="E25" s="13"/>
      <c r="F25" s="13"/>
      <c r="H25" s="13"/>
      <c r="J25" s="13"/>
    </row>
    <row r="26" spans="5:10">
      <c r="E26" s="13"/>
      <c r="F26" s="13"/>
      <c r="H26" s="13"/>
      <c r="J26" s="13"/>
    </row>
    <row r="27" spans="5:10">
      <c r="E27" s="13"/>
      <c r="F27" s="13"/>
      <c r="H27" s="13"/>
      <c r="J27" s="13"/>
    </row>
    <row r="28" spans="5:10">
      <c r="E28" s="13"/>
      <c r="F28" s="13"/>
      <c r="H28" s="13"/>
      <c r="J28" s="13"/>
    </row>
    <row r="29" spans="5:10">
      <c r="E29" s="13"/>
      <c r="F29" s="13"/>
      <c r="H29" s="13"/>
      <c r="J29" s="13"/>
    </row>
    <row r="30" spans="5:10">
      <c r="E30" s="13"/>
      <c r="F30" s="13"/>
      <c r="H30" s="13"/>
      <c r="J30" s="13"/>
    </row>
    <row r="31" spans="5:10">
      <c r="E31" s="13"/>
      <c r="F31" s="13"/>
      <c r="H31" s="13"/>
      <c r="J31" s="13"/>
    </row>
    <row r="32" spans="5:10">
      <c r="E32" s="13"/>
      <c r="F32" s="13"/>
      <c r="H32" s="13"/>
      <c r="J32" s="13"/>
    </row>
    <row r="33" spans="5:10">
      <c r="E33" s="13"/>
      <c r="F33" s="13"/>
      <c r="H33" s="13"/>
      <c r="J33" s="13"/>
    </row>
    <row r="34" spans="5:10">
      <c r="E34" s="13"/>
      <c r="F34" s="13"/>
      <c r="H34" s="13"/>
      <c r="J34" s="13"/>
    </row>
    <row r="35" spans="5:10">
      <c r="E35" s="13"/>
      <c r="F35" s="13"/>
      <c r="H35" s="13"/>
    </row>
    <row r="36" spans="5:10">
      <c r="E36" s="13"/>
      <c r="F36" s="13"/>
      <c r="H36" s="13"/>
    </row>
    <row r="37" spans="5:10">
      <c r="E37" s="13"/>
      <c r="F37" s="13"/>
      <c r="H37" s="13"/>
    </row>
    <row r="38" spans="5:10">
      <c r="E38" s="13"/>
      <c r="F38" s="13"/>
      <c r="H38" s="13"/>
    </row>
    <row r="39" spans="5:10">
      <c r="E39" s="13"/>
      <c r="F39" s="13"/>
      <c r="H39" s="13"/>
    </row>
    <row r="40" spans="5:10">
      <c r="E40" s="13"/>
      <c r="F40" s="13"/>
      <c r="H40" s="13"/>
    </row>
    <row r="41" spans="5:10">
      <c r="E41" s="13"/>
      <c r="F41" s="13"/>
      <c r="H41" s="13"/>
    </row>
    <row r="42" spans="5:10">
      <c r="E42" s="13"/>
      <c r="F42" s="13"/>
      <c r="H42" s="13"/>
    </row>
    <row r="43" spans="5:10">
      <c r="E43" s="13"/>
      <c r="F43" s="13"/>
      <c r="H43" s="13"/>
    </row>
    <row r="44" spans="5:10">
      <c r="E44" s="13"/>
      <c r="F44" s="13"/>
      <c r="H44" s="13"/>
    </row>
    <row r="45" spans="5:10">
      <c r="E45" s="13"/>
      <c r="F45" s="13"/>
      <c r="H45" s="13"/>
    </row>
    <row r="46" spans="5:10">
      <c r="E46" s="13"/>
      <c r="F46" s="13"/>
      <c r="H46" s="13"/>
    </row>
    <row r="47" spans="5:10">
      <c r="E47" s="13"/>
      <c r="F47" s="13"/>
      <c r="H47" s="13"/>
    </row>
    <row r="48" spans="5:10">
      <c r="E48" s="13"/>
      <c r="F48" s="13"/>
      <c r="H48" s="13"/>
    </row>
    <row r="49" spans="5:8">
      <c r="E49" s="13"/>
      <c r="F49" s="13"/>
      <c r="H49" s="13"/>
    </row>
    <row r="50" spans="5:8">
      <c r="E50" s="13"/>
      <c r="F50" s="13"/>
      <c r="H50" s="13"/>
    </row>
    <row r="51" spans="5:8">
      <c r="E51" s="13"/>
      <c r="F51" s="13"/>
      <c r="H51" s="13"/>
    </row>
    <row r="52" spans="5:8">
      <c r="E52" s="13"/>
      <c r="F52" s="13"/>
      <c r="H52" s="13"/>
    </row>
    <row r="53" spans="5:8">
      <c r="E53" s="13"/>
      <c r="F53" s="13"/>
      <c r="H53" s="13"/>
    </row>
    <row r="54" spans="5:8">
      <c r="E54" s="13"/>
      <c r="F54" s="13"/>
      <c r="H54" s="13"/>
    </row>
    <row r="55" spans="5:8">
      <c r="E55" s="13"/>
      <c r="F55" s="13"/>
      <c r="H55" s="13"/>
    </row>
    <row r="56" spans="5:8">
      <c r="E56" s="13"/>
      <c r="F56" s="13"/>
      <c r="H56" s="13"/>
    </row>
    <row r="57" spans="5:8">
      <c r="E57" s="13"/>
      <c r="F57" s="13"/>
      <c r="H57" s="13"/>
    </row>
    <row r="58" spans="5:8">
      <c r="E58" s="13"/>
      <c r="F58" s="13"/>
      <c r="H58" s="13"/>
    </row>
    <row r="59" spans="5:8">
      <c r="E59" s="13"/>
      <c r="F59" s="13"/>
      <c r="H59" s="13"/>
    </row>
    <row r="60" spans="5:8">
      <c r="E60" s="13"/>
      <c r="F60" s="13"/>
      <c r="H60" s="13"/>
    </row>
    <row r="61" spans="5:8">
      <c r="E61" s="13"/>
      <c r="F61" s="13"/>
      <c r="H61" s="13"/>
    </row>
    <row r="62" spans="5:8">
      <c r="E62" s="13"/>
      <c r="F62" s="13"/>
      <c r="H62" s="13"/>
    </row>
    <row r="63" spans="5:8">
      <c r="E63" s="13"/>
      <c r="F63" s="13"/>
      <c r="H63" s="13"/>
    </row>
    <row r="64" spans="5:8">
      <c r="E64" s="13"/>
      <c r="F64" s="13"/>
      <c r="H64" s="13"/>
    </row>
    <row r="65" spans="5:6">
      <c r="E65" s="13"/>
      <c r="F65" s="13"/>
    </row>
    <row r="66" spans="5:6">
      <c r="E66" s="13"/>
      <c r="F66" s="13"/>
    </row>
    <row r="67" spans="5:6">
      <c r="E67" s="13"/>
      <c r="F67" s="13"/>
    </row>
    <row r="68" spans="5:6">
      <c r="E68" s="13"/>
      <c r="F68" s="13"/>
    </row>
    <row r="69" spans="5:6">
      <c r="E69" s="13"/>
      <c r="F69" s="13"/>
    </row>
    <row r="70" spans="5:6">
      <c r="E70" s="13"/>
      <c r="F70" s="13"/>
    </row>
    <row r="71" spans="5:6">
      <c r="E71" s="13"/>
      <c r="F71" s="13"/>
    </row>
    <row r="72" spans="5:6">
      <c r="E72" s="13"/>
      <c r="F72" s="13"/>
    </row>
    <row r="73" spans="5:6">
      <c r="E73" s="13"/>
      <c r="F73" s="13"/>
    </row>
    <row r="74" spans="5:6">
      <c r="E74" s="13"/>
      <c r="F74" s="13"/>
    </row>
    <row r="75" spans="5:6">
      <c r="E75" s="13"/>
      <c r="F75" s="13"/>
    </row>
    <row r="76" spans="5:6">
      <c r="E76" s="13"/>
      <c r="F76" s="13"/>
    </row>
    <row r="77" spans="5:6">
      <c r="E77" s="13"/>
      <c r="F77" s="13"/>
    </row>
    <row r="78" spans="5:6">
      <c r="E78" s="13"/>
      <c r="F78" s="13"/>
    </row>
    <row r="79" spans="5:6">
      <c r="E79" s="13"/>
      <c r="F79" s="13"/>
    </row>
    <row r="80" spans="5:6">
      <c r="E80" s="13"/>
      <c r="F80" s="13"/>
    </row>
    <row r="81" spans="5:6">
      <c r="E81" s="13"/>
      <c r="F81" s="13"/>
    </row>
    <row r="82" spans="5:6">
      <c r="E82" s="13"/>
      <c r="F82" s="13"/>
    </row>
    <row r="83" spans="5:6">
      <c r="E83" s="13"/>
      <c r="F83" s="13"/>
    </row>
    <row r="84" spans="5:6">
      <c r="E84" s="13"/>
      <c r="F84" s="13"/>
    </row>
    <row r="85" spans="5:6">
      <c r="E85" s="13"/>
      <c r="F85" s="13"/>
    </row>
    <row r="86" spans="5:6">
      <c r="E86" s="13"/>
      <c r="F86" s="13"/>
    </row>
    <row r="87" spans="5:6">
      <c r="E87" s="13"/>
      <c r="F87" s="13"/>
    </row>
    <row r="88" spans="5:6">
      <c r="E88" s="13"/>
      <c r="F88" s="13"/>
    </row>
    <row r="89" spans="5:6">
      <c r="E89" s="13"/>
      <c r="F89" s="13"/>
    </row>
    <row r="90" spans="5:6">
      <c r="E90" s="13"/>
      <c r="F90" s="13"/>
    </row>
    <row r="91" spans="5:6">
      <c r="E91" s="13"/>
      <c r="F91" s="13"/>
    </row>
    <row r="92" spans="5:6">
      <c r="E92" s="13"/>
      <c r="F92" s="13"/>
    </row>
    <row r="93" spans="5:6">
      <c r="E93" s="13"/>
      <c r="F93" s="13"/>
    </row>
    <row r="94" spans="5:6">
      <c r="E94" s="13"/>
      <c r="F94" s="13"/>
    </row>
    <row r="95" spans="5:6">
      <c r="E95" s="13"/>
      <c r="F95" s="13"/>
    </row>
    <row r="96" spans="5:6">
      <c r="E96" s="13"/>
      <c r="F96" s="13"/>
    </row>
    <row r="97" spans="5:6">
      <c r="E97" s="13"/>
      <c r="F97" s="13"/>
    </row>
    <row r="98" spans="5:6">
      <c r="E98" s="13"/>
      <c r="F98" s="13"/>
    </row>
    <row r="99" spans="5:6">
      <c r="E99" s="13"/>
      <c r="F99" s="13"/>
    </row>
    <row r="100" spans="5:6">
      <c r="E100" s="13"/>
      <c r="F100" s="13"/>
    </row>
    <row r="101" spans="5:6">
      <c r="E101" s="13"/>
      <c r="F101" s="13"/>
    </row>
    <row r="102" spans="5:6">
      <c r="E102" s="13"/>
      <c r="F102" s="13"/>
    </row>
    <row r="103" spans="5:6">
      <c r="E103" s="13"/>
      <c r="F103" s="13"/>
    </row>
    <row r="104" spans="5:6">
      <c r="E104" s="13"/>
      <c r="F104" s="13"/>
    </row>
  </sheetData>
  <mergeCells count="2">
    <mergeCell ref="A1:M1"/>
    <mergeCell ref="A2:M2"/>
  </mergeCells>
  <dataValidations count="2">
    <dataValidation type="decimal" allowBlank="1" showInputMessage="1" showErrorMessage="1" errorTitle="Valor inválido" error="Digite um número entre 0 e 0.5." sqref="C6:C7">
      <formula1>0</formula1>
      <formula2>0.5</formula2>
    </dataValidation>
    <dataValidation type="whole" allowBlank="1" showInputMessage="1" showErrorMessage="1" errorTitle="Valor inválido" error="Digite um número entre 1 e 60." sqref="C8">
      <formula1>1</formula1>
      <formula2>60</formula2>
    </dataValidation>
  </dataValidations>
  <pageMargins left="0.7" right="0.7" top="0.75" bottom="0.75" header="0.3" footer="0.3"/>
  <pageSetup paperSize="9" fitToHeight="0" orientation="landscape"/>
  <headerFooter>
    <oddFooter>&amp;L&amp;8Carvex XLS - Contas a Pagar e Receber com Inadimplência&amp;R&amp;8Página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O100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0.7109375" customWidth="1"/>
    <col min="2" max="2" width="28.7109375" customWidth="1"/>
    <col min="3" max="4" width="11.7109375" customWidth="1"/>
    <col min="5" max="5" width="13.7109375" customWidth="1"/>
    <col min="6" max="6" width="12.7109375" customWidth="1"/>
    <col min="7" max="7" width="13.7109375" customWidth="1"/>
    <col min="8" max="8" width="15.7109375" customWidth="1"/>
    <col min="9" max="9" width="16.7109375" customWidth="1"/>
    <col min="10" max="10" width="8.7109375" customWidth="1"/>
    <col min="11" max="11" width="15.7109375" customWidth="1"/>
    <col min="12" max="12" width="14.7109375" customWidth="1"/>
    <col min="13" max="13" width="12.7109375" customWidth="1"/>
    <col min="14" max="14" width="14.7109375" customWidth="1"/>
    <col min="15" max="15" width="70.7109375" customWidth="1"/>
  </cols>
  <sheetData>
    <row r="1" spans="1:15" ht="36" customHeight="1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44" customHeight="1">
      <c r="A4" s="10" t="s">
        <v>65</v>
      </c>
      <c r="B4" s="10" t="s">
        <v>66</v>
      </c>
      <c r="C4" s="10" t="s">
        <v>67</v>
      </c>
      <c r="D4" s="10" t="s">
        <v>68</v>
      </c>
      <c r="E4" s="10" t="s">
        <v>69</v>
      </c>
      <c r="F4" s="10" t="s">
        <v>70</v>
      </c>
      <c r="G4" s="10" t="s">
        <v>71</v>
      </c>
      <c r="H4" s="10" t="s">
        <v>72</v>
      </c>
      <c r="I4" s="10" t="s">
        <v>73</v>
      </c>
      <c r="J4" s="10" t="s">
        <v>74</v>
      </c>
      <c r="K4" s="10" t="s">
        <v>75</v>
      </c>
      <c r="L4" s="10" t="s">
        <v>76</v>
      </c>
      <c r="M4" s="10" t="s">
        <v>77</v>
      </c>
      <c r="N4" s="10" t="s">
        <v>78</v>
      </c>
      <c r="O4" s="10" t="s">
        <v>79</v>
      </c>
    </row>
    <row r="5" spans="1:15">
      <c r="A5" s="13"/>
      <c r="B5" s="13"/>
      <c r="C5" s="17"/>
      <c r="D5" s="17"/>
      <c r="E5" s="18"/>
      <c r="F5" s="17"/>
      <c r="G5" s="18"/>
      <c r="H5" s="13"/>
      <c r="I5" s="19">
        <f>IF($E5="","",IF($L5&lt;=0.005,"Pago",IF($D5="","Sem vencimento",IF($D5&lt;Hoje,IF(N($G5)&gt;0,"Vencido (parcial)","Vencido"),IF($D5=Hoje,"Vence hoje","A vencer")))))</f>
        <v>0</v>
      </c>
      <c r="J5" s="20">
        <f>IF(OR($E5="",$D5=""),"",IF(AND($L5&gt;0.005,$D5&lt;Hoje),Hoje-$D5,0))</f>
        <v>0</v>
      </c>
      <c r="K5" s="20">
        <f>IF($J5="","",IF($L5&lt;=0.005,"Pago",IF($J5&lt;=0,"A vencer",IF($J5&lt;=15,"1-15 dias",IF($J5&lt;=30,"16-30 dias",IF($J5&lt;=60,"31-60 dias","Mais de 60 dias"))))))</f>
        <v>0</v>
      </c>
      <c r="L5" s="21">
        <f>IF($E5="","",MAX(0,$E5-N($G5)))</f>
        <v>0</v>
      </c>
      <c r="M5" s="21">
        <f>IF(OR($L5="",$J5=""),"",IF($J5&gt;0,ROUND($L5*Multa+$L5*Juros/30*$J5,2),0))</f>
        <v>0</v>
      </c>
      <c r="N5" s="22">
        <f>IF($L5="","",IF($L5&lt;=0.005,0,$L5+N($M5)))</f>
        <v>0</v>
      </c>
      <c r="O5" s="23">
        <f>IF(OR($I5="Vencido",$I5="Vencido (parcial)"),"Olá, "&amp;$A5&amp;"! Consta em aberto '"&amp;$B5&amp;"' com vencimento em "&amp;DAY($D5)&amp;"/"&amp;MONTH($D5)&amp;"/"&amp;YEAR($D5)&amp;", no valor de R$ "&amp;FIXED($N5,2)&amp;" (com multa e juros). Podemos ajudar a regularizar hoje? Obrigado!",IF($I5="Vence hoje","Olá, "&amp;$A5&amp;"! Lembrete: '"&amp;$B5&amp;"' vence hoje, no valor de R$ "&amp;FIXED($L5,2)&amp;". Obrigado!",""))</f>
        <v>0</v>
      </c>
    </row>
    <row r="6" spans="1:15">
      <c r="A6" s="13"/>
      <c r="B6" s="13"/>
      <c r="C6" s="17"/>
      <c r="D6" s="17"/>
      <c r="E6" s="18"/>
      <c r="F6" s="17"/>
      <c r="G6" s="18"/>
      <c r="H6" s="13"/>
      <c r="I6" s="19">
        <f>IF($E6="","",IF($L6&lt;=0.005,"Pago",IF($D6="","Sem vencimento",IF($D6&lt;Hoje,IF(N($G6)&gt;0,"Vencido (parcial)","Vencido"),IF($D6=Hoje,"Vence hoje","A vencer")))))</f>
        <v>0</v>
      </c>
      <c r="J6" s="20">
        <f>IF(OR($E6="",$D6=""),"",IF(AND($L6&gt;0.005,$D6&lt;Hoje),Hoje-$D6,0))</f>
        <v>0</v>
      </c>
      <c r="K6" s="20">
        <f>IF($J6="","",IF($L6&lt;=0.005,"Pago",IF($J6&lt;=0,"A vencer",IF($J6&lt;=15,"1-15 dias",IF($J6&lt;=30,"16-30 dias",IF($J6&lt;=60,"31-60 dias","Mais de 60 dias"))))))</f>
        <v>0</v>
      </c>
      <c r="L6" s="21">
        <f>IF($E6="","",MAX(0,$E6-N($G6)))</f>
        <v>0</v>
      </c>
      <c r="M6" s="21">
        <f>IF(OR($L6="",$J6=""),"",IF($J6&gt;0,ROUND($L6*Multa+$L6*Juros/30*$J6,2),0))</f>
        <v>0</v>
      </c>
      <c r="N6" s="22">
        <f>IF($L6="","",IF($L6&lt;=0.005,0,$L6+N($M6)))</f>
        <v>0</v>
      </c>
      <c r="O6" s="23">
        <f>IF(OR($I6="Vencido",$I6="Vencido (parcial)"),"Olá, "&amp;$A6&amp;"! Consta em aberto '"&amp;$B6&amp;"' com vencimento em "&amp;DAY($D6)&amp;"/"&amp;MONTH($D6)&amp;"/"&amp;YEAR($D6)&amp;", no valor de R$ "&amp;FIXED($N6,2)&amp;" (com multa e juros). Podemos ajudar a regularizar hoje? Obrigado!",IF($I6="Vence hoje","Olá, "&amp;$A6&amp;"! Lembrete: '"&amp;$B6&amp;"' vence hoje, no valor de R$ "&amp;FIXED($L6,2)&amp;". Obrigado!",""))</f>
        <v>0</v>
      </c>
    </row>
    <row r="7" spans="1:15">
      <c r="A7" s="13"/>
      <c r="B7" s="13"/>
      <c r="C7" s="17"/>
      <c r="D7" s="17"/>
      <c r="E7" s="18"/>
      <c r="F7" s="17"/>
      <c r="G7" s="18"/>
      <c r="H7" s="13"/>
      <c r="I7" s="19">
        <f>IF($E7="","",IF($L7&lt;=0.005,"Pago",IF($D7="","Sem vencimento",IF($D7&lt;Hoje,IF(N($G7)&gt;0,"Vencido (parcial)","Vencido"),IF($D7=Hoje,"Vence hoje","A vencer")))))</f>
        <v>0</v>
      </c>
      <c r="J7" s="20">
        <f>IF(OR($E7="",$D7=""),"",IF(AND($L7&gt;0.005,$D7&lt;Hoje),Hoje-$D7,0))</f>
        <v>0</v>
      </c>
      <c r="K7" s="20">
        <f>IF($J7="","",IF($L7&lt;=0.005,"Pago",IF($J7&lt;=0,"A vencer",IF($J7&lt;=15,"1-15 dias",IF($J7&lt;=30,"16-30 dias",IF($J7&lt;=60,"31-60 dias","Mais de 60 dias"))))))</f>
        <v>0</v>
      </c>
      <c r="L7" s="21">
        <f>IF($E7="","",MAX(0,$E7-N($G7)))</f>
        <v>0</v>
      </c>
      <c r="M7" s="21">
        <f>IF(OR($L7="",$J7=""),"",IF($J7&gt;0,ROUND($L7*Multa+$L7*Juros/30*$J7,2),0))</f>
        <v>0</v>
      </c>
      <c r="N7" s="22">
        <f>IF($L7="","",IF($L7&lt;=0.005,0,$L7+N($M7)))</f>
        <v>0</v>
      </c>
      <c r="O7" s="23">
        <f>IF(OR($I7="Vencido",$I7="Vencido (parcial)"),"Olá, "&amp;$A7&amp;"! Consta em aberto '"&amp;$B7&amp;"' com vencimento em "&amp;DAY($D7)&amp;"/"&amp;MONTH($D7)&amp;"/"&amp;YEAR($D7)&amp;", no valor de R$ "&amp;FIXED($N7,2)&amp;" (com multa e juros). Podemos ajudar a regularizar hoje? Obrigado!",IF($I7="Vence hoje","Olá, "&amp;$A7&amp;"! Lembrete: '"&amp;$B7&amp;"' vence hoje, no valor de R$ "&amp;FIXED($L7,2)&amp;". Obrigado!",""))</f>
        <v>0</v>
      </c>
    </row>
    <row r="8" spans="1:15">
      <c r="A8" s="13"/>
      <c r="B8" s="13"/>
      <c r="C8" s="17"/>
      <c r="D8" s="17"/>
      <c r="E8" s="18"/>
      <c r="F8" s="17"/>
      <c r="G8" s="18"/>
      <c r="H8" s="13"/>
      <c r="I8" s="19">
        <f>IF($E8="","",IF($L8&lt;=0.005,"Pago",IF($D8="","Sem vencimento",IF($D8&lt;Hoje,IF(N($G8)&gt;0,"Vencido (parcial)","Vencido"),IF($D8=Hoje,"Vence hoje","A vencer")))))</f>
        <v>0</v>
      </c>
      <c r="J8" s="20">
        <f>IF(OR($E8="",$D8=""),"",IF(AND($L8&gt;0.005,$D8&lt;Hoje),Hoje-$D8,0))</f>
        <v>0</v>
      </c>
      <c r="K8" s="20">
        <f>IF($J8="","",IF($L8&lt;=0.005,"Pago",IF($J8&lt;=0,"A vencer",IF($J8&lt;=15,"1-15 dias",IF($J8&lt;=30,"16-30 dias",IF($J8&lt;=60,"31-60 dias","Mais de 60 dias"))))))</f>
        <v>0</v>
      </c>
      <c r="L8" s="21">
        <f>IF($E8="","",MAX(0,$E8-N($G8)))</f>
        <v>0</v>
      </c>
      <c r="M8" s="21">
        <f>IF(OR($L8="",$J8=""),"",IF($J8&gt;0,ROUND($L8*Multa+$L8*Juros/30*$J8,2),0))</f>
        <v>0</v>
      </c>
      <c r="N8" s="22">
        <f>IF($L8="","",IF($L8&lt;=0.005,0,$L8+N($M8)))</f>
        <v>0</v>
      </c>
      <c r="O8" s="23">
        <f>IF(OR($I8="Vencido",$I8="Vencido (parcial)"),"Olá, "&amp;$A8&amp;"! Consta em aberto '"&amp;$B8&amp;"' com vencimento em "&amp;DAY($D8)&amp;"/"&amp;MONTH($D8)&amp;"/"&amp;YEAR($D8)&amp;", no valor de R$ "&amp;FIXED($N8,2)&amp;" (com multa e juros). Podemos ajudar a regularizar hoje? Obrigado!",IF($I8="Vence hoje","Olá, "&amp;$A8&amp;"! Lembrete: '"&amp;$B8&amp;"' vence hoje, no valor de R$ "&amp;FIXED($L8,2)&amp;". Obrigado!",""))</f>
        <v>0</v>
      </c>
    </row>
    <row r="9" spans="1:15">
      <c r="A9" s="13"/>
      <c r="B9" s="13"/>
      <c r="C9" s="17"/>
      <c r="D9" s="17"/>
      <c r="E9" s="18"/>
      <c r="F9" s="17"/>
      <c r="G9" s="18"/>
      <c r="H9" s="13"/>
      <c r="I9" s="19">
        <f>IF($E9="","",IF($L9&lt;=0.005,"Pago",IF($D9="","Sem vencimento",IF($D9&lt;Hoje,IF(N($G9)&gt;0,"Vencido (parcial)","Vencido"),IF($D9=Hoje,"Vence hoje","A vencer")))))</f>
        <v>0</v>
      </c>
      <c r="J9" s="20">
        <f>IF(OR($E9="",$D9=""),"",IF(AND($L9&gt;0.005,$D9&lt;Hoje),Hoje-$D9,0))</f>
        <v>0</v>
      </c>
      <c r="K9" s="20">
        <f>IF($J9="","",IF($L9&lt;=0.005,"Pago",IF($J9&lt;=0,"A vencer",IF($J9&lt;=15,"1-15 dias",IF($J9&lt;=30,"16-30 dias",IF($J9&lt;=60,"31-60 dias","Mais de 60 dias"))))))</f>
        <v>0</v>
      </c>
      <c r="L9" s="21">
        <f>IF($E9="","",MAX(0,$E9-N($G9)))</f>
        <v>0</v>
      </c>
      <c r="M9" s="21">
        <f>IF(OR($L9="",$J9=""),"",IF($J9&gt;0,ROUND($L9*Multa+$L9*Juros/30*$J9,2),0))</f>
        <v>0</v>
      </c>
      <c r="N9" s="22">
        <f>IF($L9="","",IF($L9&lt;=0.005,0,$L9+N($M9)))</f>
        <v>0</v>
      </c>
      <c r="O9" s="23">
        <f>IF(OR($I9="Vencido",$I9="Vencido (parcial)"),"Olá, "&amp;$A9&amp;"! Consta em aberto '"&amp;$B9&amp;"' com vencimento em "&amp;DAY($D9)&amp;"/"&amp;MONTH($D9)&amp;"/"&amp;YEAR($D9)&amp;", no valor de R$ "&amp;FIXED($N9,2)&amp;" (com multa e juros). Podemos ajudar a regularizar hoje? Obrigado!",IF($I9="Vence hoje","Olá, "&amp;$A9&amp;"! Lembrete: '"&amp;$B9&amp;"' vence hoje, no valor de R$ "&amp;FIXED($L9,2)&amp;". Obrigado!",""))</f>
        <v>0</v>
      </c>
    </row>
    <row r="10" spans="1:15">
      <c r="A10" s="13"/>
      <c r="B10" s="13"/>
      <c r="C10" s="17"/>
      <c r="D10" s="17"/>
      <c r="E10" s="18"/>
      <c r="F10" s="17"/>
      <c r="G10" s="18"/>
      <c r="H10" s="13"/>
      <c r="I10" s="19">
        <f>IF($E10="","",IF($L10&lt;=0.005,"Pago",IF($D10="","Sem vencimento",IF($D10&lt;Hoje,IF(N($G10)&gt;0,"Vencido (parcial)","Vencido"),IF($D10=Hoje,"Vence hoje","A vencer")))))</f>
        <v>0</v>
      </c>
      <c r="J10" s="20">
        <f>IF(OR($E10="",$D10=""),"",IF(AND($L10&gt;0.005,$D10&lt;Hoje),Hoje-$D10,0))</f>
        <v>0</v>
      </c>
      <c r="K10" s="20">
        <f>IF($J10="","",IF($L10&lt;=0.005,"Pago",IF($J10&lt;=0,"A vencer",IF($J10&lt;=15,"1-15 dias",IF($J10&lt;=30,"16-30 dias",IF($J10&lt;=60,"31-60 dias","Mais de 60 dias"))))))</f>
        <v>0</v>
      </c>
      <c r="L10" s="21">
        <f>IF($E10="","",MAX(0,$E10-N($G10)))</f>
        <v>0</v>
      </c>
      <c r="M10" s="21">
        <f>IF(OR($L10="",$J10=""),"",IF($J10&gt;0,ROUND($L10*Multa+$L10*Juros/30*$J10,2),0))</f>
        <v>0</v>
      </c>
      <c r="N10" s="22">
        <f>IF($L10="","",IF($L10&lt;=0.005,0,$L10+N($M10)))</f>
        <v>0</v>
      </c>
      <c r="O10" s="23">
        <f>IF(OR($I10="Vencido",$I10="Vencido (parcial)"),"Olá, "&amp;$A10&amp;"! Consta em aberto '"&amp;$B10&amp;"' com vencimento em "&amp;DAY($D10)&amp;"/"&amp;MONTH($D10)&amp;"/"&amp;YEAR($D10)&amp;", no valor de R$ "&amp;FIXED($N10,2)&amp;" (com multa e juros). Podemos ajudar a regularizar hoje? Obrigado!",IF($I10="Vence hoje","Olá, "&amp;$A10&amp;"! Lembrete: '"&amp;$B10&amp;"' vence hoje, no valor de R$ "&amp;FIXED($L10,2)&amp;". Obrigado!",""))</f>
        <v>0</v>
      </c>
    </row>
    <row r="11" spans="1:15">
      <c r="A11" s="13"/>
      <c r="B11" s="13"/>
      <c r="C11" s="17"/>
      <c r="D11" s="17"/>
      <c r="E11" s="18"/>
      <c r="F11" s="17"/>
      <c r="G11" s="18"/>
      <c r="H11" s="13"/>
      <c r="I11" s="19">
        <f>IF($E11="","",IF($L11&lt;=0.005,"Pago",IF($D11="","Sem vencimento",IF($D11&lt;Hoje,IF(N($G11)&gt;0,"Vencido (parcial)","Vencido"),IF($D11=Hoje,"Vence hoje","A vencer")))))</f>
        <v>0</v>
      </c>
      <c r="J11" s="20">
        <f>IF(OR($E11="",$D11=""),"",IF(AND($L11&gt;0.005,$D11&lt;Hoje),Hoje-$D11,0))</f>
        <v>0</v>
      </c>
      <c r="K11" s="20">
        <f>IF($J11="","",IF($L11&lt;=0.005,"Pago",IF($J11&lt;=0,"A vencer",IF($J11&lt;=15,"1-15 dias",IF($J11&lt;=30,"16-30 dias",IF($J11&lt;=60,"31-60 dias","Mais de 60 dias"))))))</f>
        <v>0</v>
      </c>
      <c r="L11" s="21">
        <f>IF($E11="","",MAX(0,$E11-N($G11)))</f>
        <v>0</v>
      </c>
      <c r="M11" s="21">
        <f>IF(OR($L11="",$J11=""),"",IF($J11&gt;0,ROUND($L11*Multa+$L11*Juros/30*$J11,2),0))</f>
        <v>0</v>
      </c>
      <c r="N11" s="22">
        <f>IF($L11="","",IF($L11&lt;=0.005,0,$L11+N($M11)))</f>
        <v>0</v>
      </c>
      <c r="O11" s="23">
        <f>IF(OR($I11="Vencido",$I11="Vencido (parcial)"),"Olá, "&amp;$A11&amp;"! Consta em aberto '"&amp;$B11&amp;"' com vencimento em "&amp;DAY($D11)&amp;"/"&amp;MONTH($D11)&amp;"/"&amp;YEAR($D11)&amp;", no valor de R$ "&amp;FIXED($N11,2)&amp;" (com multa e juros). Podemos ajudar a regularizar hoje? Obrigado!",IF($I11="Vence hoje","Olá, "&amp;$A11&amp;"! Lembrete: '"&amp;$B11&amp;"' vence hoje, no valor de R$ "&amp;FIXED($L11,2)&amp;". Obrigado!",""))</f>
        <v>0</v>
      </c>
    </row>
    <row r="12" spans="1:15">
      <c r="A12" s="13"/>
      <c r="B12" s="13"/>
      <c r="C12" s="17"/>
      <c r="D12" s="17"/>
      <c r="E12" s="18"/>
      <c r="F12" s="17"/>
      <c r="G12" s="18"/>
      <c r="H12" s="13"/>
      <c r="I12" s="19">
        <f>IF($E12="","",IF($L12&lt;=0.005,"Pago",IF($D12="","Sem vencimento",IF($D12&lt;Hoje,IF(N($G12)&gt;0,"Vencido (parcial)","Vencido"),IF($D12=Hoje,"Vence hoje","A vencer")))))</f>
        <v>0</v>
      </c>
      <c r="J12" s="20">
        <f>IF(OR($E12="",$D12=""),"",IF(AND($L12&gt;0.005,$D12&lt;Hoje),Hoje-$D12,0))</f>
        <v>0</v>
      </c>
      <c r="K12" s="20">
        <f>IF($J12="","",IF($L12&lt;=0.005,"Pago",IF($J12&lt;=0,"A vencer",IF($J12&lt;=15,"1-15 dias",IF($J12&lt;=30,"16-30 dias",IF($J12&lt;=60,"31-60 dias","Mais de 60 dias"))))))</f>
        <v>0</v>
      </c>
      <c r="L12" s="21">
        <f>IF($E12="","",MAX(0,$E12-N($G12)))</f>
        <v>0</v>
      </c>
      <c r="M12" s="21">
        <f>IF(OR($L12="",$J12=""),"",IF($J12&gt;0,ROUND($L12*Multa+$L12*Juros/30*$J12,2),0))</f>
        <v>0</v>
      </c>
      <c r="N12" s="22">
        <f>IF($L12="","",IF($L12&lt;=0.005,0,$L12+N($M12)))</f>
        <v>0</v>
      </c>
      <c r="O12" s="23">
        <f>IF(OR($I12="Vencido",$I12="Vencido (parcial)"),"Olá, "&amp;$A12&amp;"! Consta em aberto '"&amp;$B12&amp;"' com vencimento em "&amp;DAY($D12)&amp;"/"&amp;MONTH($D12)&amp;"/"&amp;YEAR($D12)&amp;", no valor de R$ "&amp;FIXED($N12,2)&amp;" (com multa e juros). Podemos ajudar a regularizar hoje? Obrigado!",IF($I12="Vence hoje","Olá, "&amp;$A12&amp;"! Lembrete: '"&amp;$B12&amp;"' vence hoje, no valor de R$ "&amp;FIXED($L12,2)&amp;". Obrigado!",""))</f>
        <v>0</v>
      </c>
    </row>
    <row r="13" spans="1:15">
      <c r="A13" s="13"/>
      <c r="B13" s="13"/>
      <c r="C13" s="17"/>
      <c r="D13" s="17"/>
      <c r="E13" s="18"/>
      <c r="F13" s="17"/>
      <c r="G13" s="18"/>
      <c r="H13" s="13"/>
      <c r="I13" s="19">
        <f>IF($E13="","",IF($L13&lt;=0.005,"Pago",IF($D13="","Sem vencimento",IF($D13&lt;Hoje,IF(N($G13)&gt;0,"Vencido (parcial)","Vencido"),IF($D13=Hoje,"Vence hoje","A vencer")))))</f>
        <v>0</v>
      </c>
      <c r="J13" s="20">
        <f>IF(OR($E13="",$D13=""),"",IF(AND($L13&gt;0.005,$D13&lt;Hoje),Hoje-$D13,0))</f>
        <v>0</v>
      </c>
      <c r="K13" s="20">
        <f>IF($J13="","",IF($L13&lt;=0.005,"Pago",IF($J13&lt;=0,"A vencer",IF($J13&lt;=15,"1-15 dias",IF($J13&lt;=30,"16-30 dias",IF($J13&lt;=60,"31-60 dias","Mais de 60 dias"))))))</f>
        <v>0</v>
      </c>
      <c r="L13" s="21">
        <f>IF($E13="","",MAX(0,$E13-N($G13)))</f>
        <v>0</v>
      </c>
      <c r="M13" s="21">
        <f>IF(OR($L13="",$J13=""),"",IF($J13&gt;0,ROUND($L13*Multa+$L13*Juros/30*$J13,2),0))</f>
        <v>0</v>
      </c>
      <c r="N13" s="22">
        <f>IF($L13="","",IF($L13&lt;=0.005,0,$L13+N($M13)))</f>
        <v>0</v>
      </c>
      <c r="O13" s="23">
        <f>IF(OR($I13="Vencido",$I13="Vencido (parcial)"),"Olá, "&amp;$A13&amp;"! Consta em aberto '"&amp;$B13&amp;"' com vencimento em "&amp;DAY($D13)&amp;"/"&amp;MONTH($D13)&amp;"/"&amp;YEAR($D13)&amp;", no valor de R$ "&amp;FIXED($N13,2)&amp;" (com multa e juros). Podemos ajudar a regularizar hoje? Obrigado!",IF($I13="Vence hoje","Olá, "&amp;$A13&amp;"! Lembrete: '"&amp;$B13&amp;"' vence hoje, no valor de R$ "&amp;FIXED($L13,2)&amp;". Obrigado!",""))</f>
        <v>0</v>
      </c>
    </row>
    <row r="14" spans="1:15">
      <c r="A14" s="13"/>
      <c r="B14" s="13"/>
      <c r="C14" s="17"/>
      <c r="D14" s="17"/>
      <c r="E14" s="18"/>
      <c r="F14" s="17"/>
      <c r="G14" s="18"/>
      <c r="H14" s="13"/>
      <c r="I14" s="19">
        <f>IF($E14="","",IF($L14&lt;=0.005,"Pago",IF($D14="","Sem vencimento",IF($D14&lt;Hoje,IF(N($G14)&gt;0,"Vencido (parcial)","Vencido"),IF($D14=Hoje,"Vence hoje","A vencer")))))</f>
        <v>0</v>
      </c>
      <c r="J14" s="20">
        <f>IF(OR($E14="",$D14=""),"",IF(AND($L14&gt;0.005,$D14&lt;Hoje),Hoje-$D14,0))</f>
        <v>0</v>
      </c>
      <c r="K14" s="20">
        <f>IF($J14="","",IF($L14&lt;=0.005,"Pago",IF($J14&lt;=0,"A vencer",IF($J14&lt;=15,"1-15 dias",IF($J14&lt;=30,"16-30 dias",IF($J14&lt;=60,"31-60 dias","Mais de 60 dias"))))))</f>
        <v>0</v>
      </c>
      <c r="L14" s="21">
        <f>IF($E14="","",MAX(0,$E14-N($G14)))</f>
        <v>0</v>
      </c>
      <c r="M14" s="21">
        <f>IF(OR($L14="",$J14=""),"",IF($J14&gt;0,ROUND($L14*Multa+$L14*Juros/30*$J14,2),0))</f>
        <v>0</v>
      </c>
      <c r="N14" s="22">
        <f>IF($L14="","",IF($L14&lt;=0.005,0,$L14+N($M14)))</f>
        <v>0</v>
      </c>
      <c r="O14" s="23">
        <f>IF(OR($I14="Vencido",$I14="Vencido (parcial)"),"Olá, "&amp;$A14&amp;"! Consta em aberto '"&amp;$B14&amp;"' com vencimento em "&amp;DAY($D14)&amp;"/"&amp;MONTH($D14)&amp;"/"&amp;YEAR($D14)&amp;", no valor de R$ "&amp;FIXED($N14,2)&amp;" (com multa e juros). Podemos ajudar a regularizar hoje? Obrigado!",IF($I14="Vence hoje","Olá, "&amp;$A14&amp;"! Lembrete: '"&amp;$B14&amp;"' vence hoje, no valor de R$ "&amp;FIXED($L14,2)&amp;". Obrigado!",""))</f>
        <v>0</v>
      </c>
    </row>
    <row r="15" spans="1:15">
      <c r="A15" s="13"/>
      <c r="B15" s="13"/>
      <c r="C15" s="17"/>
      <c r="D15" s="17"/>
      <c r="E15" s="18"/>
      <c r="F15" s="17"/>
      <c r="G15" s="18"/>
      <c r="H15" s="13"/>
      <c r="I15" s="19">
        <f>IF($E15="","",IF($L15&lt;=0.005,"Pago",IF($D15="","Sem vencimento",IF($D15&lt;Hoje,IF(N($G15)&gt;0,"Vencido (parcial)","Vencido"),IF($D15=Hoje,"Vence hoje","A vencer")))))</f>
        <v>0</v>
      </c>
      <c r="J15" s="20">
        <f>IF(OR($E15="",$D15=""),"",IF(AND($L15&gt;0.005,$D15&lt;Hoje),Hoje-$D15,0))</f>
        <v>0</v>
      </c>
      <c r="K15" s="20">
        <f>IF($J15="","",IF($L15&lt;=0.005,"Pago",IF($J15&lt;=0,"A vencer",IF($J15&lt;=15,"1-15 dias",IF($J15&lt;=30,"16-30 dias",IF($J15&lt;=60,"31-60 dias","Mais de 60 dias"))))))</f>
        <v>0</v>
      </c>
      <c r="L15" s="21">
        <f>IF($E15="","",MAX(0,$E15-N($G15)))</f>
        <v>0</v>
      </c>
      <c r="M15" s="21">
        <f>IF(OR($L15="",$J15=""),"",IF($J15&gt;0,ROUND($L15*Multa+$L15*Juros/30*$J15,2),0))</f>
        <v>0</v>
      </c>
      <c r="N15" s="22">
        <f>IF($L15="","",IF($L15&lt;=0.005,0,$L15+N($M15)))</f>
        <v>0</v>
      </c>
      <c r="O15" s="23">
        <f>IF(OR($I15="Vencido",$I15="Vencido (parcial)"),"Olá, "&amp;$A15&amp;"! Consta em aberto '"&amp;$B15&amp;"' com vencimento em "&amp;DAY($D15)&amp;"/"&amp;MONTH($D15)&amp;"/"&amp;YEAR($D15)&amp;", no valor de R$ "&amp;FIXED($N15,2)&amp;" (com multa e juros). Podemos ajudar a regularizar hoje? Obrigado!",IF($I15="Vence hoje","Olá, "&amp;$A15&amp;"! Lembrete: '"&amp;$B15&amp;"' vence hoje, no valor de R$ "&amp;FIXED($L15,2)&amp;". Obrigado!",""))</f>
        <v>0</v>
      </c>
    </row>
    <row r="16" spans="1:15">
      <c r="A16" s="13"/>
      <c r="B16" s="13"/>
      <c r="C16" s="17"/>
      <c r="D16" s="17"/>
      <c r="E16" s="18"/>
      <c r="F16" s="17"/>
      <c r="G16" s="18"/>
      <c r="H16" s="13"/>
      <c r="I16" s="19">
        <f>IF($E16="","",IF($L16&lt;=0.005,"Pago",IF($D16="","Sem vencimento",IF($D16&lt;Hoje,IF(N($G16)&gt;0,"Vencido (parcial)","Vencido"),IF($D16=Hoje,"Vence hoje","A vencer")))))</f>
        <v>0</v>
      </c>
      <c r="J16" s="20">
        <f>IF(OR($E16="",$D16=""),"",IF(AND($L16&gt;0.005,$D16&lt;Hoje),Hoje-$D16,0))</f>
        <v>0</v>
      </c>
      <c r="K16" s="20">
        <f>IF($J16="","",IF($L16&lt;=0.005,"Pago",IF($J16&lt;=0,"A vencer",IF($J16&lt;=15,"1-15 dias",IF($J16&lt;=30,"16-30 dias",IF($J16&lt;=60,"31-60 dias","Mais de 60 dias"))))))</f>
        <v>0</v>
      </c>
      <c r="L16" s="21">
        <f>IF($E16="","",MAX(0,$E16-N($G16)))</f>
        <v>0</v>
      </c>
      <c r="M16" s="21">
        <f>IF(OR($L16="",$J16=""),"",IF($J16&gt;0,ROUND($L16*Multa+$L16*Juros/30*$J16,2),0))</f>
        <v>0</v>
      </c>
      <c r="N16" s="22">
        <f>IF($L16="","",IF($L16&lt;=0.005,0,$L16+N($M16)))</f>
        <v>0</v>
      </c>
      <c r="O16" s="23">
        <f>IF(OR($I16="Vencido",$I16="Vencido (parcial)"),"Olá, "&amp;$A16&amp;"! Consta em aberto '"&amp;$B16&amp;"' com vencimento em "&amp;DAY($D16)&amp;"/"&amp;MONTH($D16)&amp;"/"&amp;YEAR($D16)&amp;", no valor de R$ "&amp;FIXED($N16,2)&amp;" (com multa e juros). Podemos ajudar a regularizar hoje? Obrigado!",IF($I16="Vence hoje","Olá, "&amp;$A16&amp;"! Lembrete: '"&amp;$B16&amp;"' vence hoje, no valor de R$ "&amp;FIXED($L16,2)&amp;". Obrigado!",""))</f>
        <v>0</v>
      </c>
    </row>
    <row r="17" spans="1:15">
      <c r="A17" s="13"/>
      <c r="B17" s="13"/>
      <c r="C17" s="17"/>
      <c r="D17" s="17"/>
      <c r="E17" s="18"/>
      <c r="F17" s="17"/>
      <c r="G17" s="18"/>
      <c r="H17" s="13"/>
      <c r="I17" s="19">
        <f>IF($E17="","",IF($L17&lt;=0.005,"Pago",IF($D17="","Sem vencimento",IF($D17&lt;Hoje,IF(N($G17)&gt;0,"Vencido (parcial)","Vencido"),IF($D17=Hoje,"Vence hoje","A vencer")))))</f>
        <v>0</v>
      </c>
      <c r="J17" s="20">
        <f>IF(OR($E17="",$D17=""),"",IF(AND($L17&gt;0.005,$D17&lt;Hoje),Hoje-$D17,0))</f>
        <v>0</v>
      </c>
      <c r="K17" s="20">
        <f>IF($J17="","",IF($L17&lt;=0.005,"Pago",IF($J17&lt;=0,"A vencer",IF($J17&lt;=15,"1-15 dias",IF($J17&lt;=30,"16-30 dias",IF($J17&lt;=60,"31-60 dias","Mais de 60 dias"))))))</f>
        <v>0</v>
      </c>
      <c r="L17" s="21">
        <f>IF($E17="","",MAX(0,$E17-N($G17)))</f>
        <v>0</v>
      </c>
      <c r="M17" s="21">
        <f>IF(OR($L17="",$J17=""),"",IF($J17&gt;0,ROUND($L17*Multa+$L17*Juros/30*$J17,2),0))</f>
        <v>0</v>
      </c>
      <c r="N17" s="22">
        <f>IF($L17="","",IF($L17&lt;=0.005,0,$L17+N($M17)))</f>
        <v>0</v>
      </c>
      <c r="O17" s="23">
        <f>IF(OR($I17="Vencido",$I17="Vencido (parcial)"),"Olá, "&amp;$A17&amp;"! Consta em aberto '"&amp;$B17&amp;"' com vencimento em "&amp;DAY($D17)&amp;"/"&amp;MONTH($D17)&amp;"/"&amp;YEAR($D17)&amp;", no valor de R$ "&amp;FIXED($N17,2)&amp;" (com multa e juros). Podemos ajudar a regularizar hoje? Obrigado!",IF($I17="Vence hoje","Olá, "&amp;$A17&amp;"! Lembrete: '"&amp;$B17&amp;"' vence hoje, no valor de R$ "&amp;FIXED($L17,2)&amp;". Obrigado!",""))</f>
        <v>0</v>
      </c>
    </row>
    <row r="18" spans="1:15">
      <c r="A18" s="13"/>
      <c r="B18" s="13"/>
      <c r="C18" s="17"/>
      <c r="D18" s="17"/>
      <c r="E18" s="18"/>
      <c r="F18" s="17"/>
      <c r="G18" s="18"/>
      <c r="H18" s="13"/>
      <c r="I18" s="19">
        <f>IF($E18="","",IF($L18&lt;=0.005,"Pago",IF($D18="","Sem vencimento",IF($D18&lt;Hoje,IF(N($G18)&gt;0,"Vencido (parcial)","Vencido"),IF($D18=Hoje,"Vence hoje","A vencer")))))</f>
        <v>0</v>
      </c>
      <c r="J18" s="20">
        <f>IF(OR($E18="",$D18=""),"",IF(AND($L18&gt;0.005,$D18&lt;Hoje),Hoje-$D18,0))</f>
        <v>0</v>
      </c>
      <c r="K18" s="20">
        <f>IF($J18="","",IF($L18&lt;=0.005,"Pago",IF($J18&lt;=0,"A vencer",IF($J18&lt;=15,"1-15 dias",IF($J18&lt;=30,"16-30 dias",IF($J18&lt;=60,"31-60 dias","Mais de 60 dias"))))))</f>
        <v>0</v>
      </c>
      <c r="L18" s="21">
        <f>IF($E18="","",MAX(0,$E18-N($G18)))</f>
        <v>0</v>
      </c>
      <c r="M18" s="21">
        <f>IF(OR($L18="",$J18=""),"",IF($J18&gt;0,ROUND($L18*Multa+$L18*Juros/30*$J18,2),0))</f>
        <v>0</v>
      </c>
      <c r="N18" s="22">
        <f>IF($L18="","",IF($L18&lt;=0.005,0,$L18+N($M18)))</f>
        <v>0</v>
      </c>
      <c r="O18" s="23">
        <f>IF(OR($I18="Vencido",$I18="Vencido (parcial)"),"Olá, "&amp;$A18&amp;"! Consta em aberto '"&amp;$B18&amp;"' com vencimento em "&amp;DAY($D18)&amp;"/"&amp;MONTH($D18)&amp;"/"&amp;YEAR($D18)&amp;", no valor de R$ "&amp;FIXED($N18,2)&amp;" (com multa e juros). Podemos ajudar a regularizar hoje? Obrigado!",IF($I18="Vence hoje","Olá, "&amp;$A18&amp;"! Lembrete: '"&amp;$B18&amp;"' vence hoje, no valor de R$ "&amp;FIXED($L18,2)&amp;". Obrigado!",""))</f>
        <v>0</v>
      </c>
    </row>
    <row r="19" spans="1:15">
      <c r="A19" s="13"/>
      <c r="B19" s="13"/>
      <c r="C19" s="17"/>
      <c r="D19" s="17"/>
      <c r="E19" s="18"/>
      <c r="F19" s="17"/>
      <c r="G19" s="18"/>
      <c r="H19" s="13"/>
      <c r="I19" s="19">
        <f>IF($E19="","",IF($L19&lt;=0.005,"Pago",IF($D19="","Sem vencimento",IF($D19&lt;Hoje,IF(N($G19)&gt;0,"Vencido (parcial)","Vencido"),IF($D19=Hoje,"Vence hoje","A vencer")))))</f>
        <v>0</v>
      </c>
      <c r="J19" s="20">
        <f>IF(OR($E19="",$D19=""),"",IF(AND($L19&gt;0.005,$D19&lt;Hoje),Hoje-$D19,0))</f>
        <v>0</v>
      </c>
      <c r="K19" s="20">
        <f>IF($J19="","",IF($L19&lt;=0.005,"Pago",IF($J19&lt;=0,"A vencer",IF($J19&lt;=15,"1-15 dias",IF($J19&lt;=30,"16-30 dias",IF($J19&lt;=60,"31-60 dias","Mais de 60 dias"))))))</f>
        <v>0</v>
      </c>
      <c r="L19" s="21">
        <f>IF($E19="","",MAX(0,$E19-N($G19)))</f>
        <v>0</v>
      </c>
      <c r="M19" s="21">
        <f>IF(OR($L19="",$J19=""),"",IF($J19&gt;0,ROUND($L19*Multa+$L19*Juros/30*$J19,2),0))</f>
        <v>0</v>
      </c>
      <c r="N19" s="22">
        <f>IF($L19="","",IF($L19&lt;=0.005,0,$L19+N($M19)))</f>
        <v>0</v>
      </c>
      <c r="O19" s="23">
        <f>IF(OR($I19="Vencido",$I19="Vencido (parcial)"),"Olá, "&amp;$A19&amp;"! Consta em aberto '"&amp;$B19&amp;"' com vencimento em "&amp;DAY($D19)&amp;"/"&amp;MONTH($D19)&amp;"/"&amp;YEAR($D19)&amp;", no valor de R$ "&amp;FIXED($N19,2)&amp;" (com multa e juros). Podemos ajudar a regularizar hoje? Obrigado!",IF($I19="Vence hoje","Olá, "&amp;$A19&amp;"! Lembrete: '"&amp;$B19&amp;"' vence hoje, no valor de R$ "&amp;FIXED($L19,2)&amp;". Obrigado!",""))</f>
        <v>0</v>
      </c>
    </row>
    <row r="20" spans="1:15">
      <c r="A20" s="13"/>
      <c r="B20" s="13"/>
      <c r="C20" s="17"/>
      <c r="D20" s="17"/>
      <c r="E20" s="18"/>
      <c r="F20" s="17"/>
      <c r="G20" s="18"/>
      <c r="H20" s="13"/>
      <c r="I20" s="19">
        <f>IF($E20="","",IF($L20&lt;=0.005,"Pago",IF($D20="","Sem vencimento",IF($D20&lt;Hoje,IF(N($G20)&gt;0,"Vencido (parcial)","Vencido"),IF($D20=Hoje,"Vence hoje","A vencer")))))</f>
        <v>0</v>
      </c>
      <c r="J20" s="20">
        <f>IF(OR($E20="",$D20=""),"",IF(AND($L20&gt;0.005,$D20&lt;Hoje),Hoje-$D20,0))</f>
        <v>0</v>
      </c>
      <c r="K20" s="20">
        <f>IF($J20="","",IF($L20&lt;=0.005,"Pago",IF($J20&lt;=0,"A vencer",IF($J20&lt;=15,"1-15 dias",IF($J20&lt;=30,"16-30 dias",IF($J20&lt;=60,"31-60 dias","Mais de 60 dias"))))))</f>
        <v>0</v>
      </c>
      <c r="L20" s="21">
        <f>IF($E20="","",MAX(0,$E20-N($G20)))</f>
        <v>0</v>
      </c>
      <c r="M20" s="21">
        <f>IF(OR($L20="",$J20=""),"",IF($J20&gt;0,ROUND($L20*Multa+$L20*Juros/30*$J20,2),0))</f>
        <v>0</v>
      </c>
      <c r="N20" s="22">
        <f>IF($L20="","",IF($L20&lt;=0.005,0,$L20+N($M20)))</f>
        <v>0</v>
      </c>
      <c r="O20" s="23">
        <f>IF(OR($I20="Vencido",$I20="Vencido (parcial)"),"Olá, "&amp;$A20&amp;"! Consta em aberto '"&amp;$B20&amp;"' com vencimento em "&amp;DAY($D20)&amp;"/"&amp;MONTH($D20)&amp;"/"&amp;YEAR($D20)&amp;", no valor de R$ "&amp;FIXED($N20,2)&amp;" (com multa e juros). Podemos ajudar a regularizar hoje? Obrigado!",IF($I20="Vence hoje","Olá, "&amp;$A20&amp;"! Lembrete: '"&amp;$B20&amp;"' vence hoje, no valor de R$ "&amp;FIXED($L20,2)&amp;". Obrigado!",""))</f>
        <v>0</v>
      </c>
    </row>
    <row r="21" spans="1:15">
      <c r="A21" s="13"/>
      <c r="B21" s="13"/>
      <c r="C21" s="17"/>
      <c r="D21" s="17"/>
      <c r="E21" s="18"/>
      <c r="F21" s="17"/>
      <c r="G21" s="18"/>
      <c r="H21" s="13"/>
      <c r="I21" s="19">
        <f>IF($E21="","",IF($L21&lt;=0.005,"Pago",IF($D21="","Sem vencimento",IF($D21&lt;Hoje,IF(N($G21)&gt;0,"Vencido (parcial)","Vencido"),IF($D21=Hoje,"Vence hoje","A vencer")))))</f>
        <v>0</v>
      </c>
      <c r="J21" s="20">
        <f>IF(OR($E21="",$D21=""),"",IF(AND($L21&gt;0.005,$D21&lt;Hoje),Hoje-$D21,0))</f>
        <v>0</v>
      </c>
      <c r="K21" s="20">
        <f>IF($J21="","",IF($L21&lt;=0.005,"Pago",IF($J21&lt;=0,"A vencer",IF($J21&lt;=15,"1-15 dias",IF($J21&lt;=30,"16-30 dias",IF($J21&lt;=60,"31-60 dias","Mais de 60 dias"))))))</f>
        <v>0</v>
      </c>
      <c r="L21" s="21">
        <f>IF($E21="","",MAX(0,$E21-N($G21)))</f>
        <v>0</v>
      </c>
      <c r="M21" s="21">
        <f>IF(OR($L21="",$J21=""),"",IF($J21&gt;0,ROUND($L21*Multa+$L21*Juros/30*$J21,2),0))</f>
        <v>0</v>
      </c>
      <c r="N21" s="22">
        <f>IF($L21="","",IF($L21&lt;=0.005,0,$L21+N($M21)))</f>
        <v>0</v>
      </c>
      <c r="O21" s="23">
        <f>IF(OR($I21="Vencido",$I21="Vencido (parcial)"),"Olá, "&amp;$A21&amp;"! Consta em aberto '"&amp;$B21&amp;"' com vencimento em "&amp;DAY($D21)&amp;"/"&amp;MONTH($D21)&amp;"/"&amp;YEAR($D21)&amp;", no valor de R$ "&amp;FIXED($N21,2)&amp;" (com multa e juros). Podemos ajudar a regularizar hoje? Obrigado!",IF($I21="Vence hoje","Olá, "&amp;$A21&amp;"! Lembrete: '"&amp;$B21&amp;"' vence hoje, no valor de R$ "&amp;FIXED($L21,2)&amp;". Obrigado!",""))</f>
        <v>0</v>
      </c>
    </row>
    <row r="22" spans="1:15">
      <c r="A22" s="13"/>
      <c r="B22" s="13"/>
      <c r="C22" s="17"/>
      <c r="D22" s="17"/>
      <c r="E22" s="18"/>
      <c r="F22" s="17"/>
      <c r="G22" s="18"/>
      <c r="H22" s="13"/>
      <c r="I22" s="19">
        <f>IF($E22="","",IF($L22&lt;=0.005,"Pago",IF($D22="","Sem vencimento",IF($D22&lt;Hoje,IF(N($G22)&gt;0,"Vencido (parcial)","Vencido"),IF($D22=Hoje,"Vence hoje","A vencer")))))</f>
        <v>0</v>
      </c>
      <c r="J22" s="20">
        <f>IF(OR($E22="",$D22=""),"",IF(AND($L22&gt;0.005,$D22&lt;Hoje),Hoje-$D22,0))</f>
        <v>0</v>
      </c>
      <c r="K22" s="20">
        <f>IF($J22="","",IF($L22&lt;=0.005,"Pago",IF($J22&lt;=0,"A vencer",IF($J22&lt;=15,"1-15 dias",IF($J22&lt;=30,"16-30 dias",IF($J22&lt;=60,"31-60 dias","Mais de 60 dias"))))))</f>
        <v>0</v>
      </c>
      <c r="L22" s="21">
        <f>IF($E22="","",MAX(0,$E22-N($G22)))</f>
        <v>0</v>
      </c>
      <c r="M22" s="21">
        <f>IF(OR($L22="",$J22=""),"",IF($J22&gt;0,ROUND($L22*Multa+$L22*Juros/30*$J22,2),0))</f>
        <v>0</v>
      </c>
      <c r="N22" s="22">
        <f>IF($L22="","",IF($L22&lt;=0.005,0,$L22+N($M22)))</f>
        <v>0</v>
      </c>
      <c r="O22" s="23">
        <f>IF(OR($I22="Vencido",$I22="Vencido (parcial)"),"Olá, "&amp;$A22&amp;"! Consta em aberto '"&amp;$B22&amp;"' com vencimento em "&amp;DAY($D22)&amp;"/"&amp;MONTH($D22)&amp;"/"&amp;YEAR($D22)&amp;", no valor de R$ "&amp;FIXED($N22,2)&amp;" (com multa e juros). Podemos ajudar a regularizar hoje? Obrigado!",IF($I22="Vence hoje","Olá, "&amp;$A22&amp;"! Lembrete: '"&amp;$B22&amp;"' vence hoje, no valor de R$ "&amp;FIXED($L22,2)&amp;". Obrigado!",""))</f>
        <v>0</v>
      </c>
    </row>
    <row r="23" spans="1:15">
      <c r="A23" s="13"/>
      <c r="B23" s="13"/>
      <c r="C23" s="17"/>
      <c r="D23" s="17"/>
      <c r="E23" s="18"/>
      <c r="F23" s="17"/>
      <c r="G23" s="18"/>
      <c r="H23" s="13"/>
      <c r="I23" s="19">
        <f>IF($E23="","",IF($L23&lt;=0.005,"Pago",IF($D23="","Sem vencimento",IF($D23&lt;Hoje,IF(N($G23)&gt;0,"Vencido (parcial)","Vencido"),IF($D23=Hoje,"Vence hoje","A vencer")))))</f>
        <v>0</v>
      </c>
      <c r="J23" s="20">
        <f>IF(OR($E23="",$D23=""),"",IF(AND($L23&gt;0.005,$D23&lt;Hoje),Hoje-$D23,0))</f>
        <v>0</v>
      </c>
      <c r="K23" s="20">
        <f>IF($J23="","",IF($L23&lt;=0.005,"Pago",IF($J23&lt;=0,"A vencer",IF($J23&lt;=15,"1-15 dias",IF($J23&lt;=30,"16-30 dias",IF($J23&lt;=60,"31-60 dias","Mais de 60 dias"))))))</f>
        <v>0</v>
      </c>
      <c r="L23" s="21">
        <f>IF($E23="","",MAX(0,$E23-N($G23)))</f>
        <v>0</v>
      </c>
      <c r="M23" s="21">
        <f>IF(OR($L23="",$J23=""),"",IF($J23&gt;0,ROUND($L23*Multa+$L23*Juros/30*$J23,2),0))</f>
        <v>0</v>
      </c>
      <c r="N23" s="22">
        <f>IF($L23="","",IF($L23&lt;=0.005,0,$L23+N($M23)))</f>
        <v>0</v>
      </c>
      <c r="O23" s="23">
        <f>IF(OR($I23="Vencido",$I23="Vencido (parcial)"),"Olá, "&amp;$A23&amp;"! Consta em aberto '"&amp;$B23&amp;"' com vencimento em "&amp;DAY($D23)&amp;"/"&amp;MONTH($D23)&amp;"/"&amp;YEAR($D23)&amp;", no valor de R$ "&amp;FIXED($N23,2)&amp;" (com multa e juros). Podemos ajudar a regularizar hoje? Obrigado!",IF($I23="Vence hoje","Olá, "&amp;$A23&amp;"! Lembrete: '"&amp;$B23&amp;"' vence hoje, no valor de R$ "&amp;FIXED($L23,2)&amp;". Obrigado!",""))</f>
        <v>0</v>
      </c>
    </row>
    <row r="24" spans="1:15">
      <c r="A24" s="13"/>
      <c r="B24" s="13"/>
      <c r="C24" s="17"/>
      <c r="D24" s="17"/>
      <c r="E24" s="18"/>
      <c r="F24" s="17"/>
      <c r="G24" s="18"/>
      <c r="H24" s="13"/>
      <c r="I24" s="19">
        <f>IF($E24="","",IF($L24&lt;=0.005,"Pago",IF($D24="","Sem vencimento",IF($D24&lt;Hoje,IF(N($G24)&gt;0,"Vencido (parcial)","Vencido"),IF($D24=Hoje,"Vence hoje","A vencer")))))</f>
        <v>0</v>
      </c>
      <c r="J24" s="20">
        <f>IF(OR($E24="",$D24=""),"",IF(AND($L24&gt;0.005,$D24&lt;Hoje),Hoje-$D24,0))</f>
        <v>0</v>
      </c>
      <c r="K24" s="20">
        <f>IF($J24="","",IF($L24&lt;=0.005,"Pago",IF($J24&lt;=0,"A vencer",IF($J24&lt;=15,"1-15 dias",IF($J24&lt;=30,"16-30 dias",IF($J24&lt;=60,"31-60 dias","Mais de 60 dias"))))))</f>
        <v>0</v>
      </c>
      <c r="L24" s="21">
        <f>IF($E24="","",MAX(0,$E24-N($G24)))</f>
        <v>0</v>
      </c>
      <c r="M24" s="21">
        <f>IF(OR($L24="",$J24=""),"",IF($J24&gt;0,ROUND($L24*Multa+$L24*Juros/30*$J24,2),0))</f>
        <v>0</v>
      </c>
      <c r="N24" s="22">
        <f>IF($L24="","",IF($L24&lt;=0.005,0,$L24+N($M24)))</f>
        <v>0</v>
      </c>
      <c r="O24" s="23">
        <f>IF(OR($I24="Vencido",$I24="Vencido (parcial)"),"Olá, "&amp;$A24&amp;"! Consta em aberto '"&amp;$B24&amp;"' com vencimento em "&amp;DAY($D24)&amp;"/"&amp;MONTH($D24)&amp;"/"&amp;YEAR($D24)&amp;", no valor de R$ "&amp;FIXED($N24,2)&amp;" (com multa e juros). Podemos ajudar a regularizar hoje? Obrigado!",IF($I24="Vence hoje","Olá, "&amp;$A24&amp;"! Lembrete: '"&amp;$B24&amp;"' vence hoje, no valor de R$ "&amp;FIXED($L24,2)&amp;". Obrigado!",""))</f>
        <v>0</v>
      </c>
    </row>
    <row r="25" spans="1:15">
      <c r="A25" s="13"/>
      <c r="B25" s="13"/>
      <c r="C25" s="17"/>
      <c r="D25" s="17"/>
      <c r="E25" s="18"/>
      <c r="F25" s="17"/>
      <c r="G25" s="18"/>
      <c r="H25" s="13"/>
      <c r="I25" s="19">
        <f>IF($E25="","",IF($L25&lt;=0.005,"Pago",IF($D25="","Sem vencimento",IF($D25&lt;Hoje,IF(N($G25)&gt;0,"Vencido (parcial)","Vencido"),IF($D25=Hoje,"Vence hoje","A vencer")))))</f>
        <v>0</v>
      </c>
      <c r="J25" s="20">
        <f>IF(OR($E25="",$D25=""),"",IF(AND($L25&gt;0.005,$D25&lt;Hoje),Hoje-$D25,0))</f>
        <v>0</v>
      </c>
      <c r="K25" s="20">
        <f>IF($J25="","",IF($L25&lt;=0.005,"Pago",IF($J25&lt;=0,"A vencer",IF($J25&lt;=15,"1-15 dias",IF($J25&lt;=30,"16-30 dias",IF($J25&lt;=60,"31-60 dias","Mais de 60 dias"))))))</f>
        <v>0</v>
      </c>
      <c r="L25" s="21">
        <f>IF($E25="","",MAX(0,$E25-N($G25)))</f>
        <v>0</v>
      </c>
      <c r="M25" s="21">
        <f>IF(OR($L25="",$J25=""),"",IF($J25&gt;0,ROUND($L25*Multa+$L25*Juros/30*$J25,2),0))</f>
        <v>0</v>
      </c>
      <c r="N25" s="22">
        <f>IF($L25="","",IF($L25&lt;=0.005,0,$L25+N($M25)))</f>
        <v>0</v>
      </c>
      <c r="O25" s="23">
        <f>IF(OR($I25="Vencido",$I25="Vencido (parcial)"),"Olá, "&amp;$A25&amp;"! Consta em aberto '"&amp;$B25&amp;"' com vencimento em "&amp;DAY($D25)&amp;"/"&amp;MONTH($D25)&amp;"/"&amp;YEAR($D25)&amp;", no valor de R$ "&amp;FIXED($N25,2)&amp;" (com multa e juros). Podemos ajudar a regularizar hoje? Obrigado!",IF($I25="Vence hoje","Olá, "&amp;$A25&amp;"! Lembrete: '"&amp;$B25&amp;"' vence hoje, no valor de R$ "&amp;FIXED($L25,2)&amp;". Obrigado!",""))</f>
        <v>0</v>
      </c>
    </row>
    <row r="26" spans="1:15">
      <c r="A26" s="13"/>
      <c r="B26" s="13"/>
      <c r="C26" s="17"/>
      <c r="D26" s="17"/>
      <c r="E26" s="18"/>
      <c r="F26" s="17"/>
      <c r="G26" s="18"/>
      <c r="H26" s="13"/>
      <c r="I26" s="19">
        <f>IF($E26="","",IF($L26&lt;=0.005,"Pago",IF($D26="","Sem vencimento",IF($D26&lt;Hoje,IF(N($G26)&gt;0,"Vencido (parcial)","Vencido"),IF($D26=Hoje,"Vence hoje","A vencer")))))</f>
        <v>0</v>
      </c>
      <c r="J26" s="20">
        <f>IF(OR($E26="",$D26=""),"",IF(AND($L26&gt;0.005,$D26&lt;Hoje),Hoje-$D26,0))</f>
        <v>0</v>
      </c>
      <c r="K26" s="20">
        <f>IF($J26="","",IF($L26&lt;=0.005,"Pago",IF($J26&lt;=0,"A vencer",IF($J26&lt;=15,"1-15 dias",IF($J26&lt;=30,"16-30 dias",IF($J26&lt;=60,"31-60 dias","Mais de 60 dias"))))))</f>
        <v>0</v>
      </c>
      <c r="L26" s="21">
        <f>IF($E26="","",MAX(0,$E26-N($G26)))</f>
        <v>0</v>
      </c>
      <c r="M26" s="21">
        <f>IF(OR($L26="",$J26=""),"",IF($J26&gt;0,ROUND($L26*Multa+$L26*Juros/30*$J26,2),0))</f>
        <v>0</v>
      </c>
      <c r="N26" s="22">
        <f>IF($L26="","",IF($L26&lt;=0.005,0,$L26+N($M26)))</f>
        <v>0</v>
      </c>
      <c r="O26" s="23">
        <f>IF(OR($I26="Vencido",$I26="Vencido (parcial)"),"Olá, "&amp;$A26&amp;"! Consta em aberto '"&amp;$B26&amp;"' com vencimento em "&amp;DAY($D26)&amp;"/"&amp;MONTH($D26)&amp;"/"&amp;YEAR($D26)&amp;", no valor de R$ "&amp;FIXED($N26,2)&amp;" (com multa e juros). Podemos ajudar a regularizar hoje? Obrigado!",IF($I26="Vence hoje","Olá, "&amp;$A26&amp;"! Lembrete: '"&amp;$B26&amp;"' vence hoje, no valor de R$ "&amp;FIXED($L26,2)&amp;". Obrigado!",""))</f>
        <v>0</v>
      </c>
    </row>
    <row r="27" spans="1:15">
      <c r="A27" s="13"/>
      <c r="B27" s="13"/>
      <c r="C27" s="17"/>
      <c r="D27" s="17"/>
      <c r="E27" s="18"/>
      <c r="F27" s="17"/>
      <c r="G27" s="18"/>
      <c r="H27" s="13"/>
      <c r="I27" s="19">
        <f>IF($E27="","",IF($L27&lt;=0.005,"Pago",IF($D27="","Sem vencimento",IF($D27&lt;Hoje,IF(N($G27)&gt;0,"Vencido (parcial)","Vencido"),IF($D27=Hoje,"Vence hoje","A vencer")))))</f>
        <v>0</v>
      </c>
      <c r="J27" s="20">
        <f>IF(OR($E27="",$D27=""),"",IF(AND($L27&gt;0.005,$D27&lt;Hoje),Hoje-$D27,0))</f>
        <v>0</v>
      </c>
      <c r="K27" s="20">
        <f>IF($J27="","",IF($L27&lt;=0.005,"Pago",IF($J27&lt;=0,"A vencer",IF($J27&lt;=15,"1-15 dias",IF($J27&lt;=30,"16-30 dias",IF($J27&lt;=60,"31-60 dias","Mais de 60 dias"))))))</f>
        <v>0</v>
      </c>
      <c r="L27" s="21">
        <f>IF($E27="","",MAX(0,$E27-N($G27)))</f>
        <v>0</v>
      </c>
      <c r="M27" s="21">
        <f>IF(OR($L27="",$J27=""),"",IF($J27&gt;0,ROUND($L27*Multa+$L27*Juros/30*$J27,2),0))</f>
        <v>0</v>
      </c>
      <c r="N27" s="22">
        <f>IF($L27="","",IF($L27&lt;=0.005,0,$L27+N($M27)))</f>
        <v>0</v>
      </c>
      <c r="O27" s="23">
        <f>IF(OR($I27="Vencido",$I27="Vencido (parcial)"),"Olá, "&amp;$A27&amp;"! Consta em aberto '"&amp;$B27&amp;"' com vencimento em "&amp;DAY($D27)&amp;"/"&amp;MONTH($D27)&amp;"/"&amp;YEAR($D27)&amp;", no valor de R$ "&amp;FIXED($N27,2)&amp;" (com multa e juros). Podemos ajudar a regularizar hoje? Obrigado!",IF($I27="Vence hoje","Olá, "&amp;$A27&amp;"! Lembrete: '"&amp;$B27&amp;"' vence hoje, no valor de R$ "&amp;FIXED($L27,2)&amp;". Obrigado!",""))</f>
        <v>0</v>
      </c>
    </row>
    <row r="28" spans="1:15">
      <c r="A28" s="13"/>
      <c r="B28" s="13"/>
      <c r="C28" s="17"/>
      <c r="D28" s="17"/>
      <c r="E28" s="18"/>
      <c r="F28" s="17"/>
      <c r="G28" s="18"/>
      <c r="H28" s="13"/>
      <c r="I28" s="19">
        <f>IF($E28="","",IF($L28&lt;=0.005,"Pago",IF($D28="","Sem vencimento",IF($D28&lt;Hoje,IF(N($G28)&gt;0,"Vencido (parcial)","Vencido"),IF($D28=Hoje,"Vence hoje","A vencer")))))</f>
        <v>0</v>
      </c>
      <c r="J28" s="20">
        <f>IF(OR($E28="",$D28=""),"",IF(AND($L28&gt;0.005,$D28&lt;Hoje),Hoje-$D28,0))</f>
        <v>0</v>
      </c>
      <c r="K28" s="20">
        <f>IF($J28="","",IF($L28&lt;=0.005,"Pago",IF($J28&lt;=0,"A vencer",IF($J28&lt;=15,"1-15 dias",IF($J28&lt;=30,"16-30 dias",IF($J28&lt;=60,"31-60 dias","Mais de 60 dias"))))))</f>
        <v>0</v>
      </c>
      <c r="L28" s="21">
        <f>IF($E28="","",MAX(0,$E28-N($G28)))</f>
        <v>0</v>
      </c>
      <c r="M28" s="21">
        <f>IF(OR($L28="",$J28=""),"",IF($J28&gt;0,ROUND($L28*Multa+$L28*Juros/30*$J28,2),0))</f>
        <v>0</v>
      </c>
      <c r="N28" s="22">
        <f>IF($L28="","",IF($L28&lt;=0.005,0,$L28+N($M28)))</f>
        <v>0</v>
      </c>
      <c r="O28" s="23">
        <f>IF(OR($I28="Vencido",$I28="Vencido (parcial)"),"Olá, "&amp;$A28&amp;"! Consta em aberto '"&amp;$B28&amp;"' com vencimento em "&amp;DAY($D28)&amp;"/"&amp;MONTH($D28)&amp;"/"&amp;YEAR($D28)&amp;", no valor de R$ "&amp;FIXED($N28,2)&amp;" (com multa e juros). Podemos ajudar a regularizar hoje? Obrigado!",IF($I28="Vence hoje","Olá, "&amp;$A28&amp;"! Lembrete: '"&amp;$B28&amp;"' vence hoje, no valor de R$ "&amp;FIXED($L28,2)&amp;". Obrigado!",""))</f>
        <v>0</v>
      </c>
    </row>
    <row r="29" spans="1:15">
      <c r="A29" s="13"/>
      <c r="B29" s="13"/>
      <c r="C29" s="17"/>
      <c r="D29" s="17"/>
      <c r="E29" s="18"/>
      <c r="F29" s="17"/>
      <c r="G29" s="18"/>
      <c r="H29" s="13"/>
      <c r="I29" s="19">
        <f>IF($E29="","",IF($L29&lt;=0.005,"Pago",IF($D29="","Sem vencimento",IF($D29&lt;Hoje,IF(N($G29)&gt;0,"Vencido (parcial)","Vencido"),IF($D29=Hoje,"Vence hoje","A vencer")))))</f>
        <v>0</v>
      </c>
      <c r="J29" s="20">
        <f>IF(OR($E29="",$D29=""),"",IF(AND($L29&gt;0.005,$D29&lt;Hoje),Hoje-$D29,0))</f>
        <v>0</v>
      </c>
      <c r="K29" s="20">
        <f>IF($J29="","",IF($L29&lt;=0.005,"Pago",IF($J29&lt;=0,"A vencer",IF($J29&lt;=15,"1-15 dias",IF($J29&lt;=30,"16-30 dias",IF($J29&lt;=60,"31-60 dias","Mais de 60 dias"))))))</f>
        <v>0</v>
      </c>
      <c r="L29" s="21">
        <f>IF($E29="","",MAX(0,$E29-N($G29)))</f>
        <v>0</v>
      </c>
      <c r="M29" s="21">
        <f>IF(OR($L29="",$J29=""),"",IF($J29&gt;0,ROUND($L29*Multa+$L29*Juros/30*$J29,2),0))</f>
        <v>0</v>
      </c>
      <c r="N29" s="22">
        <f>IF($L29="","",IF($L29&lt;=0.005,0,$L29+N($M29)))</f>
        <v>0</v>
      </c>
      <c r="O29" s="23">
        <f>IF(OR($I29="Vencido",$I29="Vencido (parcial)"),"Olá, "&amp;$A29&amp;"! Consta em aberto '"&amp;$B29&amp;"' com vencimento em "&amp;DAY($D29)&amp;"/"&amp;MONTH($D29)&amp;"/"&amp;YEAR($D29)&amp;", no valor de R$ "&amp;FIXED($N29,2)&amp;" (com multa e juros). Podemos ajudar a regularizar hoje? Obrigado!",IF($I29="Vence hoje","Olá, "&amp;$A29&amp;"! Lembrete: '"&amp;$B29&amp;"' vence hoje, no valor de R$ "&amp;FIXED($L29,2)&amp;". Obrigado!",""))</f>
        <v>0</v>
      </c>
    </row>
    <row r="30" spans="1:15">
      <c r="A30" s="13"/>
      <c r="B30" s="13"/>
      <c r="C30" s="17"/>
      <c r="D30" s="17"/>
      <c r="E30" s="18"/>
      <c r="F30" s="17"/>
      <c r="G30" s="18"/>
      <c r="H30" s="13"/>
      <c r="I30" s="19">
        <f>IF($E30="","",IF($L30&lt;=0.005,"Pago",IF($D30="","Sem vencimento",IF($D30&lt;Hoje,IF(N($G30)&gt;0,"Vencido (parcial)","Vencido"),IF($D30=Hoje,"Vence hoje","A vencer")))))</f>
        <v>0</v>
      </c>
      <c r="J30" s="20">
        <f>IF(OR($E30="",$D30=""),"",IF(AND($L30&gt;0.005,$D30&lt;Hoje),Hoje-$D30,0))</f>
        <v>0</v>
      </c>
      <c r="K30" s="20">
        <f>IF($J30="","",IF($L30&lt;=0.005,"Pago",IF($J30&lt;=0,"A vencer",IF($J30&lt;=15,"1-15 dias",IF($J30&lt;=30,"16-30 dias",IF($J30&lt;=60,"31-60 dias","Mais de 60 dias"))))))</f>
        <v>0</v>
      </c>
      <c r="L30" s="21">
        <f>IF($E30="","",MAX(0,$E30-N($G30)))</f>
        <v>0</v>
      </c>
      <c r="M30" s="21">
        <f>IF(OR($L30="",$J30=""),"",IF($J30&gt;0,ROUND($L30*Multa+$L30*Juros/30*$J30,2),0))</f>
        <v>0</v>
      </c>
      <c r="N30" s="22">
        <f>IF($L30="","",IF($L30&lt;=0.005,0,$L30+N($M30)))</f>
        <v>0</v>
      </c>
      <c r="O30" s="23">
        <f>IF(OR($I30="Vencido",$I30="Vencido (parcial)"),"Olá, "&amp;$A30&amp;"! Consta em aberto '"&amp;$B30&amp;"' com vencimento em "&amp;DAY($D30)&amp;"/"&amp;MONTH($D30)&amp;"/"&amp;YEAR($D30)&amp;", no valor de R$ "&amp;FIXED($N30,2)&amp;" (com multa e juros). Podemos ajudar a regularizar hoje? Obrigado!",IF($I30="Vence hoje","Olá, "&amp;$A30&amp;"! Lembrete: '"&amp;$B30&amp;"' vence hoje, no valor de R$ "&amp;FIXED($L30,2)&amp;". Obrigado!",""))</f>
        <v>0</v>
      </c>
    </row>
    <row r="31" spans="1:15">
      <c r="A31" s="13"/>
      <c r="B31" s="13"/>
      <c r="C31" s="17"/>
      <c r="D31" s="17"/>
      <c r="E31" s="18"/>
      <c r="F31" s="17"/>
      <c r="G31" s="18"/>
      <c r="H31" s="13"/>
      <c r="I31" s="19">
        <f>IF($E31="","",IF($L31&lt;=0.005,"Pago",IF($D31="","Sem vencimento",IF($D31&lt;Hoje,IF(N($G31)&gt;0,"Vencido (parcial)","Vencido"),IF($D31=Hoje,"Vence hoje","A vencer")))))</f>
        <v>0</v>
      </c>
      <c r="J31" s="20">
        <f>IF(OR($E31="",$D31=""),"",IF(AND($L31&gt;0.005,$D31&lt;Hoje),Hoje-$D31,0))</f>
        <v>0</v>
      </c>
      <c r="K31" s="20">
        <f>IF($J31="","",IF($L31&lt;=0.005,"Pago",IF($J31&lt;=0,"A vencer",IF($J31&lt;=15,"1-15 dias",IF($J31&lt;=30,"16-30 dias",IF($J31&lt;=60,"31-60 dias","Mais de 60 dias"))))))</f>
        <v>0</v>
      </c>
      <c r="L31" s="21">
        <f>IF($E31="","",MAX(0,$E31-N($G31)))</f>
        <v>0</v>
      </c>
      <c r="M31" s="21">
        <f>IF(OR($L31="",$J31=""),"",IF($J31&gt;0,ROUND($L31*Multa+$L31*Juros/30*$J31,2),0))</f>
        <v>0</v>
      </c>
      <c r="N31" s="22">
        <f>IF($L31="","",IF($L31&lt;=0.005,0,$L31+N($M31)))</f>
        <v>0</v>
      </c>
      <c r="O31" s="23">
        <f>IF(OR($I31="Vencido",$I31="Vencido (parcial)"),"Olá, "&amp;$A31&amp;"! Consta em aberto '"&amp;$B31&amp;"' com vencimento em "&amp;DAY($D31)&amp;"/"&amp;MONTH($D31)&amp;"/"&amp;YEAR($D31)&amp;", no valor de R$ "&amp;FIXED($N31,2)&amp;" (com multa e juros). Podemos ajudar a regularizar hoje? Obrigado!",IF($I31="Vence hoje","Olá, "&amp;$A31&amp;"! Lembrete: '"&amp;$B31&amp;"' vence hoje, no valor de R$ "&amp;FIXED($L31,2)&amp;". Obrigado!",""))</f>
        <v>0</v>
      </c>
    </row>
    <row r="32" spans="1:15">
      <c r="A32" s="13"/>
      <c r="B32" s="13"/>
      <c r="C32" s="17"/>
      <c r="D32" s="17"/>
      <c r="E32" s="18"/>
      <c r="F32" s="17"/>
      <c r="G32" s="18"/>
      <c r="H32" s="13"/>
      <c r="I32" s="19">
        <f>IF($E32="","",IF($L32&lt;=0.005,"Pago",IF($D32="","Sem vencimento",IF($D32&lt;Hoje,IF(N($G32)&gt;0,"Vencido (parcial)","Vencido"),IF($D32=Hoje,"Vence hoje","A vencer")))))</f>
        <v>0</v>
      </c>
      <c r="J32" s="20">
        <f>IF(OR($E32="",$D32=""),"",IF(AND($L32&gt;0.005,$D32&lt;Hoje),Hoje-$D32,0))</f>
        <v>0</v>
      </c>
      <c r="K32" s="20">
        <f>IF($J32="","",IF($L32&lt;=0.005,"Pago",IF($J32&lt;=0,"A vencer",IF($J32&lt;=15,"1-15 dias",IF($J32&lt;=30,"16-30 dias",IF($J32&lt;=60,"31-60 dias","Mais de 60 dias"))))))</f>
        <v>0</v>
      </c>
      <c r="L32" s="21">
        <f>IF($E32="","",MAX(0,$E32-N($G32)))</f>
        <v>0</v>
      </c>
      <c r="M32" s="21">
        <f>IF(OR($L32="",$J32=""),"",IF($J32&gt;0,ROUND($L32*Multa+$L32*Juros/30*$J32,2),0))</f>
        <v>0</v>
      </c>
      <c r="N32" s="22">
        <f>IF($L32="","",IF($L32&lt;=0.005,0,$L32+N($M32)))</f>
        <v>0</v>
      </c>
      <c r="O32" s="23">
        <f>IF(OR($I32="Vencido",$I32="Vencido (parcial)"),"Olá, "&amp;$A32&amp;"! Consta em aberto '"&amp;$B32&amp;"' com vencimento em "&amp;DAY($D32)&amp;"/"&amp;MONTH($D32)&amp;"/"&amp;YEAR($D32)&amp;", no valor de R$ "&amp;FIXED($N32,2)&amp;" (com multa e juros). Podemos ajudar a regularizar hoje? Obrigado!",IF($I32="Vence hoje","Olá, "&amp;$A32&amp;"! Lembrete: '"&amp;$B32&amp;"' vence hoje, no valor de R$ "&amp;FIXED($L32,2)&amp;". Obrigado!",""))</f>
        <v>0</v>
      </c>
    </row>
    <row r="33" spans="1:15">
      <c r="A33" s="13"/>
      <c r="B33" s="13"/>
      <c r="C33" s="17"/>
      <c r="D33" s="17"/>
      <c r="E33" s="18"/>
      <c r="F33" s="17"/>
      <c r="G33" s="18"/>
      <c r="H33" s="13"/>
      <c r="I33" s="19">
        <f>IF($E33="","",IF($L33&lt;=0.005,"Pago",IF($D33="","Sem vencimento",IF($D33&lt;Hoje,IF(N($G33)&gt;0,"Vencido (parcial)","Vencido"),IF($D33=Hoje,"Vence hoje","A vencer")))))</f>
        <v>0</v>
      </c>
      <c r="J33" s="20">
        <f>IF(OR($E33="",$D33=""),"",IF(AND($L33&gt;0.005,$D33&lt;Hoje),Hoje-$D33,0))</f>
        <v>0</v>
      </c>
      <c r="K33" s="20">
        <f>IF($J33="","",IF($L33&lt;=0.005,"Pago",IF($J33&lt;=0,"A vencer",IF($J33&lt;=15,"1-15 dias",IF($J33&lt;=30,"16-30 dias",IF($J33&lt;=60,"31-60 dias","Mais de 60 dias"))))))</f>
        <v>0</v>
      </c>
      <c r="L33" s="21">
        <f>IF($E33="","",MAX(0,$E33-N($G33)))</f>
        <v>0</v>
      </c>
      <c r="M33" s="21">
        <f>IF(OR($L33="",$J33=""),"",IF($J33&gt;0,ROUND($L33*Multa+$L33*Juros/30*$J33,2),0))</f>
        <v>0</v>
      </c>
      <c r="N33" s="22">
        <f>IF($L33="","",IF($L33&lt;=0.005,0,$L33+N($M33)))</f>
        <v>0</v>
      </c>
      <c r="O33" s="23">
        <f>IF(OR($I33="Vencido",$I33="Vencido (parcial)"),"Olá, "&amp;$A33&amp;"! Consta em aberto '"&amp;$B33&amp;"' com vencimento em "&amp;DAY($D33)&amp;"/"&amp;MONTH($D33)&amp;"/"&amp;YEAR($D33)&amp;", no valor de R$ "&amp;FIXED($N33,2)&amp;" (com multa e juros). Podemos ajudar a regularizar hoje? Obrigado!",IF($I33="Vence hoje","Olá, "&amp;$A33&amp;"! Lembrete: '"&amp;$B33&amp;"' vence hoje, no valor de R$ "&amp;FIXED($L33,2)&amp;". Obrigado!",""))</f>
        <v>0</v>
      </c>
    </row>
    <row r="34" spans="1:15">
      <c r="A34" s="13"/>
      <c r="B34" s="13"/>
      <c r="C34" s="17"/>
      <c r="D34" s="17"/>
      <c r="E34" s="18"/>
      <c r="F34" s="17"/>
      <c r="G34" s="18"/>
      <c r="H34" s="13"/>
      <c r="I34" s="19">
        <f>IF($E34="","",IF($L34&lt;=0.005,"Pago",IF($D34="","Sem vencimento",IF($D34&lt;Hoje,IF(N($G34)&gt;0,"Vencido (parcial)","Vencido"),IF($D34=Hoje,"Vence hoje","A vencer")))))</f>
        <v>0</v>
      </c>
      <c r="J34" s="20">
        <f>IF(OR($E34="",$D34=""),"",IF(AND($L34&gt;0.005,$D34&lt;Hoje),Hoje-$D34,0))</f>
        <v>0</v>
      </c>
      <c r="K34" s="20">
        <f>IF($J34="","",IF($L34&lt;=0.005,"Pago",IF($J34&lt;=0,"A vencer",IF($J34&lt;=15,"1-15 dias",IF($J34&lt;=30,"16-30 dias",IF($J34&lt;=60,"31-60 dias","Mais de 60 dias"))))))</f>
        <v>0</v>
      </c>
      <c r="L34" s="21">
        <f>IF($E34="","",MAX(0,$E34-N($G34)))</f>
        <v>0</v>
      </c>
      <c r="M34" s="21">
        <f>IF(OR($L34="",$J34=""),"",IF($J34&gt;0,ROUND($L34*Multa+$L34*Juros/30*$J34,2),0))</f>
        <v>0</v>
      </c>
      <c r="N34" s="22">
        <f>IF($L34="","",IF($L34&lt;=0.005,0,$L34+N($M34)))</f>
        <v>0</v>
      </c>
      <c r="O34" s="23">
        <f>IF(OR($I34="Vencido",$I34="Vencido (parcial)"),"Olá, "&amp;$A34&amp;"! Consta em aberto '"&amp;$B34&amp;"' com vencimento em "&amp;DAY($D34)&amp;"/"&amp;MONTH($D34)&amp;"/"&amp;YEAR($D34)&amp;", no valor de R$ "&amp;FIXED($N34,2)&amp;" (com multa e juros). Podemos ajudar a regularizar hoje? Obrigado!",IF($I34="Vence hoje","Olá, "&amp;$A34&amp;"! Lembrete: '"&amp;$B34&amp;"' vence hoje, no valor de R$ "&amp;FIXED($L34,2)&amp;". Obrigado!",""))</f>
        <v>0</v>
      </c>
    </row>
    <row r="35" spans="1:15">
      <c r="A35" s="13"/>
      <c r="B35" s="13"/>
      <c r="C35" s="17"/>
      <c r="D35" s="17"/>
      <c r="E35" s="18"/>
      <c r="F35" s="17"/>
      <c r="G35" s="18"/>
      <c r="H35" s="13"/>
      <c r="I35" s="19">
        <f>IF($E35="","",IF($L35&lt;=0.005,"Pago",IF($D35="","Sem vencimento",IF($D35&lt;Hoje,IF(N($G35)&gt;0,"Vencido (parcial)","Vencido"),IF($D35=Hoje,"Vence hoje","A vencer")))))</f>
        <v>0</v>
      </c>
      <c r="J35" s="20">
        <f>IF(OR($E35="",$D35=""),"",IF(AND($L35&gt;0.005,$D35&lt;Hoje),Hoje-$D35,0))</f>
        <v>0</v>
      </c>
      <c r="K35" s="20">
        <f>IF($J35="","",IF($L35&lt;=0.005,"Pago",IF($J35&lt;=0,"A vencer",IF($J35&lt;=15,"1-15 dias",IF($J35&lt;=30,"16-30 dias",IF($J35&lt;=60,"31-60 dias","Mais de 60 dias"))))))</f>
        <v>0</v>
      </c>
      <c r="L35" s="21">
        <f>IF($E35="","",MAX(0,$E35-N($G35)))</f>
        <v>0</v>
      </c>
      <c r="M35" s="21">
        <f>IF(OR($L35="",$J35=""),"",IF($J35&gt;0,ROUND($L35*Multa+$L35*Juros/30*$J35,2),0))</f>
        <v>0</v>
      </c>
      <c r="N35" s="22">
        <f>IF($L35="","",IF($L35&lt;=0.005,0,$L35+N($M35)))</f>
        <v>0</v>
      </c>
      <c r="O35" s="23">
        <f>IF(OR($I35="Vencido",$I35="Vencido (parcial)"),"Olá, "&amp;$A35&amp;"! Consta em aberto '"&amp;$B35&amp;"' com vencimento em "&amp;DAY($D35)&amp;"/"&amp;MONTH($D35)&amp;"/"&amp;YEAR($D35)&amp;", no valor de R$ "&amp;FIXED($N35,2)&amp;" (com multa e juros). Podemos ajudar a regularizar hoje? Obrigado!",IF($I35="Vence hoje","Olá, "&amp;$A35&amp;"! Lembrete: '"&amp;$B35&amp;"' vence hoje, no valor de R$ "&amp;FIXED($L35,2)&amp;". Obrigado!",""))</f>
        <v>0</v>
      </c>
    </row>
    <row r="36" spans="1:15">
      <c r="A36" s="13"/>
      <c r="B36" s="13"/>
      <c r="C36" s="17"/>
      <c r="D36" s="17"/>
      <c r="E36" s="18"/>
      <c r="F36" s="17"/>
      <c r="G36" s="18"/>
      <c r="H36" s="13"/>
      <c r="I36" s="19">
        <f>IF($E36="","",IF($L36&lt;=0.005,"Pago",IF($D36="","Sem vencimento",IF($D36&lt;Hoje,IF(N($G36)&gt;0,"Vencido (parcial)","Vencido"),IF($D36=Hoje,"Vence hoje","A vencer")))))</f>
        <v>0</v>
      </c>
      <c r="J36" s="20">
        <f>IF(OR($E36="",$D36=""),"",IF(AND($L36&gt;0.005,$D36&lt;Hoje),Hoje-$D36,0))</f>
        <v>0</v>
      </c>
      <c r="K36" s="20">
        <f>IF($J36="","",IF($L36&lt;=0.005,"Pago",IF($J36&lt;=0,"A vencer",IF($J36&lt;=15,"1-15 dias",IF($J36&lt;=30,"16-30 dias",IF($J36&lt;=60,"31-60 dias","Mais de 60 dias"))))))</f>
        <v>0</v>
      </c>
      <c r="L36" s="21">
        <f>IF($E36="","",MAX(0,$E36-N($G36)))</f>
        <v>0</v>
      </c>
      <c r="M36" s="21">
        <f>IF(OR($L36="",$J36=""),"",IF($J36&gt;0,ROUND($L36*Multa+$L36*Juros/30*$J36,2),0))</f>
        <v>0</v>
      </c>
      <c r="N36" s="22">
        <f>IF($L36="","",IF($L36&lt;=0.005,0,$L36+N($M36)))</f>
        <v>0</v>
      </c>
      <c r="O36" s="23">
        <f>IF(OR($I36="Vencido",$I36="Vencido (parcial)"),"Olá, "&amp;$A36&amp;"! Consta em aberto '"&amp;$B36&amp;"' com vencimento em "&amp;DAY($D36)&amp;"/"&amp;MONTH($D36)&amp;"/"&amp;YEAR($D36)&amp;", no valor de R$ "&amp;FIXED($N36,2)&amp;" (com multa e juros). Podemos ajudar a regularizar hoje? Obrigado!",IF($I36="Vence hoje","Olá, "&amp;$A36&amp;"! Lembrete: '"&amp;$B36&amp;"' vence hoje, no valor de R$ "&amp;FIXED($L36,2)&amp;". Obrigado!",""))</f>
        <v>0</v>
      </c>
    </row>
    <row r="37" spans="1:15">
      <c r="A37" s="13"/>
      <c r="B37" s="13"/>
      <c r="C37" s="17"/>
      <c r="D37" s="17"/>
      <c r="E37" s="18"/>
      <c r="F37" s="17"/>
      <c r="G37" s="18"/>
      <c r="H37" s="13"/>
      <c r="I37" s="19">
        <f>IF($E37="","",IF($L37&lt;=0.005,"Pago",IF($D37="","Sem vencimento",IF($D37&lt;Hoje,IF(N($G37)&gt;0,"Vencido (parcial)","Vencido"),IF($D37=Hoje,"Vence hoje","A vencer")))))</f>
        <v>0</v>
      </c>
      <c r="J37" s="20">
        <f>IF(OR($E37="",$D37=""),"",IF(AND($L37&gt;0.005,$D37&lt;Hoje),Hoje-$D37,0))</f>
        <v>0</v>
      </c>
      <c r="K37" s="20">
        <f>IF($J37="","",IF($L37&lt;=0.005,"Pago",IF($J37&lt;=0,"A vencer",IF($J37&lt;=15,"1-15 dias",IF($J37&lt;=30,"16-30 dias",IF($J37&lt;=60,"31-60 dias","Mais de 60 dias"))))))</f>
        <v>0</v>
      </c>
      <c r="L37" s="21">
        <f>IF($E37="","",MAX(0,$E37-N($G37)))</f>
        <v>0</v>
      </c>
      <c r="M37" s="21">
        <f>IF(OR($L37="",$J37=""),"",IF($J37&gt;0,ROUND($L37*Multa+$L37*Juros/30*$J37,2),0))</f>
        <v>0</v>
      </c>
      <c r="N37" s="22">
        <f>IF($L37="","",IF($L37&lt;=0.005,0,$L37+N($M37)))</f>
        <v>0</v>
      </c>
      <c r="O37" s="23">
        <f>IF(OR($I37="Vencido",$I37="Vencido (parcial)"),"Olá, "&amp;$A37&amp;"! Consta em aberto '"&amp;$B37&amp;"' com vencimento em "&amp;DAY($D37)&amp;"/"&amp;MONTH($D37)&amp;"/"&amp;YEAR($D37)&amp;", no valor de R$ "&amp;FIXED($N37,2)&amp;" (com multa e juros). Podemos ajudar a regularizar hoje? Obrigado!",IF($I37="Vence hoje","Olá, "&amp;$A37&amp;"! Lembrete: '"&amp;$B37&amp;"' vence hoje, no valor de R$ "&amp;FIXED($L37,2)&amp;". Obrigado!",""))</f>
        <v>0</v>
      </c>
    </row>
    <row r="38" spans="1:15">
      <c r="A38" s="13"/>
      <c r="B38" s="13"/>
      <c r="C38" s="17"/>
      <c r="D38" s="17"/>
      <c r="E38" s="18"/>
      <c r="F38" s="17"/>
      <c r="G38" s="18"/>
      <c r="H38" s="13"/>
      <c r="I38" s="19">
        <f>IF($E38="","",IF($L38&lt;=0.005,"Pago",IF($D38="","Sem vencimento",IF($D38&lt;Hoje,IF(N($G38)&gt;0,"Vencido (parcial)","Vencido"),IF($D38=Hoje,"Vence hoje","A vencer")))))</f>
        <v>0</v>
      </c>
      <c r="J38" s="20">
        <f>IF(OR($E38="",$D38=""),"",IF(AND($L38&gt;0.005,$D38&lt;Hoje),Hoje-$D38,0))</f>
        <v>0</v>
      </c>
      <c r="K38" s="20">
        <f>IF($J38="","",IF($L38&lt;=0.005,"Pago",IF($J38&lt;=0,"A vencer",IF($J38&lt;=15,"1-15 dias",IF($J38&lt;=30,"16-30 dias",IF($J38&lt;=60,"31-60 dias","Mais de 60 dias"))))))</f>
        <v>0</v>
      </c>
      <c r="L38" s="21">
        <f>IF($E38="","",MAX(0,$E38-N($G38)))</f>
        <v>0</v>
      </c>
      <c r="M38" s="21">
        <f>IF(OR($L38="",$J38=""),"",IF($J38&gt;0,ROUND($L38*Multa+$L38*Juros/30*$J38,2),0))</f>
        <v>0</v>
      </c>
      <c r="N38" s="22">
        <f>IF($L38="","",IF($L38&lt;=0.005,0,$L38+N($M38)))</f>
        <v>0</v>
      </c>
      <c r="O38" s="23">
        <f>IF(OR($I38="Vencido",$I38="Vencido (parcial)"),"Olá, "&amp;$A38&amp;"! Consta em aberto '"&amp;$B38&amp;"' com vencimento em "&amp;DAY($D38)&amp;"/"&amp;MONTH($D38)&amp;"/"&amp;YEAR($D38)&amp;", no valor de R$ "&amp;FIXED($N38,2)&amp;" (com multa e juros). Podemos ajudar a regularizar hoje? Obrigado!",IF($I38="Vence hoje","Olá, "&amp;$A38&amp;"! Lembrete: '"&amp;$B38&amp;"' vence hoje, no valor de R$ "&amp;FIXED($L38,2)&amp;". Obrigado!",""))</f>
        <v>0</v>
      </c>
    </row>
    <row r="39" spans="1:15">
      <c r="A39" s="13"/>
      <c r="B39" s="13"/>
      <c r="C39" s="17"/>
      <c r="D39" s="17"/>
      <c r="E39" s="18"/>
      <c r="F39" s="17"/>
      <c r="G39" s="18"/>
      <c r="H39" s="13"/>
      <c r="I39" s="19">
        <f>IF($E39="","",IF($L39&lt;=0.005,"Pago",IF($D39="","Sem vencimento",IF($D39&lt;Hoje,IF(N($G39)&gt;0,"Vencido (parcial)","Vencido"),IF($D39=Hoje,"Vence hoje","A vencer")))))</f>
        <v>0</v>
      </c>
      <c r="J39" s="20">
        <f>IF(OR($E39="",$D39=""),"",IF(AND($L39&gt;0.005,$D39&lt;Hoje),Hoje-$D39,0))</f>
        <v>0</v>
      </c>
      <c r="K39" s="20">
        <f>IF($J39="","",IF($L39&lt;=0.005,"Pago",IF($J39&lt;=0,"A vencer",IF($J39&lt;=15,"1-15 dias",IF($J39&lt;=30,"16-30 dias",IF($J39&lt;=60,"31-60 dias","Mais de 60 dias"))))))</f>
        <v>0</v>
      </c>
      <c r="L39" s="21">
        <f>IF($E39="","",MAX(0,$E39-N($G39)))</f>
        <v>0</v>
      </c>
      <c r="M39" s="21">
        <f>IF(OR($L39="",$J39=""),"",IF($J39&gt;0,ROUND($L39*Multa+$L39*Juros/30*$J39,2),0))</f>
        <v>0</v>
      </c>
      <c r="N39" s="22">
        <f>IF($L39="","",IF($L39&lt;=0.005,0,$L39+N($M39)))</f>
        <v>0</v>
      </c>
      <c r="O39" s="23">
        <f>IF(OR($I39="Vencido",$I39="Vencido (parcial)"),"Olá, "&amp;$A39&amp;"! Consta em aberto '"&amp;$B39&amp;"' com vencimento em "&amp;DAY($D39)&amp;"/"&amp;MONTH($D39)&amp;"/"&amp;YEAR($D39)&amp;", no valor de R$ "&amp;FIXED($N39,2)&amp;" (com multa e juros). Podemos ajudar a regularizar hoje? Obrigado!",IF($I39="Vence hoje","Olá, "&amp;$A39&amp;"! Lembrete: '"&amp;$B39&amp;"' vence hoje, no valor de R$ "&amp;FIXED($L39,2)&amp;". Obrigado!",""))</f>
        <v>0</v>
      </c>
    </row>
    <row r="40" spans="1:15">
      <c r="A40" s="13"/>
      <c r="B40" s="13"/>
      <c r="C40" s="17"/>
      <c r="D40" s="17"/>
      <c r="E40" s="18"/>
      <c r="F40" s="17"/>
      <c r="G40" s="18"/>
      <c r="H40" s="13"/>
      <c r="I40" s="19">
        <f>IF($E40="","",IF($L40&lt;=0.005,"Pago",IF($D40="","Sem vencimento",IF($D40&lt;Hoje,IF(N($G40)&gt;0,"Vencido (parcial)","Vencido"),IF($D40=Hoje,"Vence hoje","A vencer")))))</f>
        <v>0</v>
      </c>
      <c r="J40" s="20">
        <f>IF(OR($E40="",$D40=""),"",IF(AND($L40&gt;0.005,$D40&lt;Hoje),Hoje-$D40,0))</f>
        <v>0</v>
      </c>
      <c r="K40" s="20">
        <f>IF($J40="","",IF($L40&lt;=0.005,"Pago",IF($J40&lt;=0,"A vencer",IF($J40&lt;=15,"1-15 dias",IF($J40&lt;=30,"16-30 dias",IF($J40&lt;=60,"31-60 dias","Mais de 60 dias"))))))</f>
        <v>0</v>
      </c>
      <c r="L40" s="21">
        <f>IF($E40="","",MAX(0,$E40-N($G40)))</f>
        <v>0</v>
      </c>
      <c r="M40" s="21">
        <f>IF(OR($L40="",$J40=""),"",IF($J40&gt;0,ROUND($L40*Multa+$L40*Juros/30*$J40,2),0))</f>
        <v>0</v>
      </c>
      <c r="N40" s="22">
        <f>IF($L40="","",IF($L40&lt;=0.005,0,$L40+N($M40)))</f>
        <v>0</v>
      </c>
      <c r="O40" s="23">
        <f>IF(OR($I40="Vencido",$I40="Vencido (parcial)"),"Olá, "&amp;$A40&amp;"! Consta em aberto '"&amp;$B40&amp;"' com vencimento em "&amp;DAY($D40)&amp;"/"&amp;MONTH($D40)&amp;"/"&amp;YEAR($D40)&amp;", no valor de R$ "&amp;FIXED($N40,2)&amp;" (com multa e juros). Podemos ajudar a regularizar hoje? Obrigado!",IF($I40="Vence hoje","Olá, "&amp;$A40&amp;"! Lembrete: '"&amp;$B40&amp;"' vence hoje, no valor de R$ "&amp;FIXED($L40,2)&amp;". Obrigado!",""))</f>
        <v>0</v>
      </c>
    </row>
    <row r="41" spans="1:15">
      <c r="A41" s="13"/>
      <c r="B41" s="13"/>
      <c r="C41" s="17"/>
      <c r="D41" s="17"/>
      <c r="E41" s="18"/>
      <c r="F41" s="17"/>
      <c r="G41" s="18"/>
      <c r="H41" s="13"/>
      <c r="I41" s="19">
        <f>IF($E41="","",IF($L41&lt;=0.005,"Pago",IF($D41="","Sem vencimento",IF($D41&lt;Hoje,IF(N($G41)&gt;0,"Vencido (parcial)","Vencido"),IF($D41=Hoje,"Vence hoje","A vencer")))))</f>
        <v>0</v>
      </c>
      <c r="J41" s="20">
        <f>IF(OR($E41="",$D41=""),"",IF(AND($L41&gt;0.005,$D41&lt;Hoje),Hoje-$D41,0))</f>
        <v>0</v>
      </c>
      <c r="K41" s="20">
        <f>IF($J41="","",IF($L41&lt;=0.005,"Pago",IF($J41&lt;=0,"A vencer",IF($J41&lt;=15,"1-15 dias",IF($J41&lt;=30,"16-30 dias",IF($J41&lt;=60,"31-60 dias","Mais de 60 dias"))))))</f>
        <v>0</v>
      </c>
      <c r="L41" s="21">
        <f>IF($E41="","",MAX(0,$E41-N($G41)))</f>
        <v>0</v>
      </c>
      <c r="M41" s="21">
        <f>IF(OR($L41="",$J41=""),"",IF($J41&gt;0,ROUND($L41*Multa+$L41*Juros/30*$J41,2),0))</f>
        <v>0</v>
      </c>
      <c r="N41" s="22">
        <f>IF($L41="","",IF($L41&lt;=0.005,0,$L41+N($M41)))</f>
        <v>0</v>
      </c>
      <c r="O41" s="23">
        <f>IF(OR($I41="Vencido",$I41="Vencido (parcial)"),"Olá, "&amp;$A41&amp;"! Consta em aberto '"&amp;$B41&amp;"' com vencimento em "&amp;DAY($D41)&amp;"/"&amp;MONTH($D41)&amp;"/"&amp;YEAR($D41)&amp;", no valor de R$ "&amp;FIXED($N41,2)&amp;" (com multa e juros). Podemos ajudar a regularizar hoje? Obrigado!",IF($I41="Vence hoje","Olá, "&amp;$A41&amp;"! Lembrete: '"&amp;$B41&amp;"' vence hoje, no valor de R$ "&amp;FIXED($L41,2)&amp;". Obrigado!",""))</f>
        <v>0</v>
      </c>
    </row>
    <row r="42" spans="1:15">
      <c r="A42" s="13"/>
      <c r="B42" s="13"/>
      <c r="C42" s="17"/>
      <c r="D42" s="17"/>
      <c r="E42" s="18"/>
      <c r="F42" s="17"/>
      <c r="G42" s="18"/>
      <c r="H42" s="13"/>
      <c r="I42" s="19">
        <f>IF($E42="","",IF($L42&lt;=0.005,"Pago",IF($D42="","Sem vencimento",IF($D42&lt;Hoje,IF(N($G42)&gt;0,"Vencido (parcial)","Vencido"),IF($D42=Hoje,"Vence hoje","A vencer")))))</f>
        <v>0</v>
      </c>
      <c r="J42" s="20">
        <f>IF(OR($E42="",$D42=""),"",IF(AND($L42&gt;0.005,$D42&lt;Hoje),Hoje-$D42,0))</f>
        <v>0</v>
      </c>
      <c r="K42" s="20">
        <f>IF($J42="","",IF($L42&lt;=0.005,"Pago",IF($J42&lt;=0,"A vencer",IF($J42&lt;=15,"1-15 dias",IF($J42&lt;=30,"16-30 dias",IF($J42&lt;=60,"31-60 dias","Mais de 60 dias"))))))</f>
        <v>0</v>
      </c>
      <c r="L42" s="21">
        <f>IF($E42="","",MAX(0,$E42-N($G42)))</f>
        <v>0</v>
      </c>
      <c r="M42" s="21">
        <f>IF(OR($L42="",$J42=""),"",IF($J42&gt;0,ROUND($L42*Multa+$L42*Juros/30*$J42,2),0))</f>
        <v>0</v>
      </c>
      <c r="N42" s="22">
        <f>IF($L42="","",IF($L42&lt;=0.005,0,$L42+N($M42)))</f>
        <v>0</v>
      </c>
      <c r="O42" s="23">
        <f>IF(OR($I42="Vencido",$I42="Vencido (parcial)"),"Olá, "&amp;$A42&amp;"! Consta em aberto '"&amp;$B42&amp;"' com vencimento em "&amp;DAY($D42)&amp;"/"&amp;MONTH($D42)&amp;"/"&amp;YEAR($D42)&amp;", no valor de R$ "&amp;FIXED($N42,2)&amp;" (com multa e juros). Podemos ajudar a regularizar hoje? Obrigado!",IF($I42="Vence hoje","Olá, "&amp;$A42&amp;"! Lembrete: '"&amp;$B42&amp;"' vence hoje, no valor de R$ "&amp;FIXED($L42,2)&amp;". Obrigado!",""))</f>
        <v>0</v>
      </c>
    </row>
    <row r="43" spans="1:15">
      <c r="A43" s="13"/>
      <c r="B43" s="13"/>
      <c r="C43" s="17"/>
      <c r="D43" s="17"/>
      <c r="E43" s="18"/>
      <c r="F43" s="17"/>
      <c r="G43" s="18"/>
      <c r="H43" s="13"/>
      <c r="I43" s="19">
        <f>IF($E43="","",IF($L43&lt;=0.005,"Pago",IF($D43="","Sem vencimento",IF($D43&lt;Hoje,IF(N($G43)&gt;0,"Vencido (parcial)","Vencido"),IF($D43=Hoje,"Vence hoje","A vencer")))))</f>
        <v>0</v>
      </c>
      <c r="J43" s="20">
        <f>IF(OR($E43="",$D43=""),"",IF(AND($L43&gt;0.005,$D43&lt;Hoje),Hoje-$D43,0))</f>
        <v>0</v>
      </c>
      <c r="K43" s="20">
        <f>IF($J43="","",IF($L43&lt;=0.005,"Pago",IF($J43&lt;=0,"A vencer",IF($J43&lt;=15,"1-15 dias",IF($J43&lt;=30,"16-30 dias",IF($J43&lt;=60,"31-60 dias","Mais de 60 dias"))))))</f>
        <v>0</v>
      </c>
      <c r="L43" s="21">
        <f>IF($E43="","",MAX(0,$E43-N($G43)))</f>
        <v>0</v>
      </c>
      <c r="M43" s="21">
        <f>IF(OR($L43="",$J43=""),"",IF($J43&gt;0,ROUND($L43*Multa+$L43*Juros/30*$J43,2),0))</f>
        <v>0</v>
      </c>
      <c r="N43" s="22">
        <f>IF($L43="","",IF($L43&lt;=0.005,0,$L43+N($M43)))</f>
        <v>0</v>
      </c>
      <c r="O43" s="23">
        <f>IF(OR($I43="Vencido",$I43="Vencido (parcial)"),"Olá, "&amp;$A43&amp;"! Consta em aberto '"&amp;$B43&amp;"' com vencimento em "&amp;DAY($D43)&amp;"/"&amp;MONTH($D43)&amp;"/"&amp;YEAR($D43)&amp;", no valor de R$ "&amp;FIXED($N43,2)&amp;" (com multa e juros). Podemos ajudar a regularizar hoje? Obrigado!",IF($I43="Vence hoje","Olá, "&amp;$A43&amp;"! Lembrete: '"&amp;$B43&amp;"' vence hoje, no valor de R$ "&amp;FIXED($L43,2)&amp;". Obrigado!",""))</f>
        <v>0</v>
      </c>
    </row>
    <row r="44" spans="1:15">
      <c r="A44" s="13"/>
      <c r="B44" s="13"/>
      <c r="C44" s="17"/>
      <c r="D44" s="17"/>
      <c r="E44" s="18"/>
      <c r="F44" s="17"/>
      <c r="G44" s="18"/>
      <c r="H44" s="13"/>
      <c r="I44" s="19">
        <f>IF($E44="","",IF($L44&lt;=0.005,"Pago",IF($D44="","Sem vencimento",IF($D44&lt;Hoje,IF(N($G44)&gt;0,"Vencido (parcial)","Vencido"),IF($D44=Hoje,"Vence hoje","A vencer")))))</f>
        <v>0</v>
      </c>
      <c r="J44" s="20">
        <f>IF(OR($E44="",$D44=""),"",IF(AND($L44&gt;0.005,$D44&lt;Hoje),Hoje-$D44,0))</f>
        <v>0</v>
      </c>
      <c r="K44" s="20">
        <f>IF($J44="","",IF($L44&lt;=0.005,"Pago",IF($J44&lt;=0,"A vencer",IF($J44&lt;=15,"1-15 dias",IF($J44&lt;=30,"16-30 dias",IF($J44&lt;=60,"31-60 dias","Mais de 60 dias"))))))</f>
        <v>0</v>
      </c>
      <c r="L44" s="21">
        <f>IF($E44="","",MAX(0,$E44-N($G44)))</f>
        <v>0</v>
      </c>
      <c r="M44" s="21">
        <f>IF(OR($L44="",$J44=""),"",IF($J44&gt;0,ROUND($L44*Multa+$L44*Juros/30*$J44,2),0))</f>
        <v>0</v>
      </c>
      <c r="N44" s="22">
        <f>IF($L44="","",IF($L44&lt;=0.005,0,$L44+N($M44)))</f>
        <v>0</v>
      </c>
      <c r="O44" s="23">
        <f>IF(OR($I44="Vencido",$I44="Vencido (parcial)"),"Olá, "&amp;$A44&amp;"! Consta em aberto '"&amp;$B44&amp;"' com vencimento em "&amp;DAY($D44)&amp;"/"&amp;MONTH($D44)&amp;"/"&amp;YEAR($D44)&amp;", no valor de R$ "&amp;FIXED($N44,2)&amp;" (com multa e juros). Podemos ajudar a regularizar hoje? Obrigado!",IF($I44="Vence hoje","Olá, "&amp;$A44&amp;"! Lembrete: '"&amp;$B44&amp;"' vence hoje, no valor de R$ "&amp;FIXED($L44,2)&amp;". Obrigado!",""))</f>
        <v>0</v>
      </c>
    </row>
    <row r="45" spans="1:15">
      <c r="A45" s="13"/>
      <c r="B45" s="13"/>
      <c r="C45" s="17"/>
      <c r="D45" s="17"/>
      <c r="E45" s="18"/>
      <c r="F45" s="17"/>
      <c r="G45" s="18"/>
      <c r="H45" s="13"/>
      <c r="I45" s="19">
        <f>IF($E45="","",IF($L45&lt;=0.005,"Pago",IF($D45="","Sem vencimento",IF($D45&lt;Hoje,IF(N($G45)&gt;0,"Vencido (parcial)","Vencido"),IF($D45=Hoje,"Vence hoje","A vencer")))))</f>
        <v>0</v>
      </c>
      <c r="J45" s="20">
        <f>IF(OR($E45="",$D45=""),"",IF(AND($L45&gt;0.005,$D45&lt;Hoje),Hoje-$D45,0))</f>
        <v>0</v>
      </c>
      <c r="K45" s="20">
        <f>IF($J45="","",IF($L45&lt;=0.005,"Pago",IF($J45&lt;=0,"A vencer",IF($J45&lt;=15,"1-15 dias",IF($J45&lt;=30,"16-30 dias",IF($J45&lt;=60,"31-60 dias","Mais de 60 dias"))))))</f>
        <v>0</v>
      </c>
      <c r="L45" s="21">
        <f>IF($E45="","",MAX(0,$E45-N($G45)))</f>
        <v>0</v>
      </c>
      <c r="M45" s="21">
        <f>IF(OR($L45="",$J45=""),"",IF($J45&gt;0,ROUND($L45*Multa+$L45*Juros/30*$J45,2),0))</f>
        <v>0</v>
      </c>
      <c r="N45" s="22">
        <f>IF($L45="","",IF($L45&lt;=0.005,0,$L45+N($M45)))</f>
        <v>0</v>
      </c>
      <c r="O45" s="23">
        <f>IF(OR($I45="Vencido",$I45="Vencido (parcial)"),"Olá, "&amp;$A45&amp;"! Consta em aberto '"&amp;$B45&amp;"' com vencimento em "&amp;DAY($D45)&amp;"/"&amp;MONTH($D45)&amp;"/"&amp;YEAR($D45)&amp;", no valor de R$ "&amp;FIXED($N45,2)&amp;" (com multa e juros). Podemos ajudar a regularizar hoje? Obrigado!",IF($I45="Vence hoje","Olá, "&amp;$A45&amp;"! Lembrete: '"&amp;$B45&amp;"' vence hoje, no valor de R$ "&amp;FIXED($L45,2)&amp;". Obrigado!",""))</f>
        <v>0</v>
      </c>
    </row>
    <row r="46" spans="1:15">
      <c r="A46" s="13"/>
      <c r="B46" s="13"/>
      <c r="C46" s="17"/>
      <c r="D46" s="17"/>
      <c r="E46" s="18"/>
      <c r="F46" s="17"/>
      <c r="G46" s="18"/>
      <c r="H46" s="13"/>
      <c r="I46" s="19">
        <f>IF($E46="","",IF($L46&lt;=0.005,"Pago",IF($D46="","Sem vencimento",IF($D46&lt;Hoje,IF(N($G46)&gt;0,"Vencido (parcial)","Vencido"),IF($D46=Hoje,"Vence hoje","A vencer")))))</f>
        <v>0</v>
      </c>
      <c r="J46" s="20">
        <f>IF(OR($E46="",$D46=""),"",IF(AND($L46&gt;0.005,$D46&lt;Hoje),Hoje-$D46,0))</f>
        <v>0</v>
      </c>
      <c r="K46" s="20">
        <f>IF($J46="","",IF($L46&lt;=0.005,"Pago",IF($J46&lt;=0,"A vencer",IF($J46&lt;=15,"1-15 dias",IF($J46&lt;=30,"16-30 dias",IF($J46&lt;=60,"31-60 dias","Mais de 60 dias"))))))</f>
        <v>0</v>
      </c>
      <c r="L46" s="21">
        <f>IF($E46="","",MAX(0,$E46-N($G46)))</f>
        <v>0</v>
      </c>
      <c r="M46" s="21">
        <f>IF(OR($L46="",$J46=""),"",IF($J46&gt;0,ROUND($L46*Multa+$L46*Juros/30*$J46,2),0))</f>
        <v>0</v>
      </c>
      <c r="N46" s="22">
        <f>IF($L46="","",IF($L46&lt;=0.005,0,$L46+N($M46)))</f>
        <v>0</v>
      </c>
      <c r="O46" s="23">
        <f>IF(OR($I46="Vencido",$I46="Vencido (parcial)"),"Olá, "&amp;$A46&amp;"! Consta em aberto '"&amp;$B46&amp;"' com vencimento em "&amp;DAY($D46)&amp;"/"&amp;MONTH($D46)&amp;"/"&amp;YEAR($D46)&amp;", no valor de R$ "&amp;FIXED($N46,2)&amp;" (com multa e juros). Podemos ajudar a regularizar hoje? Obrigado!",IF($I46="Vence hoje","Olá, "&amp;$A46&amp;"! Lembrete: '"&amp;$B46&amp;"' vence hoje, no valor de R$ "&amp;FIXED($L46,2)&amp;". Obrigado!",""))</f>
        <v>0</v>
      </c>
    </row>
    <row r="47" spans="1:15">
      <c r="A47" s="13"/>
      <c r="B47" s="13"/>
      <c r="C47" s="17"/>
      <c r="D47" s="17"/>
      <c r="E47" s="18"/>
      <c r="F47" s="17"/>
      <c r="G47" s="18"/>
      <c r="H47" s="13"/>
      <c r="I47" s="19">
        <f>IF($E47="","",IF($L47&lt;=0.005,"Pago",IF($D47="","Sem vencimento",IF($D47&lt;Hoje,IF(N($G47)&gt;0,"Vencido (parcial)","Vencido"),IF($D47=Hoje,"Vence hoje","A vencer")))))</f>
        <v>0</v>
      </c>
      <c r="J47" s="20">
        <f>IF(OR($E47="",$D47=""),"",IF(AND($L47&gt;0.005,$D47&lt;Hoje),Hoje-$D47,0))</f>
        <v>0</v>
      </c>
      <c r="K47" s="20">
        <f>IF($J47="","",IF($L47&lt;=0.005,"Pago",IF($J47&lt;=0,"A vencer",IF($J47&lt;=15,"1-15 dias",IF($J47&lt;=30,"16-30 dias",IF($J47&lt;=60,"31-60 dias","Mais de 60 dias"))))))</f>
        <v>0</v>
      </c>
      <c r="L47" s="21">
        <f>IF($E47="","",MAX(0,$E47-N($G47)))</f>
        <v>0</v>
      </c>
      <c r="M47" s="21">
        <f>IF(OR($L47="",$J47=""),"",IF($J47&gt;0,ROUND($L47*Multa+$L47*Juros/30*$J47,2),0))</f>
        <v>0</v>
      </c>
      <c r="N47" s="22">
        <f>IF($L47="","",IF($L47&lt;=0.005,0,$L47+N($M47)))</f>
        <v>0</v>
      </c>
      <c r="O47" s="23">
        <f>IF(OR($I47="Vencido",$I47="Vencido (parcial)"),"Olá, "&amp;$A47&amp;"! Consta em aberto '"&amp;$B47&amp;"' com vencimento em "&amp;DAY($D47)&amp;"/"&amp;MONTH($D47)&amp;"/"&amp;YEAR($D47)&amp;", no valor de R$ "&amp;FIXED($N47,2)&amp;" (com multa e juros). Podemos ajudar a regularizar hoje? Obrigado!",IF($I47="Vence hoje","Olá, "&amp;$A47&amp;"! Lembrete: '"&amp;$B47&amp;"' vence hoje, no valor de R$ "&amp;FIXED($L47,2)&amp;". Obrigado!",""))</f>
        <v>0</v>
      </c>
    </row>
    <row r="48" spans="1:15">
      <c r="A48" s="13"/>
      <c r="B48" s="13"/>
      <c r="C48" s="17"/>
      <c r="D48" s="17"/>
      <c r="E48" s="18"/>
      <c r="F48" s="17"/>
      <c r="G48" s="18"/>
      <c r="H48" s="13"/>
      <c r="I48" s="19">
        <f>IF($E48="","",IF($L48&lt;=0.005,"Pago",IF($D48="","Sem vencimento",IF($D48&lt;Hoje,IF(N($G48)&gt;0,"Vencido (parcial)","Vencido"),IF($D48=Hoje,"Vence hoje","A vencer")))))</f>
        <v>0</v>
      </c>
      <c r="J48" s="20">
        <f>IF(OR($E48="",$D48=""),"",IF(AND($L48&gt;0.005,$D48&lt;Hoje),Hoje-$D48,0))</f>
        <v>0</v>
      </c>
      <c r="K48" s="20">
        <f>IF($J48="","",IF($L48&lt;=0.005,"Pago",IF($J48&lt;=0,"A vencer",IF($J48&lt;=15,"1-15 dias",IF($J48&lt;=30,"16-30 dias",IF($J48&lt;=60,"31-60 dias","Mais de 60 dias"))))))</f>
        <v>0</v>
      </c>
      <c r="L48" s="21">
        <f>IF($E48="","",MAX(0,$E48-N($G48)))</f>
        <v>0</v>
      </c>
      <c r="M48" s="21">
        <f>IF(OR($L48="",$J48=""),"",IF($J48&gt;0,ROUND($L48*Multa+$L48*Juros/30*$J48,2),0))</f>
        <v>0</v>
      </c>
      <c r="N48" s="22">
        <f>IF($L48="","",IF($L48&lt;=0.005,0,$L48+N($M48)))</f>
        <v>0</v>
      </c>
      <c r="O48" s="23">
        <f>IF(OR($I48="Vencido",$I48="Vencido (parcial)"),"Olá, "&amp;$A48&amp;"! Consta em aberto '"&amp;$B48&amp;"' com vencimento em "&amp;DAY($D48)&amp;"/"&amp;MONTH($D48)&amp;"/"&amp;YEAR($D48)&amp;", no valor de R$ "&amp;FIXED($N48,2)&amp;" (com multa e juros). Podemos ajudar a regularizar hoje? Obrigado!",IF($I48="Vence hoje","Olá, "&amp;$A48&amp;"! Lembrete: '"&amp;$B48&amp;"' vence hoje, no valor de R$ "&amp;FIXED($L48,2)&amp;". Obrigado!",""))</f>
        <v>0</v>
      </c>
    </row>
    <row r="49" spans="1:15">
      <c r="A49" s="13"/>
      <c r="B49" s="13"/>
      <c r="C49" s="17"/>
      <c r="D49" s="17"/>
      <c r="E49" s="18"/>
      <c r="F49" s="17"/>
      <c r="G49" s="18"/>
      <c r="H49" s="13"/>
      <c r="I49" s="19">
        <f>IF($E49="","",IF($L49&lt;=0.005,"Pago",IF($D49="","Sem vencimento",IF($D49&lt;Hoje,IF(N($G49)&gt;0,"Vencido (parcial)","Vencido"),IF($D49=Hoje,"Vence hoje","A vencer")))))</f>
        <v>0</v>
      </c>
      <c r="J49" s="20">
        <f>IF(OR($E49="",$D49=""),"",IF(AND($L49&gt;0.005,$D49&lt;Hoje),Hoje-$D49,0))</f>
        <v>0</v>
      </c>
      <c r="K49" s="20">
        <f>IF($J49="","",IF($L49&lt;=0.005,"Pago",IF($J49&lt;=0,"A vencer",IF($J49&lt;=15,"1-15 dias",IF($J49&lt;=30,"16-30 dias",IF($J49&lt;=60,"31-60 dias","Mais de 60 dias"))))))</f>
        <v>0</v>
      </c>
      <c r="L49" s="21">
        <f>IF($E49="","",MAX(0,$E49-N($G49)))</f>
        <v>0</v>
      </c>
      <c r="M49" s="21">
        <f>IF(OR($L49="",$J49=""),"",IF($J49&gt;0,ROUND($L49*Multa+$L49*Juros/30*$J49,2),0))</f>
        <v>0</v>
      </c>
      <c r="N49" s="22">
        <f>IF($L49="","",IF($L49&lt;=0.005,0,$L49+N($M49)))</f>
        <v>0</v>
      </c>
      <c r="O49" s="23">
        <f>IF(OR($I49="Vencido",$I49="Vencido (parcial)"),"Olá, "&amp;$A49&amp;"! Consta em aberto '"&amp;$B49&amp;"' com vencimento em "&amp;DAY($D49)&amp;"/"&amp;MONTH($D49)&amp;"/"&amp;YEAR($D49)&amp;", no valor de R$ "&amp;FIXED($N49,2)&amp;" (com multa e juros). Podemos ajudar a regularizar hoje? Obrigado!",IF($I49="Vence hoje","Olá, "&amp;$A49&amp;"! Lembrete: '"&amp;$B49&amp;"' vence hoje, no valor de R$ "&amp;FIXED($L49,2)&amp;". Obrigado!",""))</f>
        <v>0</v>
      </c>
    </row>
    <row r="50" spans="1:15">
      <c r="A50" s="13"/>
      <c r="B50" s="13"/>
      <c r="C50" s="17"/>
      <c r="D50" s="17"/>
      <c r="E50" s="18"/>
      <c r="F50" s="17"/>
      <c r="G50" s="18"/>
      <c r="H50" s="13"/>
      <c r="I50" s="19">
        <f>IF($E50="","",IF($L50&lt;=0.005,"Pago",IF($D50="","Sem vencimento",IF($D50&lt;Hoje,IF(N($G50)&gt;0,"Vencido (parcial)","Vencido"),IF($D50=Hoje,"Vence hoje","A vencer")))))</f>
        <v>0</v>
      </c>
      <c r="J50" s="20">
        <f>IF(OR($E50="",$D50=""),"",IF(AND($L50&gt;0.005,$D50&lt;Hoje),Hoje-$D50,0))</f>
        <v>0</v>
      </c>
      <c r="K50" s="20">
        <f>IF($J50="","",IF($L50&lt;=0.005,"Pago",IF($J50&lt;=0,"A vencer",IF($J50&lt;=15,"1-15 dias",IF($J50&lt;=30,"16-30 dias",IF($J50&lt;=60,"31-60 dias","Mais de 60 dias"))))))</f>
        <v>0</v>
      </c>
      <c r="L50" s="21">
        <f>IF($E50="","",MAX(0,$E50-N($G50)))</f>
        <v>0</v>
      </c>
      <c r="M50" s="21">
        <f>IF(OR($L50="",$J50=""),"",IF($J50&gt;0,ROUND($L50*Multa+$L50*Juros/30*$J50,2),0))</f>
        <v>0</v>
      </c>
      <c r="N50" s="22">
        <f>IF($L50="","",IF($L50&lt;=0.005,0,$L50+N($M50)))</f>
        <v>0</v>
      </c>
      <c r="O50" s="23">
        <f>IF(OR($I50="Vencido",$I50="Vencido (parcial)"),"Olá, "&amp;$A50&amp;"! Consta em aberto '"&amp;$B50&amp;"' com vencimento em "&amp;DAY($D50)&amp;"/"&amp;MONTH($D50)&amp;"/"&amp;YEAR($D50)&amp;", no valor de R$ "&amp;FIXED($N50,2)&amp;" (com multa e juros). Podemos ajudar a regularizar hoje? Obrigado!",IF($I50="Vence hoje","Olá, "&amp;$A50&amp;"! Lembrete: '"&amp;$B50&amp;"' vence hoje, no valor de R$ "&amp;FIXED($L50,2)&amp;". Obrigado!",""))</f>
        <v>0</v>
      </c>
    </row>
    <row r="51" spans="1:15">
      <c r="A51" s="13"/>
      <c r="B51" s="13"/>
      <c r="C51" s="17"/>
      <c r="D51" s="17"/>
      <c r="E51" s="18"/>
      <c r="F51" s="17"/>
      <c r="G51" s="18"/>
      <c r="H51" s="13"/>
      <c r="I51" s="19">
        <f>IF($E51="","",IF($L51&lt;=0.005,"Pago",IF($D51="","Sem vencimento",IF($D51&lt;Hoje,IF(N($G51)&gt;0,"Vencido (parcial)","Vencido"),IF($D51=Hoje,"Vence hoje","A vencer")))))</f>
        <v>0</v>
      </c>
      <c r="J51" s="20">
        <f>IF(OR($E51="",$D51=""),"",IF(AND($L51&gt;0.005,$D51&lt;Hoje),Hoje-$D51,0))</f>
        <v>0</v>
      </c>
      <c r="K51" s="20">
        <f>IF($J51="","",IF($L51&lt;=0.005,"Pago",IF($J51&lt;=0,"A vencer",IF($J51&lt;=15,"1-15 dias",IF($J51&lt;=30,"16-30 dias",IF($J51&lt;=60,"31-60 dias","Mais de 60 dias"))))))</f>
        <v>0</v>
      </c>
      <c r="L51" s="21">
        <f>IF($E51="","",MAX(0,$E51-N($G51)))</f>
        <v>0</v>
      </c>
      <c r="M51" s="21">
        <f>IF(OR($L51="",$J51=""),"",IF($J51&gt;0,ROUND($L51*Multa+$L51*Juros/30*$J51,2),0))</f>
        <v>0</v>
      </c>
      <c r="N51" s="22">
        <f>IF($L51="","",IF($L51&lt;=0.005,0,$L51+N($M51)))</f>
        <v>0</v>
      </c>
      <c r="O51" s="23">
        <f>IF(OR($I51="Vencido",$I51="Vencido (parcial)"),"Olá, "&amp;$A51&amp;"! Consta em aberto '"&amp;$B51&amp;"' com vencimento em "&amp;DAY($D51)&amp;"/"&amp;MONTH($D51)&amp;"/"&amp;YEAR($D51)&amp;", no valor de R$ "&amp;FIXED($N51,2)&amp;" (com multa e juros). Podemos ajudar a regularizar hoje? Obrigado!",IF($I51="Vence hoje","Olá, "&amp;$A51&amp;"! Lembrete: '"&amp;$B51&amp;"' vence hoje, no valor de R$ "&amp;FIXED($L51,2)&amp;". Obrigado!",""))</f>
        <v>0</v>
      </c>
    </row>
    <row r="52" spans="1:15">
      <c r="A52" s="13"/>
      <c r="B52" s="13"/>
      <c r="C52" s="17"/>
      <c r="D52" s="17"/>
      <c r="E52" s="18"/>
      <c r="F52" s="17"/>
      <c r="G52" s="18"/>
      <c r="H52" s="13"/>
      <c r="I52" s="19">
        <f>IF($E52="","",IF($L52&lt;=0.005,"Pago",IF($D52="","Sem vencimento",IF($D52&lt;Hoje,IF(N($G52)&gt;0,"Vencido (parcial)","Vencido"),IF($D52=Hoje,"Vence hoje","A vencer")))))</f>
        <v>0</v>
      </c>
      <c r="J52" s="20">
        <f>IF(OR($E52="",$D52=""),"",IF(AND($L52&gt;0.005,$D52&lt;Hoje),Hoje-$D52,0))</f>
        <v>0</v>
      </c>
      <c r="K52" s="20">
        <f>IF($J52="","",IF($L52&lt;=0.005,"Pago",IF($J52&lt;=0,"A vencer",IF($J52&lt;=15,"1-15 dias",IF($J52&lt;=30,"16-30 dias",IF($J52&lt;=60,"31-60 dias","Mais de 60 dias"))))))</f>
        <v>0</v>
      </c>
      <c r="L52" s="21">
        <f>IF($E52="","",MAX(0,$E52-N($G52)))</f>
        <v>0</v>
      </c>
      <c r="M52" s="21">
        <f>IF(OR($L52="",$J52=""),"",IF($J52&gt;0,ROUND($L52*Multa+$L52*Juros/30*$J52,2),0))</f>
        <v>0</v>
      </c>
      <c r="N52" s="22">
        <f>IF($L52="","",IF($L52&lt;=0.005,0,$L52+N($M52)))</f>
        <v>0</v>
      </c>
      <c r="O52" s="23">
        <f>IF(OR($I52="Vencido",$I52="Vencido (parcial)"),"Olá, "&amp;$A52&amp;"! Consta em aberto '"&amp;$B52&amp;"' com vencimento em "&amp;DAY($D52)&amp;"/"&amp;MONTH($D52)&amp;"/"&amp;YEAR($D52)&amp;", no valor de R$ "&amp;FIXED($N52,2)&amp;" (com multa e juros). Podemos ajudar a regularizar hoje? Obrigado!",IF($I52="Vence hoje","Olá, "&amp;$A52&amp;"! Lembrete: '"&amp;$B52&amp;"' vence hoje, no valor de R$ "&amp;FIXED($L52,2)&amp;". Obrigado!",""))</f>
        <v>0</v>
      </c>
    </row>
    <row r="53" spans="1:15">
      <c r="A53" s="13"/>
      <c r="B53" s="13"/>
      <c r="C53" s="17"/>
      <c r="D53" s="17"/>
      <c r="E53" s="18"/>
      <c r="F53" s="17"/>
      <c r="G53" s="18"/>
      <c r="H53" s="13"/>
      <c r="I53" s="19">
        <f>IF($E53="","",IF($L53&lt;=0.005,"Pago",IF($D53="","Sem vencimento",IF($D53&lt;Hoje,IF(N($G53)&gt;0,"Vencido (parcial)","Vencido"),IF($D53=Hoje,"Vence hoje","A vencer")))))</f>
        <v>0</v>
      </c>
      <c r="J53" s="20">
        <f>IF(OR($E53="",$D53=""),"",IF(AND($L53&gt;0.005,$D53&lt;Hoje),Hoje-$D53,0))</f>
        <v>0</v>
      </c>
      <c r="K53" s="20">
        <f>IF($J53="","",IF($L53&lt;=0.005,"Pago",IF($J53&lt;=0,"A vencer",IF($J53&lt;=15,"1-15 dias",IF($J53&lt;=30,"16-30 dias",IF($J53&lt;=60,"31-60 dias","Mais de 60 dias"))))))</f>
        <v>0</v>
      </c>
      <c r="L53" s="21">
        <f>IF($E53="","",MAX(0,$E53-N($G53)))</f>
        <v>0</v>
      </c>
      <c r="M53" s="21">
        <f>IF(OR($L53="",$J53=""),"",IF($J53&gt;0,ROUND($L53*Multa+$L53*Juros/30*$J53,2),0))</f>
        <v>0</v>
      </c>
      <c r="N53" s="22">
        <f>IF($L53="","",IF($L53&lt;=0.005,0,$L53+N($M53)))</f>
        <v>0</v>
      </c>
      <c r="O53" s="23">
        <f>IF(OR($I53="Vencido",$I53="Vencido (parcial)"),"Olá, "&amp;$A53&amp;"! Consta em aberto '"&amp;$B53&amp;"' com vencimento em "&amp;DAY($D53)&amp;"/"&amp;MONTH($D53)&amp;"/"&amp;YEAR($D53)&amp;", no valor de R$ "&amp;FIXED($N53,2)&amp;" (com multa e juros). Podemos ajudar a regularizar hoje? Obrigado!",IF($I53="Vence hoje","Olá, "&amp;$A53&amp;"! Lembrete: '"&amp;$B53&amp;"' vence hoje, no valor de R$ "&amp;FIXED($L53,2)&amp;". Obrigado!",""))</f>
        <v>0</v>
      </c>
    </row>
    <row r="54" spans="1:15">
      <c r="A54" s="13"/>
      <c r="B54" s="13"/>
      <c r="C54" s="17"/>
      <c r="D54" s="17"/>
      <c r="E54" s="18"/>
      <c r="F54" s="17"/>
      <c r="G54" s="18"/>
      <c r="H54" s="13"/>
      <c r="I54" s="19">
        <f>IF($E54="","",IF($L54&lt;=0.005,"Pago",IF($D54="","Sem vencimento",IF($D54&lt;Hoje,IF(N($G54)&gt;0,"Vencido (parcial)","Vencido"),IF($D54=Hoje,"Vence hoje","A vencer")))))</f>
        <v>0</v>
      </c>
      <c r="J54" s="20">
        <f>IF(OR($E54="",$D54=""),"",IF(AND($L54&gt;0.005,$D54&lt;Hoje),Hoje-$D54,0))</f>
        <v>0</v>
      </c>
      <c r="K54" s="20">
        <f>IF($J54="","",IF($L54&lt;=0.005,"Pago",IF($J54&lt;=0,"A vencer",IF($J54&lt;=15,"1-15 dias",IF($J54&lt;=30,"16-30 dias",IF($J54&lt;=60,"31-60 dias","Mais de 60 dias"))))))</f>
        <v>0</v>
      </c>
      <c r="L54" s="21">
        <f>IF($E54="","",MAX(0,$E54-N($G54)))</f>
        <v>0</v>
      </c>
      <c r="M54" s="21">
        <f>IF(OR($L54="",$J54=""),"",IF($J54&gt;0,ROUND($L54*Multa+$L54*Juros/30*$J54,2),0))</f>
        <v>0</v>
      </c>
      <c r="N54" s="22">
        <f>IF($L54="","",IF($L54&lt;=0.005,0,$L54+N($M54)))</f>
        <v>0</v>
      </c>
      <c r="O54" s="23">
        <f>IF(OR($I54="Vencido",$I54="Vencido (parcial)"),"Olá, "&amp;$A54&amp;"! Consta em aberto '"&amp;$B54&amp;"' com vencimento em "&amp;DAY($D54)&amp;"/"&amp;MONTH($D54)&amp;"/"&amp;YEAR($D54)&amp;", no valor de R$ "&amp;FIXED($N54,2)&amp;" (com multa e juros). Podemos ajudar a regularizar hoje? Obrigado!",IF($I54="Vence hoje","Olá, "&amp;$A54&amp;"! Lembrete: '"&amp;$B54&amp;"' vence hoje, no valor de R$ "&amp;FIXED($L54,2)&amp;". Obrigado!",""))</f>
        <v>0</v>
      </c>
    </row>
    <row r="55" spans="1:15">
      <c r="A55" s="13"/>
      <c r="B55" s="13"/>
      <c r="C55" s="17"/>
      <c r="D55" s="17"/>
      <c r="E55" s="18"/>
      <c r="F55" s="17"/>
      <c r="G55" s="18"/>
      <c r="H55" s="13"/>
      <c r="I55" s="19">
        <f>IF($E55="","",IF($L55&lt;=0.005,"Pago",IF($D55="","Sem vencimento",IF($D55&lt;Hoje,IF(N($G55)&gt;0,"Vencido (parcial)","Vencido"),IF($D55=Hoje,"Vence hoje","A vencer")))))</f>
        <v>0</v>
      </c>
      <c r="J55" s="20">
        <f>IF(OR($E55="",$D55=""),"",IF(AND($L55&gt;0.005,$D55&lt;Hoje),Hoje-$D55,0))</f>
        <v>0</v>
      </c>
      <c r="K55" s="20">
        <f>IF($J55="","",IF($L55&lt;=0.005,"Pago",IF($J55&lt;=0,"A vencer",IF($J55&lt;=15,"1-15 dias",IF($J55&lt;=30,"16-30 dias",IF($J55&lt;=60,"31-60 dias","Mais de 60 dias"))))))</f>
        <v>0</v>
      </c>
      <c r="L55" s="21">
        <f>IF($E55="","",MAX(0,$E55-N($G55)))</f>
        <v>0</v>
      </c>
      <c r="M55" s="21">
        <f>IF(OR($L55="",$J55=""),"",IF($J55&gt;0,ROUND($L55*Multa+$L55*Juros/30*$J55,2),0))</f>
        <v>0</v>
      </c>
      <c r="N55" s="22">
        <f>IF($L55="","",IF($L55&lt;=0.005,0,$L55+N($M55)))</f>
        <v>0</v>
      </c>
      <c r="O55" s="23">
        <f>IF(OR($I55="Vencido",$I55="Vencido (parcial)"),"Olá, "&amp;$A55&amp;"! Consta em aberto '"&amp;$B55&amp;"' com vencimento em "&amp;DAY($D55)&amp;"/"&amp;MONTH($D55)&amp;"/"&amp;YEAR($D55)&amp;", no valor de R$ "&amp;FIXED($N55,2)&amp;" (com multa e juros). Podemos ajudar a regularizar hoje? Obrigado!",IF($I55="Vence hoje","Olá, "&amp;$A55&amp;"! Lembrete: '"&amp;$B55&amp;"' vence hoje, no valor de R$ "&amp;FIXED($L55,2)&amp;". Obrigado!",""))</f>
        <v>0</v>
      </c>
    </row>
    <row r="56" spans="1:15">
      <c r="A56" s="13"/>
      <c r="B56" s="13"/>
      <c r="C56" s="17"/>
      <c r="D56" s="17"/>
      <c r="E56" s="18"/>
      <c r="F56" s="17"/>
      <c r="G56" s="18"/>
      <c r="H56" s="13"/>
      <c r="I56" s="19">
        <f>IF($E56="","",IF($L56&lt;=0.005,"Pago",IF($D56="","Sem vencimento",IF($D56&lt;Hoje,IF(N($G56)&gt;0,"Vencido (parcial)","Vencido"),IF($D56=Hoje,"Vence hoje","A vencer")))))</f>
        <v>0</v>
      </c>
      <c r="J56" s="20">
        <f>IF(OR($E56="",$D56=""),"",IF(AND($L56&gt;0.005,$D56&lt;Hoje),Hoje-$D56,0))</f>
        <v>0</v>
      </c>
      <c r="K56" s="20">
        <f>IF($J56="","",IF($L56&lt;=0.005,"Pago",IF($J56&lt;=0,"A vencer",IF($J56&lt;=15,"1-15 dias",IF($J56&lt;=30,"16-30 dias",IF($J56&lt;=60,"31-60 dias","Mais de 60 dias"))))))</f>
        <v>0</v>
      </c>
      <c r="L56" s="21">
        <f>IF($E56="","",MAX(0,$E56-N($G56)))</f>
        <v>0</v>
      </c>
      <c r="M56" s="21">
        <f>IF(OR($L56="",$J56=""),"",IF($J56&gt;0,ROUND($L56*Multa+$L56*Juros/30*$J56,2),0))</f>
        <v>0</v>
      </c>
      <c r="N56" s="22">
        <f>IF($L56="","",IF($L56&lt;=0.005,0,$L56+N($M56)))</f>
        <v>0</v>
      </c>
      <c r="O56" s="23">
        <f>IF(OR($I56="Vencido",$I56="Vencido (parcial)"),"Olá, "&amp;$A56&amp;"! Consta em aberto '"&amp;$B56&amp;"' com vencimento em "&amp;DAY($D56)&amp;"/"&amp;MONTH($D56)&amp;"/"&amp;YEAR($D56)&amp;", no valor de R$ "&amp;FIXED($N56,2)&amp;" (com multa e juros). Podemos ajudar a regularizar hoje? Obrigado!",IF($I56="Vence hoje","Olá, "&amp;$A56&amp;"! Lembrete: '"&amp;$B56&amp;"' vence hoje, no valor de R$ "&amp;FIXED($L56,2)&amp;". Obrigado!",""))</f>
        <v>0</v>
      </c>
    </row>
    <row r="57" spans="1:15">
      <c r="A57" s="13"/>
      <c r="B57" s="13"/>
      <c r="C57" s="17"/>
      <c r="D57" s="17"/>
      <c r="E57" s="18"/>
      <c r="F57" s="17"/>
      <c r="G57" s="18"/>
      <c r="H57" s="13"/>
      <c r="I57" s="19">
        <f>IF($E57="","",IF($L57&lt;=0.005,"Pago",IF($D57="","Sem vencimento",IF($D57&lt;Hoje,IF(N($G57)&gt;0,"Vencido (parcial)","Vencido"),IF($D57=Hoje,"Vence hoje","A vencer")))))</f>
        <v>0</v>
      </c>
      <c r="J57" s="20">
        <f>IF(OR($E57="",$D57=""),"",IF(AND($L57&gt;0.005,$D57&lt;Hoje),Hoje-$D57,0))</f>
        <v>0</v>
      </c>
      <c r="K57" s="20">
        <f>IF($J57="","",IF($L57&lt;=0.005,"Pago",IF($J57&lt;=0,"A vencer",IF($J57&lt;=15,"1-15 dias",IF($J57&lt;=30,"16-30 dias",IF($J57&lt;=60,"31-60 dias","Mais de 60 dias"))))))</f>
        <v>0</v>
      </c>
      <c r="L57" s="21">
        <f>IF($E57="","",MAX(0,$E57-N($G57)))</f>
        <v>0</v>
      </c>
      <c r="M57" s="21">
        <f>IF(OR($L57="",$J57=""),"",IF($J57&gt;0,ROUND($L57*Multa+$L57*Juros/30*$J57,2),0))</f>
        <v>0</v>
      </c>
      <c r="N57" s="22">
        <f>IF($L57="","",IF($L57&lt;=0.005,0,$L57+N($M57)))</f>
        <v>0</v>
      </c>
      <c r="O57" s="23">
        <f>IF(OR($I57="Vencido",$I57="Vencido (parcial)"),"Olá, "&amp;$A57&amp;"! Consta em aberto '"&amp;$B57&amp;"' com vencimento em "&amp;DAY($D57)&amp;"/"&amp;MONTH($D57)&amp;"/"&amp;YEAR($D57)&amp;", no valor de R$ "&amp;FIXED($N57,2)&amp;" (com multa e juros). Podemos ajudar a regularizar hoje? Obrigado!",IF($I57="Vence hoje","Olá, "&amp;$A57&amp;"! Lembrete: '"&amp;$B57&amp;"' vence hoje, no valor de R$ "&amp;FIXED($L57,2)&amp;". Obrigado!",""))</f>
        <v>0</v>
      </c>
    </row>
    <row r="58" spans="1:15">
      <c r="A58" s="13"/>
      <c r="B58" s="13"/>
      <c r="C58" s="17"/>
      <c r="D58" s="17"/>
      <c r="E58" s="18"/>
      <c r="F58" s="17"/>
      <c r="G58" s="18"/>
      <c r="H58" s="13"/>
      <c r="I58" s="19">
        <f>IF($E58="","",IF($L58&lt;=0.005,"Pago",IF($D58="","Sem vencimento",IF($D58&lt;Hoje,IF(N($G58)&gt;0,"Vencido (parcial)","Vencido"),IF($D58=Hoje,"Vence hoje","A vencer")))))</f>
        <v>0</v>
      </c>
      <c r="J58" s="20">
        <f>IF(OR($E58="",$D58=""),"",IF(AND($L58&gt;0.005,$D58&lt;Hoje),Hoje-$D58,0))</f>
        <v>0</v>
      </c>
      <c r="K58" s="20">
        <f>IF($J58="","",IF($L58&lt;=0.005,"Pago",IF($J58&lt;=0,"A vencer",IF($J58&lt;=15,"1-15 dias",IF($J58&lt;=30,"16-30 dias",IF($J58&lt;=60,"31-60 dias","Mais de 60 dias"))))))</f>
        <v>0</v>
      </c>
      <c r="L58" s="21">
        <f>IF($E58="","",MAX(0,$E58-N($G58)))</f>
        <v>0</v>
      </c>
      <c r="M58" s="21">
        <f>IF(OR($L58="",$J58=""),"",IF($J58&gt;0,ROUND($L58*Multa+$L58*Juros/30*$J58,2),0))</f>
        <v>0</v>
      </c>
      <c r="N58" s="22">
        <f>IF($L58="","",IF($L58&lt;=0.005,0,$L58+N($M58)))</f>
        <v>0</v>
      </c>
      <c r="O58" s="23">
        <f>IF(OR($I58="Vencido",$I58="Vencido (parcial)"),"Olá, "&amp;$A58&amp;"! Consta em aberto '"&amp;$B58&amp;"' com vencimento em "&amp;DAY($D58)&amp;"/"&amp;MONTH($D58)&amp;"/"&amp;YEAR($D58)&amp;", no valor de R$ "&amp;FIXED($N58,2)&amp;" (com multa e juros). Podemos ajudar a regularizar hoje? Obrigado!",IF($I58="Vence hoje","Olá, "&amp;$A58&amp;"! Lembrete: '"&amp;$B58&amp;"' vence hoje, no valor de R$ "&amp;FIXED($L58,2)&amp;". Obrigado!",""))</f>
        <v>0</v>
      </c>
    </row>
    <row r="59" spans="1:15">
      <c r="A59" s="13"/>
      <c r="B59" s="13"/>
      <c r="C59" s="17"/>
      <c r="D59" s="17"/>
      <c r="E59" s="18"/>
      <c r="F59" s="17"/>
      <c r="G59" s="18"/>
      <c r="H59" s="13"/>
      <c r="I59" s="19">
        <f>IF($E59="","",IF($L59&lt;=0.005,"Pago",IF($D59="","Sem vencimento",IF($D59&lt;Hoje,IF(N($G59)&gt;0,"Vencido (parcial)","Vencido"),IF($D59=Hoje,"Vence hoje","A vencer")))))</f>
        <v>0</v>
      </c>
      <c r="J59" s="20">
        <f>IF(OR($E59="",$D59=""),"",IF(AND($L59&gt;0.005,$D59&lt;Hoje),Hoje-$D59,0))</f>
        <v>0</v>
      </c>
      <c r="K59" s="20">
        <f>IF($J59="","",IF($L59&lt;=0.005,"Pago",IF($J59&lt;=0,"A vencer",IF($J59&lt;=15,"1-15 dias",IF($J59&lt;=30,"16-30 dias",IF($J59&lt;=60,"31-60 dias","Mais de 60 dias"))))))</f>
        <v>0</v>
      </c>
      <c r="L59" s="21">
        <f>IF($E59="","",MAX(0,$E59-N($G59)))</f>
        <v>0</v>
      </c>
      <c r="M59" s="21">
        <f>IF(OR($L59="",$J59=""),"",IF($J59&gt;0,ROUND($L59*Multa+$L59*Juros/30*$J59,2),0))</f>
        <v>0</v>
      </c>
      <c r="N59" s="22">
        <f>IF($L59="","",IF($L59&lt;=0.005,0,$L59+N($M59)))</f>
        <v>0</v>
      </c>
      <c r="O59" s="23">
        <f>IF(OR($I59="Vencido",$I59="Vencido (parcial)"),"Olá, "&amp;$A59&amp;"! Consta em aberto '"&amp;$B59&amp;"' com vencimento em "&amp;DAY($D59)&amp;"/"&amp;MONTH($D59)&amp;"/"&amp;YEAR($D59)&amp;", no valor de R$ "&amp;FIXED($N59,2)&amp;" (com multa e juros). Podemos ajudar a regularizar hoje? Obrigado!",IF($I59="Vence hoje","Olá, "&amp;$A59&amp;"! Lembrete: '"&amp;$B59&amp;"' vence hoje, no valor de R$ "&amp;FIXED($L59,2)&amp;". Obrigado!",""))</f>
        <v>0</v>
      </c>
    </row>
    <row r="60" spans="1:15">
      <c r="A60" s="13"/>
      <c r="B60" s="13"/>
      <c r="C60" s="17"/>
      <c r="D60" s="17"/>
      <c r="E60" s="18"/>
      <c r="F60" s="17"/>
      <c r="G60" s="18"/>
      <c r="H60" s="13"/>
      <c r="I60" s="19">
        <f>IF($E60="","",IF($L60&lt;=0.005,"Pago",IF($D60="","Sem vencimento",IF($D60&lt;Hoje,IF(N($G60)&gt;0,"Vencido (parcial)","Vencido"),IF($D60=Hoje,"Vence hoje","A vencer")))))</f>
        <v>0</v>
      </c>
      <c r="J60" s="20">
        <f>IF(OR($E60="",$D60=""),"",IF(AND($L60&gt;0.005,$D60&lt;Hoje),Hoje-$D60,0))</f>
        <v>0</v>
      </c>
      <c r="K60" s="20">
        <f>IF($J60="","",IF($L60&lt;=0.005,"Pago",IF($J60&lt;=0,"A vencer",IF($J60&lt;=15,"1-15 dias",IF($J60&lt;=30,"16-30 dias",IF($J60&lt;=60,"31-60 dias","Mais de 60 dias"))))))</f>
        <v>0</v>
      </c>
      <c r="L60" s="21">
        <f>IF($E60="","",MAX(0,$E60-N($G60)))</f>
        <v>0</v>
      </c>
      <c r="M60" s="21">
        <f>IF(OR($L60="",$J60=""),"",IF($J60&gt;0,ROUND($L60*Multa+$L60*Juros/30*$J60,2),0))</f>
        <v>0</v>
      </c>
      <c r="N60" s="22">
        <f>IF($L60="","",IF($L60&lt;=0.005,0,$L60+N($M60)))</f>
        <v>0</v>
      </c>
      <c r="O60" s="23">
        <f>IF(OR($I60="Vencido",$I60="Vencido (parcial)"),"Olá, "&amp;$A60&amp;"! Consta em aberto '"&amp;$B60&amp;"' com vencimento em "&amp;DAY($D60)&amp;"/"&amp;MONTH($D60)&amp;"/"&amp;YEAR($D60)&amp;", no valor de R$ "&amp;FIXED($N60,2)&amp;" (com multa e juros). Podemos ajudar a regularizar hoje? Obrigado!",IF($I60="Vence hoje","Olá, "&amp;$A60&amp;"! Lembrete: '"&amp;$B60&amp;"' vence hoje, no valor de R$ "&amp;FIXED($L60,2)&amp;". Obrigado!",""))</f>
        <v>0</v>
      </c>
    </row>
    <row r="61" spans="1:15">
      <c r="A61" s="13"/>
      <c r="B61" s="13"/>
      <c r="C61" s="17"/>
      <c r="D61" s="17"/>
      <c r="E61" s="18"/>
      <c r="F61" s="17"/>
      <c r="G61" s="18"/>
      <c r="H61" s="13"/>
      <c r="I61" s="19">
        <f>IF($E61="","",IF($L61&lt;=0.005,"Pago",IF($D61="","Sem vencimento",IF($D61&lt;Hoje,IF(N($G61)&gt;0,"Vencido (parcial)","Vencido"),IF($D61=Hoje,"Vence hoje","A vencer")))))</f>
        <v>0</v>
      </c>
      <c r="J61" s="20">
        <f>IF(OR($E61="",$D61=""),"",IF(AND($L61&gt;0.005,$D61&lt;Hoje),Hoje-$D61,0))</f>
        <v>0</v>
      </c>
      <c r="K61" s="20">
        <f>IF($J61="","",IF($L61&lt;=0.005,"Pago",IF($J61&lt;=0,"A vencer",IF($J61&lt;=15,"1-15 dias",IF($J61&lt;=30,"16-30 dias",IF($J61&lt;=60,"31-60 dias","Mais de 60 dias"))))))</f>
        <v>0</v>
      </c>
      <c r="L61" s="21">
        <f>IF($E61="","",MAX(0,$E61-N($G61)))</f>
        <v>0</v>
      </c>
      <c r="M61" s="21">
        <f>IF(OR($L61="",$J61=""),"",IF($J61&gt;0,ROUND($L61*Multa+$L61*Juros/30*$J61,2),0))</f>
        <v>0</v>
      </c>
      <c r="N61" s="22">
        <f>IF($L61="","",IF($L61&lt;=0.005,0,$L61+N($M61)))</f>
        <v>0</v>
      </c>
      <c r="O61" s="23">
        <f>IF(OR($I61="Vencido",$I61="Vencido (parcial)"),"Olá, "&amp;$A61&amp;"! Consta em aberto '"&amp;$B61&amp;"' com vencimento em "&amp;DAY($D61)&amp;"/"&amp;MONTH($D61)&amp;"/"&amp;YEAR($D61)&amp;", no valor de R$ "&amp;FIXED($N61,2)&amp;" (com multa e juros). Podemos ajudar a regularizar hoje? Obrigado!",IF($I61="Vence hoje","Olá, "&amp;$A61&amp;"! Lembrete: '"&amp;$B61&amp;"' vence hoje, no valor de R$ "&amp;FIXED($L61,2)&amp;". Obrigado!",""))</f>
        <v>0</v>
      </c>
    </row>
    <row r="62" spans="1:15">
      <c r="A62" s="13"/>
      <c r="B62" s="13"/>
      <c r="C62" s="17"/>
      <c r="D62" s="17"/>
      <c r="E62" s="18"/>
      <c r="F62" s="17"/>
      <c r="G62" s="18"/>
      <c r="H62" s="13"/>
      <c r="I62" s="19">
        <f>IF($E62="","",IF($L62&lt;=0.005,"Pago",IF($D62="","Sem vencimento",IF($D62&lt;Hoje,IF(N($G62)&gt;0,"Vencido (parcial)","Vencido"),IF($D62=Hoje,"Vence hoje","A vencer")))))</f>
        <v>0</v>
      </c>
      <c r="J62" s="20">
        <f>IF(OR($E62="",$D62=""),"",IF(AND($L62&gt;0.005,$D62&lt;Hoje),Hoje-$D62,0))</f>
        <v>0</v>
      </c>
      <c r="K62" s="20">
        <f>IF($J62="","",IF($L62&lt;=0.005,"Pago",IF($J62&lt;=0,"A vencer",IF($J62&lt;=15,"1-15 dias",IF($J62&lt;=30,"16-30 dias",IF($J62&lt;=60,"31-60 dias","Mais de 60 dias"))))))</f>
        <v>0</v>
      </c>
      <c r="L62" s="21">
        <f>IF($E62="","",MAX(0,$E62-N($G62)))</f>
        <v>0</v>
      </c>
      <c r="M62" s="21">
        <f>IF(OR($L62="",$J62=""),"",IF($J62&gt;0,ROUND($L62*Multa+$L62*Juros/30*$J62,2),0))</f>
        <v>0</v>
      </c>
      <c r="N62" s="22">
        <f>IF($L62="","",IF($L62&lt;=0.005,0,$L62+N($M62)))</f>
        <v>0</v>
      </c>
      <c r="O62" s="23">
        <f>IF(OR($I62="Vencido",$I62="Vencido (parcial)"),"Olá, "&amp;$A62&amp;"! Consta em aberto '"&amp;$B62&amp;"' com vencimento em "&amp;DAY($D62)&amp;"/"&amp;MONTH($D62)&amp;"/"&amp;YEAR($D62)&amp;", no valor de R$ "&amp;FIXED($N62,2)&amp;" (com multa e juros). Podemos ajudar a regularizar hoje? Obrigado!",IF($I62="Vence hoje","Olá, "&amp;$A62&amp;"! Lembrete: '"&amp;$B62&amp;"' vence hoje, no valor de R$ "&amp;FIXED($L62,2)&amp;". Obrigado!",""))</f>
        <v>0</v>
      </c>
    </row>
    <row r="63" spans="1:15">
      <c r="A63" s="13"/>
      <c r="B63" s="13"/>
      <c r="C63" s="17"/>
      <c r="D63" s="17"/>
      <c r="E63" s="18"/>
      <c r="F63" s="17"/>
      <c r="G63" s="18"/>
      <c r="H63" s="13"/>
      <c r="I63" s="19">
        <f>IF($E63="","",IF($L63&lt;=0.005,"Pago",IF($D63="","Sem vencimento",IF($D63&lt;Hoje,IF(N($G63)&gt;0,"Vencido (parcial)","Vencido"),IF($D63=Hoje,"Vence hoje","A vencer")))))</f>
        <v>0</v>
      </c>
      <c r="J63" s="20">
        <f>IF(OR($E63="",$D63=""),"",IF(AND($L63&gt;0.005,$D63&lt;Hoje),Hoje-$D63,0))</f>
        <v>0</v>
      </c>
      <c r="K63" s="20">
        <f>IF($J63="","",IF($L63&lt;=0.005,"Pago",IF($J63&lt;=0,"A vencer",IF($J63&lt;=15,"1-15 dias",IF($J63&lt;=30,"16-30 dias",IF($J63&lt;=60,"31-60 dias","Mais de 60 dias"))))))</f>
        <v>0</v>
      </c>
      <c r="L63" s="21">
        <f>IF($E63="","",MAX(0,$E63-N($G63)))</f>
        <v>0</v>
      </c>
      <c r="M63" s="21">
        <f>IF(OR($L63="",$J63=""),"",IF($J63&gt;0,ROUND($L63*Multa+$L63*Juros/30*$J63,2),0))</f>
        <v>0</v>
      </c>
      <c r="N63" s="22">
        <f>IF($L63="","",IF($L63&lt;=0.005,0,$L63+N($M63)))</f>
        <v>0</v>
      </c>
      <c r="O63" s="23">
        <f>IF(OR($I63="Vencido",$I63="Vencido (parcial)"),"Olá, "&amp;$A63&amp;"! Consta em aberto '"&amp;$B63&amp;"' com vencimento em "&amp;DAY($D63)&amp;"/"&amp;MONTH($D63)&amp;"/"&amp;YEAR($D63)&amp;", no valor de R$ "&amp;FIXED($N63,2)&amp;" (com multa e juros). Podemos ajudar a regularizar hoje? Obrigado!",IF($I63="Vence hoje","Olá, "&amp;$A63&amp;"! Lembrete: '"&amp;$B63&amp;"' vence hoje, no valor de R$ "&amp;FIXED($L63,2)&amp;". Obrigado!",""))</f>
        <v>0</v>
      </c>
    </row>
    <row r="64" spans="1:15">
      <c r="A64" s="13"/>
      <c r="B64" s="13"/>
      <c r="C64" s="17"/>
      <c r="D64" s="17"/>
      <c r="E64" s="18"/>
      <c r="F64" s="17"/>
      <c r="G64" s="18"/>
      <c r="H64" s="13"/>
      <c r="I64" s="19">
        <f>IF($E64="","",IF($L64&lt;=0.005,"Pago",IF($D64="","Sem vencimento",IF($D64&lt;Hoje,IF(N($G64)&gt;0,"Vencido (parcial)","Vencido"),IF($D64=Hoje,"Vence hoje","A vencer")))))</f>
        <v>0</v>
      </c>
      <c r="J64" s="20">
        <f>IF(OR($E64="",$D64=""),"",IF(AND($L64&gt;0.005,$D64&lt;Hoje),Hoje-$D64,0))</f>
        <v>0</v>
      </c>
      <c r="K64" s="20">
        <f>IF($J64="","",IF($L64&lt;=0.005,"Pago",IF($J64&lt;=0,"A vencer",IF($J64&lt;=15,"1-15 dias",IF($J64&lt;=30,"16-30 dias",IF($J64&lt;=60,"31-60 dias","Mais de 60 dias"))))))</f>
        <v>0</v>
      </c>
      <c r="L64" s="21">
        <f>IF($E64="","",MAX(0,$E64-N($G64)))</f>
        <v>0</v>
      </c>
      <c r="M64" s="21">
        <f>IF(OR($L64="",$J64=""),"",IF($J64&gt;0,ROUND($L64*Multa+$L64*Juros/30*$J64,2),0))</f>
        <v>0</v>
      </c>
      <c r="N64" s="22">
        <f>IF($L64="","",IF($L64&lt;=0.005,0,$L64+N($M64)))</f>
        <v>0</v>
      </c>
      <c r="O64" s="23">
        <f>IF(OR($I64="Vencido",$I64="Vencido (parcial)"),"Olá, "&amp;$A64&amp;"! Consta em aberto '"&amp;$B64&amp;"' com vencimento em "&amp;DAY($D64)&amp;"/"&amp;MONTH($D64)&amp;"/"&amp;YEAR($D64)&amp;", no valor de R$ "&amp;FIXED($N64,2)&amp;" (com multa e juros). Podemos ajudar a regularizar hoje? Obrigado!",IF($I64="Vence hoje","Olá, "&amp;$A64&amp;"! Lembrete: '"&amp;$B64&amp;"' vence hoje, no valor de R$ "&amp;FIXED($L64,2)&amp;". Obrigado!",""))</f>
        <v>0</v>
      </c>
    </row>
    <row r="65" spans="1:15">
      <c r="A65" s="13"/>
      <c r="B65" s="13"/>
      <c r="C65" s="17"/>
      <c r="D65" s="17"/>
      <c r="E65" s="18"/>
      <c r="F65" s="17"/>
      <c r="G65" s="18"/>
      <c r="H65" s="13"/>
      <c r="I65" s="19">
        <f>IF($E65="","",IF($L65&lt;=0.005,"Pago",IF($D65="","Sem vencimento",IF($D65&lt;Hoje,IF(N($G65)&gt;0,"Vencido (parcial)","Vencido"),IF($D65=Hoje,"Vence hoje","A vencer")))))</f>
        <v>0</v>
      </c>
      <c r="J65" s="20">
        <f>IF(OR($E65="",$D65=""),"",IF(AND($L65&gt;0.005,$D65&lt;Hoje),Hoje-$D65,0))</f>
        <v>0</v>
      </c>
      <c r="K65" s="20">
        <f>IF($J65="","",IF($L65&lt;=0.005,"Pago",IF($J65&lt;=0,"A vencer",IF($J65&lt;=15,"1-15 dias",IF($J65&lt;=30,"16-30 dias",IF($J65&lt;=60,"31-60 dias","Mais de 60 dias"))))))</f>
        <v>0</v>
      </c>
      <c r="L65" s="21">
        <f>IF($E65="","",MAX(0,$E65-N($G65)))</f>
        <v>0</v>
      </c>
      <c r="M65" s="21">
        <f>IF(OR($L65="",$J65=""),"",IF($J65&gt;0,ROUND($L65*Multa+$L65*Juros/30*$J65,2),0))</f>
        <v>0</v>
      </c>
      <c r="N65" s="22">
        <f>IF($L65="","",IF($L65&lt;=0.005,0,$L65+N($M65)))</f>
        <v>0</v>
      </c>
      <c r="O65" s="23">
        <f>IF(OR($I65="Vencido",$I65="Vencido (parcial)"),"Olá, "&amp;$A65&amp;"! Consta em aberto '"&amp;$B65&amp;"' com vencimento em "&amp;DAY($D65)&amp;"/"&amp;MONTH($D65)&amp;"/"&amp;YEAR($D65)&amp;", no valor de R$ "&amp;FIXED($N65,2)&amp;" (com multa e juros). Podemos ajudar a regularizar hoje? Obrigado!",IF($I65="Vence hoje","Olá, "&amp;$A65&amp;"! Lembrete: '"&amp;$B65&amp;"' vence hoje, no valor de R$ "&amp;FIXED($L65,2)&amp;". Obrigado!",""))</f>
        <v>0</v>
      </c>
    </row>
    <row r="66" spans="1:15">
      <c r="A66" s="13"/>
      <c r="B66" s="13"/>
      <c r="C66" s="17"/>
      <c r="D66" s="17"/>
      <c r="E66" s="18"/>
      <c r="F66" s="17"/>
      <c r="G66" s="18"/>
      <c r="H66" s="13"/>
      <c r="I66" s="19">
        <f>IF($E66="","",IF($L66&lt;=0.005,"Pago",IF($D66="","Sem vencimento",IF($D66&lt;Hoje,IF(N($G66)&gt;0,"Vencido (parcial)","Vencido"),IF($D66=Hoje,"Vence hoje","A vencer")))))</f>
        <v>0</v>
      </c>
      <c r="J66" s="20">
        <f>IF(OR($E66="",$D66=""),"",IF(AND($L66&gt;0.005,$D66&lt;Hoje),Hoje-$D66,0))</f>
        <v>0</v>
      </c>
      <c r="K66" s="20">
        <f>IF($J66="","",IF($L66&lt;=0.005,"Pago",IF($J66&lt;=0,"A vencer",IF($J66&lt;=15,"1-15 dias",IF($J66&lt;=30,"16-30 dias",IF($J66&lt;=60,"31-60 dias","Mais de 60 dias"))))))</f>
        <v>0</v>
      </c>
      <c r="L66" s="21">
        <f>IF($E66="","",MAX(0,$E66-N($G66)))</f>
        <v>0</v>
      </c>
      <c r="M66" s="21">
        <f>IF(OR($L66="",$J66=""),"",IF($J66&gt;0,ROUND($L66*Multa+$L66*Juros/30*$J66,2),0))</f>
        <v>0</v>
      </c>
      <c r="N66" s="22">
        <f>IF($L66="","",IF($L66&lt;=0.005,0,$L66+N($M66)))</f>
        <v>0</v>
      </c>
      <c r="O66" s="23">
        <f>IF(OR($I66="Vencido",$I66="Vencido (parcial)"),"Olá, "&amp;$A66&amp;"! Consta em aberto '"&amp;$B66&amp;"' com vencimento em "&amp;DAY($D66)&amp;"/"&amp;MONTH($D66)&amp;"/"&amp;YEAR($D66)&amp;", no valor de R$ "&amp;FIXED($N66,2)&amp;" (com multa e juros). Podemos ajudar a regularizar hoje? Obrigado!",IF($I66="Vence hoje","Olá, "&amp;$A66&amp;"! Lembrete: '"&amp;$B66&amp;"' vence hoje, no valor de R$ "&amp;FIXED($L66,2)&amp;". Obrigado!",""))</f>
        <v>0</v>
      </c>
    </row>
    <row r="67" spans="1:15">
      <c r="A67" s="13"/>
      <c r="B67" s="13"/>
      <c r="C67" s="17"/>
      <c r="D67" s="17"/>
      <c r="E67" s="18"/>
      <c r="F67" s="17"/>
      <c r="G67" s="18"/>
      <c r="H67" s="13"/>
      <c r="I67" s="19">
        <f>IF($E67="","",IF($L67&lt;=0.005,"Pago",IF($D67="","Sem vencimento",IF($D67&lt;Hoje,IF(N($G67)&gt;0,"Vencido (parcial)","Vencido"),IF($D67=Hoje,"Vence hoje","A vencer")))))</f>
        <v>0</v>
      </c>
      <c r="J67" s="20">
        <f>IF(OR($E67="",$D67=""),"",IF(AND($L67&gt;0.005,$D67&lt;Hoje),Hoje-$D67,0))</f>
        <v>0</v>
      </c>
      <c r="K67" s="20">
        <f>IF($J67="","",IF($L67&lt;=0.005,"Pago",IF($J67&lt;=0,"A vencer",IF($J67&lt;=15,"1-15 dias",IF($J67&lt;=30,"16-30 dias",IF($J67&lt;=60,"31-60 dias","Mais de 60 dias"))))))</f>
        <v>0</v>
      </c>
      <c r="L67" s="21">
        <f>IF($E67="","",MAX(0,$E67-N($G67)))</f>
        <v>0</v>
      </c>
      <c r="M67" s="21">
        <f>IF(OR($L67="",$J67=""),"",IF($J67&gt;0,ROUND($L67*Multa+$L67*Juros/30*$J67,2),0))</f>
        <v>0</v>
      </c>
      <c r="N67" s="22">
        <f>IF($L67="","",IF($L67&lt;=0.005,0,$L67+N($M67)))</f>
        <v>0</v>
      </c>
      <c r="O67" s="23">
        <f>IF(OR($I67="Vencido",$I67="Vencido (parcial)"),"Olá, "&amp;$A67&amp;"! Consta em aberto '"&amp;$B67&amp;"' com vencimento em "&amp;DAY($D67)&amp;"/"&amp;MONTH($D67)&amp;"/"&amp;YEAR($D67)&amp;", no valor de R$ "&amp;FIXED($N67,2)&amp;" (com multa e juros). Podemos ajudar a regularizar hoje? Obrigado!",IF($I67="Vence hoje","Olá, "&amp;$A67&amp;"! Lembrete: '"&amp;$B67&amp;"' vence hoje, no valor de R$ "&amp;FIXED($L67,2)&amp;". Obrigado!",""))</f>
        <v>0</v>
      </c>
    </row>
    <row r="68" spans="1:15">
      <c r="A68" s="13"/>
      <c r="B68" s="13"/>
      <c r="C68" s="17"/>
      <c r="D68" s="17"/>
      <c r="E68" s="18"/>
      <c r="F68" s="17"/>
      <c r="G68" s="18"/>
      <c r="H68" s="13"/>
      <c r="I68" s="19">
        <f>IF($E68="","",IF($L68&lt;=0.005,"Pago",IF($D68="","Sem vencimento",IF($D68&lt;Hoje,IF(N($G68)&gt;0,"Vencido (parcial)","Vencido"),IF($D68=Hoje,"Vence hoje","A vencer")))))</f>
        <v>0</v>
      </c>
      <c r="J68" s="20">
        <f>IF(OR($E68="",$D68=""),"",IF(AND($L68&gt;0.005,$D68&lt;Hoje),Hoje-$D68,0))</f>
        <v>0</v>
      </c>
      <c r="K68" s="20">
        <f>IF($J68="","",IF($L68&lt;=0.005,"Pago",IF($J68&lt;=0,"A vencer",IF($J68&lt;=15,"1-15 dias",IF($J68&lt;=30,"16-30 dias",IF($J68&lt;=60,"31-60 dias","Mais de 60 dias"))))))</f>
        <v>0</v>
      </c>
      <c r="L68" s="21">
        <f>IF($E68="","",MAX(0,$E68-N($G68)))</f>
        <v>0</v>
      </c>
      <c r="M68" s="21">
        <f>IF(OR($L68="",$J68=""),"",IF($J68&gt;0,ROUND($L68*Multa+$L68*Juros/30*$J68,2),0))</f>
        <v>0</v>
      </c>
      <c r="N68" s="22">
        <f>IF($L68="","",IF($L68&lt;=0.005,0,$L68+N($M68)))</f>
        <v>0</v>
      </c>
      <c r="O68" s="23">
        <f>IF(OR($I68="Vencido",$I68="Vencido (parcial)"),"Olá, "&amp;$A68&amp;"! Consta em aberto '"&amp;$B68&amp;"' com vencimento em "&amp;DAY($D68)&amp;"/"&amp;MONTH($D68)&amp;"/"&amp;YEAR($D68)&amp;", no valor de R$ "&amp;FIXED($N68,2)&amp;" (com multa e juros). Podemos ajudar a regularizar hoje? Obrigado!",IF($I68="Vence hoje","Olá, "&amp;$A68&amp;"! Lembrete: '"&amp;$B68&amp;"' vence hoje, no valor de R$ "&amp;FIXED($L68,2)&amp;". Obrigado!",""))</f>
        <v>0</v>
      </c>
    </row>
    <row r="69" spans="1:15">
      <c r="A69" s="13"/>
      <c r="B69" s="13"/>
      <c r="C69" s="17"/>
      <c r="D69" s="17"/>
      <c r="E69" s="18"/>
      <c r="F69" s="17"/>
      <c r="G69" s="18"/>
      <c r="H69" s="13"/>
      <c r="I69" s="19">
        <f>IF($E69="","",IF($L69&lt;=0.005,"Pago",IF($D69="","Sem vencimento",IF($D69&lt;Hoje,IF(N($G69)&gt;0,"Vencido (parcial)","Vencido"),IF($D69=Hoje,"Vence hoje","A vencer")))))</f>
        <v>0</v>
      </c>
      <c r="J69" s="20">
        <f>IF(OR($E69="",$D69=""),"",IF(AND($L69&gt;0.005,$D69&lt;Hoje),Hoje-$D69,0))</f>
        <v>0</v>
      </c>
      <c r="K69" s="20">
        <f>IF($J69="","",IF($L69&lt;=0.005,"Pago",IF($J69&lt;=0,"A vencer",IF($J69&lt;=15,"1-15 dias",IF($J69&lt;=30,"16-30 dias",IF($J69&lt;=60,"31-60 dias","Mais de 60 dias"))))))</f>
        <v>0</v>
      </c>
      <c r="L69" s="21">
        <f>IF($E69="","",MAX(0,$E69-N($G69)))</f>
        <v>0</v>
      </c>
      <c r="M69" s="21">
        <f>IF(OR($L69="",$J69=""),"",IF($J69&gt;0,ROUND($L69*Multa+$L69*Juros/30*$J69,2),0))</f>
        <v>0</v>
      </c>
      <c r="N69" s="22">
        <f>IF($L69="","",IF($L69&lt;=0.005,0,$L69+N($M69)))</f>
        <v>0</v>
      </c>
      <c r="O69" s="23">
        <f>IF(OR($I69="Vencido",$I69="Vencido (parcial)"),"Olá, "&amp;$A69&amp;"! Consta em aberto '"&amp;$B69&amp;"' com vencimento em "&amp;DAY($D69)&amp;"/"&amp;MONTH($D69)&amp;"/"&amp;YEAR($D69)&amp;", no valor de R$ "&amp;FIXED($N69,2)&amp;" (com multa e juros). Podemos ajudar a regularizar hoje? Obrigado!",IF($I69="Vence hoje","Olá, "&amp;$A69&amp;"! Lembrete: '"&amp;$B69&amp;"' vence hoje, no valor de R$ "&amp;FIXED($L69,2)&amp;". Obrigado!",""))</f>
        <v>0</v>
      </c>
    </row>
    <row r="70" spans="1:15">
      <c r="A70" s="13"/>
      <c r="B70" s="13"/>
      <c r="C70" s="17"/>
      <c r="D70" s="17"/>
      <c r="E70" s="18"/>
      <c r="F70" s="17"/>
      <c r="G70" s="18"/>
      <c r="H70" s="13"/>
      <c r="I70" s="19">
        <f>IF($E70="","",IF($L70&lt;=0.005,"Pago",IF($D70="","Sem vencimento",IF($D70&lt;Hoje,IF(N($G70)&gt;0,"Vencido (parcial)","Vencido"),IF($D70=Hoje,"Vence hoje","A vencer")))))</f>
        <v>0</v>
      </c>
      <c r="J70" s="20">
        <f>IF(OR($E70="",$D70=""),"",IF(AND($L70&gt;0.005,$D70&lt;Hoje),Hoje-$D70,0))</f>
        <v>0</v>
      </c>
      <c r="K70" s="20">
        <f>IF($J70="","",IF($L70&lt;=0.005,"Pago",IF($J70&lt;=0,"A vencer",IF($J70&lt;=15,"1-15 dias",IF($J70&lt;=30,"16-30 dias",IF($J70&lt;=60,"31-60 dias","Mais de 60 dias"))))))</f>
        <v>0</v>
      </c>
      <c r="L70" s="21">
        <f>IF($E70="","",MAX(0,$E70-N($G70)))</f>
        <v>0</v>
      </c>
      <c r="M70" s="21">
        <f>IF(OR($L70="",$J70=""),"",IF($J70&gt;0,ROUND($L70*Multa+$L70*Juros/30*$J70,2),0))</f>
        <v>0</v>
      </c>
      <c r="N70" s="22">
        <f>IF($L70="","",IF($L70&lt;=0.005,0,$L70+N($M70)))</f>
        <v>0</v>
      </c>
      <c r="O70" s="23">
        <f>IF(OR($I70="Vencido",$I70="Vencido (parcial)"),"Olá, "&amp;$A70&amp;"! Consta em aberto '"&amp;$B70&amp;"' com vencimento em "&amp;DAY($D70)&amp;"/"&amp;MONTH($D70)&amp;"/"&amp;YEAR($D70)&amp;", no valor de R$ "&amp;FIXED($N70,2)&amp;" (com multa e juros). Podemos ajudar a regularizar hoje? Obrigado!",IF($I70="Vence hoje","Olá, "&amp;$A70&amp;"! Lembrete: '"&amp;$B70&amp;"' vence hoje, no valor de R$ "&amp;FIXED($L70,2)&amp;". Obrigado!",""))</f>
        <v>0</v>
      </c>
    </row>
    <row r="71" spans="1:15">
      <c r="A71" s="13"/>
      <c r="B71" s="13"/>
      <c r="C71" s="17"/>
      <c r="D71" s="17"/>
      <c r="E71" s="18"/>
      <c r="F71" s="17"/>
      <c r="G71" s="18"/>
      <c r="H71" s="13"/>
      <c r="I71" s="19">
        <f>IF($E71="","",IF($L71&lt;=0.005,"Pago",IF($D71="","Sem vencimento",IF($D71&lt;Hoje,IF(N($G71)&gt;0,"Vencido (parcial)","Vencido"),IF($D71=Hoje,"Vence hoje","A vencer")))))</f>
        <v>0</v>
      </c>
      <c r="J71" s="20">
        <f>IF(OR($E71="",$D71=""),"",IF(AND($L71&gt;0.005,$D71&lt;Hoje),Hoje-$D71,0))</f>
        <v>0</v>
      </c>
      <c r="K71" s="20">
        <f>IF($J71="","",IF($L71&lt;=0.005,"Pago",IF($J71&lt;=0,"A vencer",IF($J71&lt;=15,"1-15 dias",IF($J71&lt;=30,"16-30 dias",IF($J71&lt;=60,"31-60 dias","Mais de 60 dias"))))))</f>
        <v>0</v>
      </c>
      <c r="L71" s="21">
        <f>IF($E71="","",MAX(0,$E71-N($G71)))</f>
        <v>0</v>
      </c>
      <c r="M71" s="21">
        <f>IF(OR($L71="",$J71=""),"",IF($J71&gt;0,ROUND($L71*Multa+$L71*Juros/30*$J71,2),0))</f>
        <v>0</v>
      </c>
      <c r="N71" s="22">
        <f>IF($L71="","",IF($L71&lt;=0.005,0,$L71+N($M71)))</f>
        <v>0</v>
      </c>
      <c r="O71" s="23">
        <f>IF(OR($I71="Vencido",$I71="Vencido (parcial)"),"Olá, "&amp;$A71&amp;"! Consta em aberto '"&amp;$B71&amp;"' com vencimento em "&amp;DAY($D71)&amp;"/"&amp;MONTH($D71)&amp;"/"&amp;YEAR($D71)&amp;", no valor de R$ "&amp;FIXED($N71,2)&amp;" (com multa e juros). Podemos ajudar a regularizar hoje? Obrigado!",IF($I71="Vence hoje","Olá, "&amp;$A71&amp;"! Lembrete: '"&amp;$B71&amp;"' vence hoje, no valor de R$ "&amp;FIXED($L71,2)&amp;". Obrigado!",""))</f>
        <v>0</v>
      </c>
    </row>
    <row r="72" spans="1:15">
      <c r="A72" s="13"/>
      <c r="B72" s="13"/>
      <c r="C72" s="17"/>
      <c r="D72" s="17"/>
      <c r="E72" s="18"/>
      <c r="F72" s="17"/>
      <c r="G72" s="18"/>
      <c r="H72" s="13"/>
      <c r="I72" s="19">
        <f>IF($E72="","",IF($L72&lt;=0.005,"Pago",IF($D72="","Sem vencimento",IF($D72&lt;Hoje,IF(N($G72)&gt;0,"Vencido (parcial)","Vencido"),IF($D72=Hoje,"Vence hoje","A vencer")))))</f>
        <v>0</v>
      </c>
      <c r="J72" s="20">
        <f>IF(OR($E72="",$D72=""),"",IF(AND($L72&gt;0.005,$D72&lt;Hoje),Hoje-$D72,0))</f>
        <v>0</v>
      </c>
      <c r="K72" s="20">
        <f>IF($J72="","",IF($L72&lt;=0.005,"Pago",IF($J72&lt;=0,"A vencer",IF($J72&lt;=15,"1-15 dias",IF($J72&lt;=30,"16-30 dias",IF($J72&lt;=60,"31-60 dias","Mais de 60 dias"))))))</f>
        <v>0</v>
      </c>
      <c r="L72" s="21">
        <f>IF($E72="","",MAX(0,$E72-N($G72)))</f>
        <v>0</v>
      </c>
      <c r="M72" s="21">
        <f>IF(OR($L72="",$J72=""),"",IF($J72&gt;0,ROUND($L72*Multa+$L72*Juros/30*$J72,2),0))</f>
        <v>0</v>
      </c>
      <c r="N72" s="22">
        <f>IF($L72="","",IF($L72&lt;=0.005,0,$L72+N($M72)))</f>
        <v>0</v>
      </c>
      <c r="O72" s="23">
        <f>IF(OR($I72="Vencido",$I72="Vencido (parcial)"),"Olá, "&amp;$A72&amp;"! Consta em aberto '"&amp;$B72&amp;"' com vencimento em "&amp;DAY($D72)&amp;"/"&amp;MONTH($D72)&amp;"/"&amp;YEAR($D72)&amp;", no valor de R$ "&amp;FIXED($N72,2)&amp;" (com multa e juros). Podemos ajudar a regularizar hoje? Obrigado!",IF($I72="Vence hoje","Olá, "&amp;$A72&amp;"! Lembrete: '"&amp;$B72&amp;"' vence hoje, no valor de R$ "&amp;FIXED($L72,2)&amp;". Obrigado!",""))</f>
        <v>0</v>
      </c>
    </row>
    <row r="73" spans="1:15">
      <c r="A73" s="13"/>
      <c r="B73" s="13"/>
      <c r="C73" s="17"/>
      <c r="D73" s="17"/>
      <c r="E73" s="18"/>
      <c r="F73" s="17"/>
      <c r="G73" s="18"/>
      <c r="H73" s="13"/>
      <c r="I73" s="19">
        <f>IF($E73="","",IF($L73&lt;=0.005,"Pago",IF($D73="","Sem vencimento",IF($D73&lt;Hoje,IF(N($G73)&gt;0,"Vencido (parcial)","Vencido"),IF($D73=Hoje,"Vence hoje","A vencer")))))</f>
        <v>0</v>
      </c>
      <c r="J73" s="20">
        <f>IF(OR($E73="",$D73=""),"",IF(AND($L73&gt;0.005,$D73&lt;Hoje),Hoje-$D73,0))</f>
        <v>0</v>
      </c>
      <c r="K73" s="20">
        <f>IF($J73="","",IF($L73&lt;=0.005,"Pago",IF($J73&lt;=0,"A vencer",IF($J73&lt;=15,"1-15 dias",IF($J73&lt;=30,"16-30 dias",IF($J73&lt;=60,"31-60 dias","Mais de 60 dias"))))))</f>
        <v>0</v>
      </c>
      <c r="L73" s="21">
        <f>IF($E73="","",MAX(0,$E73-N($G73)))</f>
        <v>0</v>
      </c>
      <c r="M73" s="21">
        <f>IF(OR($L73="",$J73=""),"",IF($J73&gt;0,ROUND($L73*Multa+$L73*Juros/30*$J73,2),0))</f>
        <v>0</v>
      </c>
      <c r="N73" s="22">
        <f>IF($L73="","",IF($L73&lt;=0.005,0,$L73+N($M73)))</f>
        <v>0</v>
      </c>
      <c r="O73" s="23">
        <f>IF(OR($I73="Vencido",$I73="Vencido (parcial)"),"Olá, "&amp;$A73&amp;"! Consta em aberto '"&amp;$B73&amp;"' com vencimento em "&amp;DAY($D73)&amp;"/"&amp;MONTH($D73)&amp;"/"&amp;YEAR($D73)&amp;", no valor de R$ "&amp;FIXED($N73,2)&amp;" (com multa e juros). Podemos ajudar a regularizar hoje? Obrigado!",IF($I73="Vence hoje","Olá, "&amp;$A73&amp;"! Lembrete: '"&amp;$B73&amp;"' vence hoje, no valor de R$ "&amp;FIXED($L73,2)&amp;". Obrigado!",""))</f>
        <v>0</v>
      </c>
    </row>
    <row r="74" spans="1:15">
      <c r="A74" s="13"/>
      <c r="B74" s="13"/>
      <c r="C74" s="17"/>
      <c r="D74" s="17"/>
      <c r="E74" s="18"/>
      <c r="F74" s="17"/>
      <c r="G74" s="18"/>
      <c r="H74" s="13"/>
      <c r="I74" s="19">
        <f>IF($E74="","",IF($L74&lt;=0.005,"Pago",IF($D74="","Sem vencimento",IF($D74&lt;Hoje,IF(N($G74)&gt;0,"Vencido (parcial)","Vencido"),IF($D74=Hoje,"Vence hoje","A vencer")))))</f>
        <v>0</v>
      </c>
      <c r="J74" s="20">
        <f>IF(OR($E74="",$D74=""),"",IF(AND($L74&gt;0.005,$D74&lt;Hoje),Hoje-$D74,0))</f>
        <v>0</v>
      </c>
      <c r="K74" s="20">
        <f>IF($J74="","",IF($L74&lt;=0.005,"Pago",IF($J74&lt;=0,"A vencer",IF($J74&lt;=15,"1-15 dias",IF($J74&lt;=30,"16-30 dias",IF($J74&lt;=60,"31-60 dias","Mais de 60 dias"))))))</f>
        <v>0</v>
      </c>
      <c r="L74" s="21">
        <f>IF($E74="","",MAX(0,$E74-N($G74)))</f>
        <v>0</v>
      </c>
      <c r="M74" s="21">
        <f>IF(OR($L74="",$J74=""),"",IF($J74&gt;0,ROUND($L74*Multa+$L74*Juros/30*$J74,2),0))</f>
        <v>0</v>
      </c>
      <c r="N74" s="22">
        <f>IF($L74="","",IF($L74&lt;=0.005,0,$L74+N($M74)))</f>
        <v>0</v>
      </c>
      <c r="O74" s="23">
        <f>IF(OR($I74="Vencido",$I74="Vencido (parcial)"),"Olá, "&amp;$A74&amp;"! Consta em aberto '"&amp;$B74&amp;"' com vencimento em "&amp;DAY($D74)&amp;"/"&amp;MONTH($D74)&amp;"/"&amp;YEAR($D74)&amp;", no valor de R$ "&amp;FIXED($N74,2)&amp;" (com multa e juros). Podemos ajudar a regularizar hoje? Obrigado!",IF($I74="Vence hoje","Olá, "&amp;$A74&amp;"! Lembrete: '"&amp;$B74&amp;"' vence hoje, no valor de R$ "&amp;FIXED($L74,2)&amp;". Obrigado!",""))</f>
        <v>0</v>
      </c>
    </row>
    <row r="75" spans="1:15">
      <c r="A75" s="13"/>
      <c r="B75" s="13"/>
      <c r="C75" s="17"/>
      <c r="D75" s="17"/>
      <c r="E75" s="18"/>
      <c r="F75" s="17"/>
      <c r="G75" s="18"/>
      <c r="H75" s="13"/>
      <c r="I75" s="19">
        <f>IF($E75="","",IF($L75&lt;=0.005,"Pago",IF($D75="","Sem vencimento",IF($D75&lt;Hoje,IF(N($G75)&gt;0,"Vencido (parcial)","Vencido"),IF($D75=Hoje,"Vence hoje","A vencer")))))</f>
        <v>0</v>
      </c>
      <c r="J75" s="20">
        <f>IF(OR($E75="",$D75=""),"",IF(AND($L75&gt;0.005,$D75&lt;Hoje),Hoje-$D75,0))</f>
        <v>0</v>
      </c>
      <c r="K75" s="20">
        <f>IF($J75="","",IF($L75&lt;=0.005,"Pago",IF($J75&lt;=0,"A vencer",IF($J75&lt;=15,"1-15 dias",IF($J75&lt;=30,"16-30 dias",IF($J75&lt;=60,"31-60 dias","Mais de 60 dias"))))))</f>
        <v>0</v>
      </c>
      <c r="L75" s="21">
        <f>IF($E75="","",MAX(0,$E75-N($G75)))</f>
        <v>0</v>
      </c>
      <c r="M75" s="21">
        <f>IF(OR($L75="",$J75=""),"",IF($J75&gt;0,ROUND($L75*Multa+$L75*Juros/30*$J75,2),0))</f>
        <v>0</v>
      </c>
      <c r="N75" s="22">
        <f>IF($L75="","",IF($L75&lt;=0.005,0,$L75+N($M75)))</f>
        <v>0</v>
      </c>
      <c r="O75" s="23">
        <f>IF(OR($I75="Vencido",$I75="Vencido (parcial)"),"Olá, "&amp;$A75&amp;"! Consta em aberto '"&amp;$B75&amp;"' com vencimento em "&amp;DAY($D75)&amp;"/"&amp;MONTH($D75)&amp;"/"&amp;YEAR($D75)&amp;", no valor de R$ "&amp;FIXED($N75,2)&amp;" (com multa e juros). Podemos ajudar a regularizar hoje? Obrigado!",IF($I75="Vence hoje","Olá, "&amp;$A75&amp;"! Lembrete: '"&amp;$B75&amp;"' vence hoje, no valor de R$ "&amp;FIXED($L75,2)&amp;". Obrigado!",""))</f>
        <v>0</v>
      </c>
    </row>
    <row r="76" spans="1:15">
      <c r="A76" s="13"/>
      <c r="B76" s="13"/>
      <c r="C76" s="17"/>
      <c r="D76" s="17"/>
      <c r="E76" s="18"/>
      <c r="F76" s="17"/>
      <c r="G76" s="18"/>
      <c r="H76" s="13"/>
      <c r="I76" s="19">
        <f>IF($E76="","",IF($L76&lt;=0.005,"Pago",IF($D76="","Sem vencimento",IF($D76&lt;Hoje,IF(N($G76)&gt;0,"Vencido (parcial)","Vencido"),IF($D76=Hoje,"Vence hoje","A vencer")))))</f>
        <v>0</v>
      </c>
      <c r="J76" s="20">
        <f>IF(OR($E76="",$D76=""),"",IF(AND($L76&gt;0.005,$D76&lt;Hoje),Hoje-$D76,0))</f>
        <v>0</v>
      </c>
      <c r="K76" s="20">
        <f>IF($J76="","",IF($L76&lt;=0.005,"Pago",IF($J76&lt;=0,"A vencer",IF($J76&lt;=15,"1-15 dias",IF($J76&lt;=30,"16-30 dias",IF($J76&lt;=60,"31-60 dias","Mais de 60 dias"))))))</f>
        <v>0</v>
      </c>
      <c r="L76" s="21">
        <f>IF($E76="","",MAX(0,$E76-N($G76)))</f>
        <v>0</v>
      </c>
      <c r="M76" s="21">
        <f>IF(OR($L76="",$J76=""),"",IF($J76&gt;0,ROUND($L76*Multa+$L76*Juros/30*$J76,2),0))</f>
        <v>0</v>
      </c>
      <c r="N76" s="22">
        <f>IF($L76="","",IF($L76&lt;=0.005,0,$L76+N($M76)))</f>
        <v>0</v>
      </c>
      <c r="O76" s="23">
        <f>IF(OR($I76="Vencido",$I76="Vencido (parcial)"),"Olá, "&amp;$A76&amp;"! Consta em aberto '"&amp;$B76&amp;"' com vencimento em "&amp;DAY($D76)&amp;"/"&amp;MONTH($D76)&amp;"/"&amp;YEAR($D76)&amp;", no valor de R$ "&amp;FIXED($N76,2)&amp;" (com multa e juros). Podemos ajudar a regularizar hoje? Obrigado!",IF($I76="Vence hoje","Olá, "&amp;$A76&amp;"! Lembrete: '"&amp;$B76&amp;"' vence hoje, no valor de R$ "&amp;FIXED($L76,2)&amp;". Obrigado!",""))</f>
        <v>0</v>
      </c>
    </row>
    <row r="77" spans="1:15">
      <c r="A77" s="13"/>
      <c r="B77" s="13"/>
      <c r="C77" s="17"/>
      <c r="D77" s="17"/>
      <c r="E77" s="18"/>
      <c r="F77" s="17"/>
      <c r="G77" s="18"/>
      <c r="H77" s="13"/>
      <c r="I77" s="19">
        <f>IF($E77="","",IF($L77&lt;=0.005,"Pago",IF($D77="","Sem vencimento",IF($D77&lt;Hoje,IF(N($G77)&gt;0,"Vencido (parcial)","Vencido"),IF($D77=Hoje,"Vence hoje","A vencer")))))</f>
        <v>0</v>
      </c>
      <c r="J77" s="20">
        <f>IF(OR($E77="",$D77=""),"",IF(AND($L77&gt;0.005,$D77&lt;Hoje),Hoje-$D77,0))</f>
        <v>0</v>
      </c>
      <c r="K77" s="20">
        <f>IF($J77="","",IF($L77&lt;=0.005,"Pago",IF($J77&lt;=0,"A vencer",IF($J77&lt;=15,"1-15 dias",IF($J77&lt;=30,"16-30 dias",IF($J77&lt;=60,"31-60 dias","Mais de 60 dias"))))))</f>
        <v>0</v>
      </c>
      <c r="L77" s="21">
        <f>IF($E77="","",MAX(0,$E77-N($G77)))</f>
        <v>0</v>
      </c>
      <c r="M77" s="21">
        <f>IF(OR($L77="",$J77=""),"",IF($J77&gt;0,ROUND($L77*Multa+$L77*Juros/30*$J77,2),0))</f>
        <v>0</v>
      </c>
      <c r="N77" s="22">
        <f>IF($L77="","",IF($L77&lt;=0.005,0,$L77+N($M77)))</f>
        <v>0</v>
      </c>
      <c r="O77" s="23">
        <f>IF(OR($I77="Vencido",$I77="Vencido (parcial)"),"Olá, "&amp;$A77&amp;"! Consta em aberto '"&amp;$B77&amp;"' com vencimento em "&amp;DAY($D77)&amp;"/"&amp;MONTH($D77)&amp;"/"&amp;YEAR($D77)&amp;", no valor de R$ "&amp;FIXED($N77,2)&amp;" (com multa e juros). Podemos ajudar a regularizar hoje? Obrigado!",IF($I77="Vence hoje","Olá, "&amp;$A77&amp;"! Lembrete: '"&amp;$B77&amp;"' vence hoje, no valor de R$ "&amp;FIXED($L77,2)&amp;". Obrigado!",""))</f>
        <v>0</v>
      </c>
    </row>
    <row r="78" spans="1:15">
      <c r="A78" s="13"/>
      <c r="B78" s="13"/>
      <c r="C78" s="17"/>
      <c r="D78" s="17"/>
      <c r="E78" s="18"/>
      <c r="F78" s="17"/>
      <c r="G78" s="18"/>
      <c r="H78" s="13"/>
      <c r="I78" s="19">
        <f>IF($E78="","",IF($L78&lt;=0.005,"Pago",IF($D78="","Sem vencimento",IF($D78&lt;Hoje,IF(N($G78)&gt;0,"Vencido (parcial)","Vencido"),IF($D78=Hoje,"Vence hoje","A vencer")))))</f>
        <v>0</v>
      </c>
      <c r="J78" s="20">
        <f>IF(OR($E78="",$D78=""),"",IF(AND($L78&gt;0.005,$D78&lt;Hoje),Hoje-$D78,0))</f>
        <v>0</v>
      </c>
      <c r="K78" s="20">
        <f>IF($J78="","",IF($L78&lt;=0.005,"Pago",IF($J78&lt;=0,"A vencer",IF($J78&lt;=15,"1-15 dias",IF($J78&lt;=30,"16-30 dias",IF($J78&lt;=60,"31-60 dias","Mais de 60 dias"))))))</f>
        <v>0</v>
      </c>
      <c r="L78" s="21">
        <f>IF($E78="","",MAX(0,$E78-N($G78)))</f>
        <v>0</v>
      </c>
      <c r="M78" s="21">
        <f>IF(OR($L78="",$J78=""),"",IF($J78&gt;0,ROUND($L78*Multa+$L78*Juros/30*$J78,2),0))</f>
        <v>0</v>
      </c>
      <c r="N78" s="22">
        <f>IF($L78="","",IF($L78&lt;=0.005,0,$L78+N($M78)))</f>
        <v>0</v>
      </c>
      <c r="O78" s="23">
        <f>IF(OR($I78="Vencido",$I78="Vencido (parcial)"),"Olá, "&amp;$A78&amp;"! Consta em aberto '"&amp;$B78&amp;"' com vencimento em "&amp;DAY($D78)&amp;"/"&amp;MONTH($D78)&amp;"/"&amp;YEAR($D78)&amp;", no valor de R$ "&amp;FIXED($N78,2)&amp;" (com multa e juros). Podemos ajudar a regularizar hoje? Obrigado!",IF($I78="Vence hoje","Olá, "&amp;$A78&amp;"! Lembrete: '"&amp;$B78&amp;"' vence hoje, no valor de R$ "&amp;FIXED($L78,2)&amp;". Obrigado!",""))</f>
        <v>0</v>
      </c>
    </row>
    <row r="79" spans="1:15">
      <c r="A79" s="13"/>
      <c r="B79" s="13"/>
      <c r="C79" s="17"/>
      <c r="D79" s="17"/>
      <c r="E79" s="18"/>
      <c r="F79" s="17"/>
      <c r="G79" s="18"/>
      <c r="H79" s="13"/>
      <c r="I79" s="19">
        <f>IF($E79="","",IF($L79&lt;=0.005,"Pago",IF($D79="","Sem vencimento",IF($D79&lt;Hoje,IF(N($G79)&gt;0,"Vencido (parcial)","Vencido"),IF($D79=Hoje,"Vence hoje","A vencer")))))</f>
        <v>0</v>
      </c>
      <c r="J79" s="20">
        <f>IF(OR($E79="",$D79=""),"",IF(AND($L79&gt;0.005,$D79&lt;Hoje),Hoje-$D79,0))</f>
        <v>0</v>
      </c>
      <c r="K79" s="20">
        <f>IF($J79="","",IF($L79&lt;=0.005,"Pago",IF($J79&lt;=0,"A vencer",IF($J79&lt;=15,"1-15 dias",IF($J79&lt;=30,"16-30 dias",IF($J79&lt;=60,"31-60 dias","Mais de 60 dias"))))))</f>
        <v>0</v>
      </c>
      <c r="L79" s="21">
        <f>IF($E79="","",MAX(0,$E79-N($G79)))</f>
        <v>0</v>
      </c>
      <c r="M79" s="21">
        <f>IF(OR($L79="",$J79=""),"",IF($J79&gt;0,ROUND($L79*Multa+$L79*Juros/30*$J79,2),0))</f>
        <v>0</v>
      </c>
      <c r="N79" s="22">
        <f>IF($L79="","",IF($L79&lt;=0.005,0,$L79+N($M79)))</f>
        <v>0</v>
      </c>
      <c r="O79" s="23">
        <f>IF(OR($I79="Vencido",$I79="Vencido (parcial)"),"Olá, "&amp;$A79&amp;"! Consta em aberto '"&amp;$B79&amp;"' com vencimento em "&amp;DAY($D79)&amp;"/"&amp;MONTH($D79)&amp;"/"&amp;YEAR($D79)&amp;", no valor de R$ "&amp;FIXED($N79,2)&amp;" (com multa e juros). Podemos ajudar a regularizar hoje? Obrigado!",IF($I79="Vence hoje","Olá, "&amp;$A79&amp;"! Lembrete: '"&amp;$B79&amp;"' vence hoje, no valor de R$ "&amp;FIXED($L79,2)&amp;". Obrigado!",""))</f>
        <v>0</v>
      </c>
    </row>
    <row r="80" spans="1:15">
      <c r="A80" s="13"/>
      <c r="B80" s="13"/>
      <c r="C80" s="17"/>
      <c r="D80" s="17"/>
      <c r="E80" s="18"/>
      <c r="F80" s="17"/>
      <c r="G80" s="18"/>
      <c r="H80" s="13"/>
      <c r="I80" s="19">
        <f>IF($E80="","",IF($L80&lt;=0.005,"Pago",IF($D80="","Sem vencimento",IF($D80&lt;Hoje,IF(N($G80)&gt;0,"Vencido (parcial)","Vencido"),IF($D80=Hoje,"Vence hoje","A vencer")))))</f>
        <v>0</v>
      </c>
      <c r="J80" s="20">
        <f>IF(OR($E80="",$D80=""),"",IF(AND($L80&gt;0.005,$D80&lt;Hoje),Hoje-$D80,0))</f>
        <v>0</v>
      </c>
      <c r="K80" s="20">
        <f>IF($J80="","",IF($L80&lt;=0.005,"Pago",IF($J80&lt;=0,"A vencer",IF($J80&lt;=15,"1-15 dias",IF($J80&lt;=30,"16-30 dias",IF($J80&lt;=60,"31-60 dias","Mais de 60 dias"))))))</f>
        <v>0</v>
      </c>
      <c r="L80" s="21">
        <f>IF($E80="","",MAX(0,$E80-N($G80)))</f>
        <v>0</v>
      </c>
      <c r="M80" s="21">
        <f>IF(OR($L80="",$J80=""),"",IF($J80&gt;0,ROUND($L80*Multa+$L80*Juros/30*$J80,2),0))</f>
        <v>0</v>
      </c>
      <c r="N80" s="22">
        <f>IF($L80="","",IF($L80&lt;=0.005,0,$L80+N($M80)))</f>
        <v>0</v>
      </c>
      <c r="O80" s="23">
        <f>IF(OR($I80="Vencido",$I80="Vencido (parcial)"),"Olá, "&amp;$A80&amp;"! Consta em aberto '"&amp;$B80&amp;"' com vencimento em "&amp;DAY($D80)&amp;"/"&amp;MONTH($D80)&amp;"/"&amp;YEAR($D80)&amp;", no valor de R$ "&amp;FIXED($N80,2)&amp;" (com multa e juros). Podemos ajudar a regularizar hoje? Obrigado!",IF($I80="Vence hoje","Olá, "&amp;$A80&amp;"! Lembrete: '"&amp;$B80&amp;"' vence hoje, no valor de R$ "&amp;FIXED($L80,2)&amp;". Obrigado!",""))</f>
        <v>0</v>
      </c>
    </row>
    <row r="81" spans="1:15">
      <c r="A81" s="13"/>
      <c r="B81" s="13"/>
      <c r="C81" s="17"/>
      <c r="D81" s="17"/>
      <c r="E81" s="18"/>
      <c r="F81" s="17"/>
      <c r="G81" s="18"/>
      <c r="H81" s="13"/>
      <c r="I81" s="19">
        <f>IF($E81="","",IF($L81&lt;=0.005,"Pago",IF($D81="","Sem vencimento",IF($D81&lt;Hoje,IF(N($G81)&gt;0,"Vencido (parcial)","Vencido"),IF($D81=Hoje,"Vence hoje","A vencer")))))</f>
        <v>0</v>
      </c>
      <c r="J81" s="20">
        <f>IF(OR($E81="",$D81=""),"",IF(AND($L81&gt;0.005,$D81&lt;Hoje),Hoje-$D81,0))</f>
        <v>0</v>
      </c>
      <c r="K81" s="20">
        <f>IF($J81="","",IF($L81&lt;=0.005,"Pago",IF($J81&lt;=0,"A vencer",IF($J81&lt;=15,"1-15 dias",IF($J81&lt;=30,"16-30 dias",IF($J81&lt;=60,"31-60 dias","Mais de 60 dias"))))))</f>
        <v>0</v>
      </c>
      <c r="L81" s="21">
        <f>IF($E81="","",MAX(0,$E81-N($G81)))</f>
        <v>0</v>
      </c>
      <c r="M81" s="21">
        <f>IF(OR($L81="",$J81=""),"",IF($J81&gt;0,ROUND($L81*Multa+$L81*Juros/30*$J81,2),0))</f>
        <v>0</v>
      </c>
      <c r="N81" s="22">
        <f>IF($L81="","",IF($L81&lt;=0.005,0,$L81+N($M81)))</f>
        <v>0</v>
      </c>
      <c r="O81" s="23">
        <f>IF(OR($I81="Vencido",$I81="Vencido (parcial)"),"Olá, "&amp;$A81&amp;"! Consta em aberto '"&amp;$B81&amp;"' com vencimento em "&amp;DAY($D81)&amp;"/"&amp;MONTH($D81)&amp;"/"&amp;YEAR($D81)&amp;", no valor de R$ "&amp;FIXED($N81,2)&amp;" (com multa e juros). Podemos ajudar a regularizar hoje? Obrigado!",IF($I81="Vence hoje","Olá, "&amp;$A81&amp;"! Lembrete: '"&amp;$B81&amp;"' vence hoje, no valor de R$ "&amp;FIXED($L81,2)&amp;". Obrigado!",""))</f>
        <v>0</v>
      </c>
    </row>
    <row r="82" spans="1:15">
      <c r="A82" s="13"/>
      <c r="B82" s="13"/>
      <c r="C82" s="17"/>
      <c r="D82" s="17"/>
      <c r="E82" s="18"/>
      <c r="F82" s="17"/>
      <c r="G82" s="18"/>
      <c r="H82" s="13"/>
      <c r="I82" s="19">
        <f>IF($E82="","",IF($L82&lt;=0.005,"Pago",IF($D82="","Sem vencimento",IF($D82&lt;Hoje,IF(N($G82)&gt;0,"Vencido (parcial)","Vencido"),IF($D82=Hoje,"Vence hoje","A vencer")))))</f>
        <v>0</v>
      </c>
      <c r="J82" s="20">
        <f>IF(OR($E82="",$D82=""),"",IF(AND($L82&gt;0.005,$D82&lt;Hoje),Hoje-$D82,0))</f>
        <v>0</v>
      </c>
      <c r="K82" s="20">
        <f>IF($J82="","",IF($L82&lt;=0.005,"Pago",IF($J82&lt;=0,"A vencer",IF($J82&lt;=15,"1-15 dias",IF($J82&lt;=30,"16-30 dias",IF($J82&lt;=60,"31-60 dias","Mais de 60 dias"))))))</f>
        <v>0</v>
      </c>
      <c r="L82" s="21">
        <f>IF($E82="","",MAX(0,$E82-N($G82)))</f>
        <v>0</v>
      </c>
      <c r="M82" s="21">
        <f>IF(OR($L82="",$J82=""),"",IF($J82&gt;0,ROUND($L82*Multa+$L82*Juros/30*$J82,2),0))</f>
        <v>0</v>
      </c>
      <c r="N82" s="22">
        <f>IF($L82="","",IF($L82&lt;=0.005,0,$L82+N($M82)))</f>
        <v>0</v>
      </c>
      <c r="O82" s="23">
        <f>IF(OR($I82="Vencido",$I82="Vencido (parcial)"),"Olá, "&amp;$A82&amp;"! Consta em aberto '"&amp;$B82&amp;"' com vencimento em "&amp;DAY($D82)&amp;"/"&amp;MONTH($D82)&amp;"/"&amp;YEAR($D82)&amp;", no valor de R$ "&amp;FIXED($N82,2)&amp;" (com multa e juros). Podemos ajudar a regularizar hoje? Obrigado!",IF($I82="Vence hoje","Olá, "&amp;$A82&amp;"! Lembrete: '"&amp;$B82&amp;"' vence hoje, no valor de R$ "&amp;FIXED($L82,2)&amp;". Obrigado!",""))</f>
        <v>0</v>
      </c>
    </row>
    <row r="83" spans="1:15">
      <c r="A83" s="13"/>
      <c r="B83" s="13"/>
      <c r="C83" s="17"/>
      <c r="D83" s="17"/>
      <c r="E83" s="18"/>
      <c r="F83" s="17"/>
      <c r="G83" s="18"/>
      <c r="H83" s="13"/>
      <c r="I83" s="19">
        <f>IF($E83="","",IF($L83&lt;=0.005,"Pago",IF($D83="","Sem vencimento",IF($D83&lt;Hoje,IF(N($G83)&gt;0,"Vencido (parcial)","Vencido"),IF($D83=Hoje,"Vence hoje","A vencer")))))</f>
        <v>0</v>
      </c>
      <c r="J83" s="20">
        <f>IF(OR($E83="",$D83=""),"",IF(AND($L83&gt;0.005,$D83&lt;Hoje),Hoje-$D83,0))</f>
        <v>0</v>
      </c>
      <c r="K83" s="20">
        <f>IF($J83="","",IF($L83&lt;=0.005,"Pago",IF($J83&lt;=0,"A vencer",IF($J83&lt;=15,"1-15 dias",IF($J83&lt;=30,"16-30 dias",IF($J83&lt;=60,"31-60 dias","Mais de 60 dias"))))))</f>
        <v>0</v>
      </c>
      <c r="L83" s="21">
        <f>IF($E83="","",MAX(0,$E83-N($G83)))</f>
        <v>0</v>
      </c>
      <c r="M83" s="21">
        <f>IF(OR($L83="",$J83=""),"",IF($J83&gt;0,ROUND($L83*Multa+$L83*Juros/30*$J83,2),0))</f>
        <v>0</v>
      </c>
      <c r="N83" s="22">
        <f>IF($L83="","",IF($L83&lt;=0.005,0,$L83+N($M83)))</f>
        <v>0</v>
      </c>
      <c r="O83" s="23">
        <f>IF(OR($I83="Vencido",$I83="Vencido (parcial)"),"Olá, "&amp;$A83&amp;"! Consta em aberto '"&amp;$B83&amp;"' com vencimento em "&amp;DAY($D83)&amp;"/"&amp;MONTH($D83)&amp;"/"&amp;YEAR($D83)&amp;", no valor de R$ "&amp;FIXED($N83,2)&amp;" (com multa e juros). Podemos ajudar a regularizar hoje? Obrigado!",IF($I83="Vence hoje","Olá, "&amp;$A83&amp;"! Lembrete: '"&amp;$B83&amp;"' vence hoje, no valor de R$ "&amp;FIXED($L83,2)&amp;". Obrigado!",""))</f>
        <v>0</v>
      </c>
    </row>
    <row r="84" spans="1:15">
      <c r="A84" s="13"/>
      <c r="B84" s="13"/>
      <c r="C84" s="17"/>
      <c r="D84" s="17"/>
      <c r="E84" s="18"/>
      <c r="F84" s="17"/>
      <c r="G84" s="18"/>
      <c r="H84" s="13"/>
      <c r="I84" s="19">
        <f>IF($E84="","",IF($L84&lt;=0.005,"Pago",IF($D84="","Sem vencimento",IF($D84&lt;Hoje,IF(N($G84)&gt;0,"Vencido (parcial)","Vencido"),IF($D84=Hoje,"Vence hoje","A vencer")))))</f>
        <v>0</v>
      </c>
      <c r="J84" s="20">
        <f>IF(OR($E84="",$D84=""),"",IF(AND($L84&gt;0.005,$D84&lt;Hoje),Hoje-$D84,0))</f>
        <v>0</v>
      </c>
      <c r="K84" s="20">
        <f>IF($J84="","",IF($L84&lt;=0.005,"Pago",IF($J84&lt;=0,"A vencer",IF($J84&lt;=15,"1-15 dias",IF($J84&lt;=30,"16-30 dias",IF($J84&lt;=60,"31-60 dias","Mais de 60 dias"))))))</f>
        <v>0</v>
      </c>
      <c r="L84" s="21">
        <f>IF($E84="","",MAX(0,$E84-N($G84)))</f>
        <v>0</v>
      </c>
      <c r="M84" s="21">
        <f>IF(OR($L84="",$J84=""),"",IF($J84&gt;0,ROUND($L84*Multa+$L84*Juros/30*$J84,2),0))</f>
        <v>0</v>
      </c>
      <c r="N84" s="22">
        <f>IF($L84="","",IF($L84&lt;=0.005,0,$L84+N($M84)))</f>
        <v>0</v>
      </c>
      <c r="O84" s="23">
        <f>IF(OR($I84="Vencido",$I84="Vencido (parcial)"),"Olá, "&amp;$A84&amp;"! Consta em aberto '"&amp;$B84&amp;"' com vencimento em "&amp;DAY($D84)&amp;"/"&amp;MONTH($D84)&amp;"/"&amp;YEAR($D84)&amp;", no valor de R$ "&amp;FIXED($N84,2)&amp;" (com multa e juros). Podemos ajudar a regularizar hoje? Obrigado!",IF($I84="Vence hoje","Olá, "&amp;$A84&amp;"! Lembrete: '"&amp;$B84&amp;"' vence hoje, no valor de R$ "&amp;FIXED($L84,2)&amp;". Obrigado!",""))</f>
        <v>0</v>
      </c>
    </row>
    <row r="85" spans="1:15">
      <c r="A85" s="13"/>
      <c r="B85" s="13"/>
      <c r="C85" s="17"/>
      <c r="D85" s="17"/>
      <c r="E85" s="18"/>
      <c r="F85" s="17"/>
      <c r="G85" s="18"/>
      <c r="H85" s="13"/>
      <c r="I85" s="19">
        <f>IF($E85="","",IF($L85&lt;=0.005,"Pago",IF($D85="","Sem vencimento",IF($D85&lt;Hoje,IF(N($G85)&gt;0,"Vencido (parcial)","Vencido"),IF($D85=Hoje,"Vence hoje","A vencer")))))</f>
        <v>0</v>
      </c>
      <c r="J85" s="20">
        <f>IF(OR($E85="",$D85=""),"",IF(AND($L85&gt;0.005,$D85&lt;Hoje),Hoje-$D85,0))</f>
        <v>0</v>
      </c>
      <c r="K85" s="20">
        <f>IF($J85="","",IF($L85&lt;=0.005,"Pago",IF($J85&lt;=0,"A vencer",IF($J85&lt;=15,"1-15 dias",IF($J85&lt;=30,"16-30 dias",IF($J85&lt;=60,"31-60 dias","Mais de 60 dias"))))))</f>
        <v>0</v>
      </c>
      <c r="L85" s="21">
        <f>IF($E85="","",MAX(0,$E85-N($G85)))</f>
        <v>0</v>
      </c>
      <c r="M85" s="21">
        <f>IF(OR($L85="",$J85=""),"",IF($J85&gt;0,ROUND($L85*Multa+$L85*Juros/30*$J85,2),0))</f>
        <v>0</v>
      </c>
      <c r="N85" s="22">
        <f>IF($L85="","",IF($L85&lt;=0.005,0,$L85+N($M85)))</f>
        <v>0</v>
      </c>
      <c r="O85" s="23">
        <f>IF(OR($I85="Vencido",$I85="Vencido (parcial)"),"Olá, "&amp;$A85&amp;"! Consta em aberto '"&amp;$B85&amp;"' com vencimento em "&amp;DAY($D85)&amp;"/"&amp;MONTH($D85)&amp;"/"&amp;YEAR($D85)&amp;", no valor de R$ "&amp;FIXED($N85,2)&amp;" (com multa e juros). Podemos ajudar a regularizar hoje? Obrigado!",IF($I85="Vence hoje","Olá, "&amp;$A85&amp;"! Lembrete: '"&amp;$B85&amp;"' vence hoje, no valor de R$ "&amp;FIXED($L85,2)&amp;". Obrigado!",""))</f>
        <v>0</v>
      </c>
    </row>
    <row r="86" spans="1:15">
      <c r="A86" s="13"/>
      <c r="B86" s="13"/>
      <c r="C86" s="17"/>
      <c r="D86" s="17"/>
      <c r="E86" s="18"/>
      <c r="F86" s="17"/>
      <c r="G86" s="18"/>
      <c r="H86" s="13"/>
      <c r="I86" s="19">
        <f>IF($E86="","",IF($L86&lt;=0.005,"Pago",IF($D86="","Sem vencimento",IF($D86&lt;Hoje,IF(N($G86)&gt;0,"Vencido (parcial)","Vencido"),IF($D86=Hoje,"Vence hoje","A vencer")))))</f>
        <v>0</v>
      </c>
      <c r="J86" s="20">
        <f>IF(OR($E86="",$D86=""),"",IF(AND($L86&gt;0.005,$D86&lt;Hoje),Hoje-$D86,0))</f>
        <v>0</v>
      </c>
      <c r="K86" s="20">
        <f>IF($J86="","",IF($L86&lt;=0.005,"Pago",IF($J86&lt;=0,"A vencer",IF($J86&lt;=15,"1-15 dias",IF($J86&lt;=30,"16-30 dias",IF($J86&lt;=60,"31-60 dias","Mais de 60 dias"))))))</f>
        <v>0</v>
      </c>
      <c r="L86" s="21">
        <f>IF($E86="","",MAX(0,$E86-N($G86)))</f>
        <v>0</v>
      </c>
      <c r="M86" s="21">
        <f>IF(OR($L86="",$J86=""),"",IF($J86&gt;0,ROUND($L86*Multa+$L86*Juros/30*$J86,2),0))</f>
        <v>0</v>
      </c>
      <c r="N86" s="22">
        <f>IF($L86="","",IF($L86&lt;=0.005,0,$L86+N($M86)))</f>
        <v>0</v>
      </c>
      <c r="O86" s="23">
        <f>IF(OR($I86="Vencido",$I86="Vencido (parcial)"),"Olá, "&amp;$A86&amp;"! Consta em aberto '"&amp;$B86&amp;"' com vencimento em "&amp;DAY($D86)&amp;"/"&amp;MONTH($D86)&amp;"/"&amp;YEAR($D86)&amp;", no valor de R$ "&amp;FIXED($N86,2)&amp;" (com multa e juros). Podemos ajudar a regularizar hoje? Obrigado!",IF($I86="Vence hoje","Olá, "&amp;$A86&amp;"! Lembrete: '"&amp;$B86&amp;"' vence hoje, no valor de R$ "&amp;FIXED($L86,2)&amp;". Obrigado!",""))</f>
        <v>0</v>
      </c>
    </row>
    <row r="87" spans="1:15">
      <c r="A87" s="13"/>
      <c r="B87" s="13"/>
      <c r="C87" s="17"/>
      <c r="D87" s="17"/>
      <c r="E87" s="18"/>
      <c r="F87" s="17"/>
      <c r="G87" s="18"/>
      <c r="H87" s="13"/>
      <c r="I87" s="19">
        <f>IF($E87="","",IF($L87&lt;=0.005,"Pago",IF($D87="","Sem vencimento",IF($D87&lt;Hoje,IF(N($G87)&gt;0,"Vencido (parcial)","Vencido"),IF($D87=Hoje,"Vence hoje","A vencer")))))</f>
        <v>0</v>
      </c>
      <c r="J87" s="20">
        <f>IF(OR($E87="",$D87=""),"",IF(AND($L87&gt;0.005,$D87&lt;Hoje),Hoje-$D87,0))</f>
        <v>0</v>
      </c>
      <c r="K87" s="20">
        <f>IF($J87="","",IF($L87&lt;=0.005,"Pago",IF($J87&lt;=0,"A vencer",IF($J87&lt;=15,"1-15 dias",IF($J87&lt;=30,"16-30 dias",IF($J87&lt;=60,"31-60 dias","Mais de 60 dias"))))))</f>
        <v>0</v>
      </c>
      <c r="L87" s="21">
        <f>IF($E87="","",MAX(0,$E87-N($G87)))</f>
        <v>0</v>
      </c>
      <c r="M87" s="21">
        <f>IF(OR($L87="",$J87=""),"",IF($J87&gt;0,ROUND($L87*Multa+$L87*Juros/30*$J87,2),0))</f>
        <v>0</v>
      </c>
      <c r="N87" s="22">
        <f>IF($L87="","",IF($L87&lt;=0.005,0,$L87+N($M87)))</f>
        <v>0</v>
      </c>
      <c r="O87" s="23">
        <f>IF(OR($I87="Vencido",$I87="Vencido (parcial)"),"Olá, "&amp;$A87&amp;"! Consta em aberto '"&amp;$B87&amp;"' com vencimento em "&amp;DAY($D87)&amp;"/"&amp;MONTH($D87)&amp;"/"&amp;YEAR($D87)&amp;", no valor de R$ "&amp;FIXED($N87,2)&amp;" (com multa e juros). Podemos ajudar a regularizar hoje? Obrigado!",IF($I87="Vence hoje","Olá, "&amp;$A87&amp;"! Lembrete: '"&amp;$B87&amp;"' vence hoje, no valor de R$ "&amp;FIXED($L87,2)&amp;". Obrigado!",""))</f>
        <v>0</v>
      </c>
    </row>
    <row r="88" spans="1:15">
      <c r="A88" s="13"/>
      <c r="B88" s="13"/>
      <c r="C88" s="17"/>
      <c r="D88" s="17"/>
      <c r="E88" s="18"/>
      <c r="F88" s="17"/>
      <c r="G88" s="18"/>
      <c r="H88" s="13"/>
      <c r="I88" s="19">
        <f>IF($E88="","",IF($L88&lt;=0.005,"Pago",IF($D88="","Sem vencimento",IF($D88&lt;Hoje,IF(N($G88)&gt;0,"Vencido (parcial)","Vencido"),IF($D88=Hoje,"Vence hoje","A vencer")))))</f>
        <v>0</v>
      </c>
      <c r="J88" s="20">
        <f>IF(OR($E88="",$D88=""),"",IF(AND($L88&gt;0.005,$D88&lt;Hoje),Hoje-$D88,0))</f>
        <v>0</v>
      </c>
      <c r="K88" s="20">
        <f>IF($J88="","",IF($L88&lt;=0.005,"Pago",IF($J88&lt;=0,"A vencer",IF($J88&lt;=15,"1-15 dias",IF($J88&lt;=30,"16-30 dias",IF($J88&lt;=60,"31-60 dias","Mais de 60 dias"))))))</f>
        <v>0</v>
      </c>
      <c r="L88" s="21">
        <f>IF($E88="","",MAX(0,$E88-N($G88)))</f>
        <v>0</v>
      </c>
      <c r="M88" s="21">
        <f>IF(OR($L88="",$J88=""),"",IF($J88&gt;0,ROUND($L88*Multa+$L88*Juros/30*$J88,2),0))</f>
        <v>0</v>
      </c>
      <c r="N88" s="22">
        <f>IF($L88="","",IF($L88&lt;=0.005,0,$L88+N($M88)))</f>
        <v>0</v>
      </c>
      <c r="O88" s="23">
        <f>IF(OR($I88="Vencido",$I88="Vencido (parcial)"),"Olá, "&amp;$A88&amp;"! Consta em aberto '"&amp;$B88&amp;"' com vencimento em "&amp;DAY($D88)&amp;"/"&amp;MONTH($D88)&amp;"/"&amp;YEAR($D88)&amp;", no valor de R$ "&amp;FIXED($N88,2)&amp;" (com multa e juros). Podemos ajudar a regularizar hoje? Obrigado!",IF($I88="Vence hoje","Olá, "&amp;$A88&amp;"! Lembrete: '"&amp;$B88&amp;"' vence hoje, no valor de R$ "&amp;FIXED($L88,2)&amp;". Obrigado!",""))</f>
        <v>0</v>
      </c>
    </row>
    <row r="89" spans="1:15">
      <c r="A89" s="13"/>
      <c r="B89" s="13"/>
      <c r="C89" s="17"/>
      <c r="D89" s="17"/>
      <c r="E89" s="18"/>
      <c r="F89" s="17"/>
      <c r="G89" s="18"/>
      <c r="H89" s="13"/>
      <c r="I89" s="19">
        <f>IF($E89="","",IF($L89&lt;=0.005,"Pago",IF($D89="","Sem vencimento",IF($D89&lt;Hoje,IF(N($G89)&gt;0,"Vencido (parcial)","Vencido"),IF($D89=Hoje,"Vence hoje","A vencer")))))</f>
        <v>0</v>
      </c>
      <c r="J89" s="20">
        <f>IF(OR($E89="",$D89=""),"",IF(AND($L89&gt;0.005,$D89&lt;Hoje),Hoje-$D89,0))</f>
        <v>0</v>
      </c>
      <c r="K89" s="20">
        <f>IF($J89="","",IF($L89&lt;=0.005,"Pago",IF($J89&lt;=0,"A vencer",IF($J89&lt;=15,"1-15 dias",IF($J89&lt;=30,"16-30 dias",IF($J89&lt;=60,"31-60 dias","Mais de 60 dias"))))))</f>
        <v>0</v>
      </c>
      <c r="L89" s="21">
        <f>IF($E89="","",MAX(0,$E89-N($G89)))</f>
        <v>0</v>
      </c>
      <c r="M89" s="21">
        <f>IF(OR($L89="",$J89=""),"",IF($J89&gt;0,ROUND($L89*Multa+$L89*Juros/30*$J89,2),0))</f>
        <v>0</v>
      </c>
      <c r="N89" s="22">
        <f>IF($L89="","",IF($L89&lt;=0.005,0,$L89+N($M89)))</f>
        <v>0</v>
      </c>
      <c r="O89" s="23">
        <f>IF(OR($I89="Vencido",$I89="Vencido (parcial)"),"Olá, "&amp;$A89&amp;"! Consta em aberto '"&amp;$B89&amp;"' com vencimento em "&amp;DAY($D89)&amp;"/"&amp;MONTH($D89)&amp;"/"&amp;YEAR($D89)&amp;", no valor de R$ "&amp;FIXED($N89,2)&amp;" (com multa e juros). Podemos ajudar a regularizar hoje? Obrigado!",IF($I89="Vence hoje","Olá, "&amp;$A89&amp;"! Lembrete: '"&amp;$B89&amp;"' vence hoje, no valor de R$ "&amp;FIXED($L89,2)&amp;". Obrigado!",""))</f>
        <v>0</v>
      </c>
    </row>
    <row r="90" spans="1:15">
      <c r="A90" s="13"/>
      <c r="B90" s="13"/>
      <c r="C90" s="17"/>
      <c r="D90" s="17"/>
      <c r="E90" s="18"/>
      <c r="F90" s="17"/>
      <c r="G90" s="18"/>
      <c r="H90" s="13"/>
      <c r="I90" s="19">
        <f>IF($E90="","",IF($L90&lt;=0.005,"Pago",IF($D90="","Sem vencimento",IF($D90&lt;Hoje,IF(N($G90)&gt;0,"Vencido (parcial)","Vencido"),IF($D90=Hoje,"Vence hoje","A vencer")))))</f>
        <v>0</v>
      </c>
      <c r="J90" s="20">
        <f>IF(OR($E90="",$D90=""),"",IF(AND($L90&gt;0.005,$D90&lt;Hoje),Hoje-$D90,0))</f>
        <v>0</v>
      </c>
      <c r="K90" s="20">
        <f>IF($J90="","",IF($L90&lt;=0.005,"Pago",IF($J90&lt;=0,"A vencer",IF($J90&lt;=15,"1-15 dias",IF($J90&lt;=30,"16-30 dias",IF($J90&lt;=60,"31-60 dias","Mais de 60 dias"))))))</f>
        <v>0</v>
      </c>
      <c r="L90" s="21">
        <f>IF($E90="","",MAX(0,$E90-N($G90)))</f>
        <v>0</v>
      </c>
      <c r="M90" s="21">
        <f>IF(OR($L90="",$J90=""),"",IF($J90&gt;0,ROUND($L90*Multa+$L90*Juros/30*$J90,2),0))</f>
        <v>0</v>
      </c>
      <c r="N90" s="22">
        <f>IF($L90="","",IF($L90&lt;=0.005,0,$L90+N($M90)))</f>
        <v>0</v>
      </c>
      <c r="O90" s="23">
        <f>IF(OR($I90="Vencido",$I90="Vencido (parcial)"),"Olá, "&amp;$A90&amp;"! Consta em aberto '"&amp;$B90&amp;"' com vencimento em "&amp;DAY($D90)&amp;"/"&amp;MONTH($D90)&amp;"/"&amp;YEAR($D90)&amp;", no valor de R$ "&amp;FIXED($N90,2)&amp;" (com multa e juros). Podemos ajudar a regularizar hoje? Obrigado!",IF($I90="Vence hoje","Olá, "&amp;$A90&amp;"! Lembrete: '"&amp;$B90&amp;"' vence hoje, no valor de R$ "&amp;FIXED($L90,2)&amp;". Obrigado!",""))</f>
        <v>0</v>
      </c>
    </row>
    <row r="91" spans="1:15">
      <c r="A91" s="13"/>
      <c r="B91" s="13"/>
      <c r="C91" s="17"/>
      <c r="D91" s="17"/>
      <c r="E91" s="18"/>
      <c r="F91" s="17"/>
      <c r="G91" s="18"/>
      <c r="H91" s="13"/>
      <c r="I91" s="19">
        <f>IF($E91="","",IF($L91&lt;=0.005,"Pago",IF($D91="","Sem vencimento",IF($D91&lt;Hoje,IF(N($G91)&gt;0,"Vencido (parcial)","Vencido"),IF($D91=Hoje,"Vence hoje","A vencer")))))</f>
        <v>0</v>
      </c>
      <c r="J91" s="20">
        <f>IF(OR($E91="",$D91=""),"",IF(AND($L91&gt;0.005,$D91&lt;Hoje),Hoje-$D91,0))</f>
        <v>0</v>
      </c>
      <c r="K91" s="20">
        <f>IF($J91="","",IF($L91&lt;=0.005,"Pago",IF($J91&lt;=0,"A vencer",IF($J91&lt;=15,"1-15 dias",IF($J91&lt;=30,"16-30 dias",IF($J91&lt;=60,"31-60 dias","Mais de 60 dias"))))))</f>
        <v>0</v>
      </c>
      <c r="L91" s="21">
        <f>IF($E91="","",MAX(0,$E91-N($G91)))</f>
        <v>0</v>
      </c>
      <c r="M91" s="21">
        <f>IF(OR($L91="",$J91=""),"",IF($J91&gt;0,ROUND($L91*Multa+$L91*Juros/30*$J91,2),0))</f>
        <v>0</v>
      </c>
      <c r="N91" s="22">
        <f>IF($L91="","",IF($L91&lt;=0.005,0,$L91+N($M91)))</f>
        <v>0</v>
      </c>
      <c r="O91" s="23">
        <f>IF(OR($I91="Vencido",$I91="Vencido (parcial)"),"Olá, "&amp;$A91&amp;"! Consta em aberto '"&amp;$B91&amp;"' com vencimento em "&amp;DAY($D91)&amp;"/"&amp;MONTH($D91)&amp;"/"&amp;YEAR($D91)&amp;", no valor de R$ "&amp;FIXED($N91,2)&amp;" (com multa e juros). Podemos ajudar a regularizar hoje? Obrigado!",IF($I91="Vence hoje","Olá, "&amp;$A91&amp;"! Lembrete: '"&amp;$B91&amp;"' vence hoje, no valor de R$ "&amp;FIXED($L91,2)&amp;". Obrigado!",""))</f>
        <v>0</v>
      </c>
    </row>
    <row r="92" spans="1:15">
      <c r="A92" s="13"/>
      <c r="B92" s="13"/>
      <c r="C92" s="17"/>
      <c r="D92" s="17"/>
      <c r="E92" s="18"/>
      <c r="F92" s="17"/>
      <c r="G92" s="18"/>
      <c r="H92" s="13"/>
      <c r="I92" s="19">
        <f>IF($E92="","",IF($L92&lt;=0.005,"Pago",IF($D92="","Sem vencimento",IF($D92&lt;Hoje,IF(N($G92)&gt;0,"Vencido (parcial)","Vencido"),IF($D92=Hoje,"Vence hoje","A vencer")))))</f>
        <v>0</v>
      </c>
      <c r="J92" s="20">
        <f>IF(OR($E92="",$D92=""),"",IF(AND($L92&gt;0.005,$D92&lt;Hoje),Hoje-$D92,0))</f>
        <v>0</v>
      </c>
      <c r="K92" s="20">
        <f>IF($J92="","",IF($L92&lt;=0.005,"Pago",IF($J92&lt;=0,"A vencer",IF($J92&lt;=15,"1-15 dias",IF($J92&lt;=30,"16-30 dias",IF($J92&lt;=60,"31-60 dias","Mais de 60 dias"))))))</f>
        <v>0</v>
      </c>
      <c r="L92" s="21">
        <f>IF($E92="","",MAX(0,$E92-N($G92)))</f>
        <v>0</v>
      </c>
      <c r="M92" s="21">
        <f>IF(OR($L92="",$J92=""),"",IF($J92&gt;0,ROUND($L92*Multa+$L92*Juros/30*$J92,2),0))</f>
        <v>0</v>
      </c>
      <c r="N92" s="22">
        <f>IF($L92="","",IF($L92&lt;=0.005,0,$L92+N($M92)))</f>
        <v>0</v>
      </c>
      <c r="O92" s="23">
        <f>IF(OR($I92="Vencido",$I92="Vencido (parcial)"),"Olá, "&amp;$A92&amp;"! Consta em aberto '"&amp;$B92&amp;"' com vencimento em "&amp;DAY($D92)&amp;"/"&amp;MONTH($D92)&amp;"/"&amp;YEAR($D92)&amp;", no valor de R$ "&amp;FIXED($N92,2)&amp;" (com multa e juros). Podemos ajudar a regularizar hoje? Obrigado!",IF($I92="Vence hoje","Olá, "&amp;$A92&amp;"! Lembrete: '"&amp;$B92&amp;"' vence hoje, no valor de R$ "&amp;FIXED($L92,2)&amp;". Obrigado!",""))</f>
        <v>0</v>
      </c>
    </row>
    <row r="93" spans="1:15">
      <c r="A93" s="13"/>
      <c r="B93" s="13"/>
      <c r="C93" s="17"/>
      <c r="D93" s="17"/>
      <c r="E93" s="18"/>
      <c r="F93" s="17"/>
      <c r="G93" s="18"/>
      <c r="H93" s="13"/>
      <c r="I93" s="19">
        <f>IF($E93="","",IF($L93&lt;=0.005,"Pago",IF($D93="","Sem vencimento",IF($D93&lt;Hoje,IF(N($G93)&gt;0,"Vencido (parcial)","Vencido"),IF($D93=Hoje,"Vence hoje","A vencer")))))</f>
        <v>0</v>
      </c>
      <c r="J93" s="20">
        <f>IF(OR($E93="",$D93=""),"",IF(AND($L93&gt;0.005,$D93&lt;Hoje),Hoje-$D93,0))</f>
        <v>0</v>
      </c>
      <c r="K93" s="20">
        <f>IF($J93="","",IF($L93&lt;=0.005,"Pago",IF($J93&lt;=0,"A vencer",IF($J93&lt;=15,"1-15 dias",IF($J93&lt;=30,"16-30 dias",IF($J93&lt;=60,"31-60 dias","Mais de 60 dias"))))))</f>
        <v>0</v>
      </c>
      <c r="L93" s="21">
        <f>IF($E93="","",MAX(0,$E93-N($G93)))</f>
        <v>0</v>
      </c>
      <c r="M93" s="21">
        <f>IF(OR($L93="",$J93=""),"",IF($J93&gt;0,ROUND($L93*Multa+$L93*Juros/30*$J93,2),0))</f>
        <v>0</v>
      </c>
      <c r="N93" s="22">
        <f>IF($L93="","",IF($L93&lt;=0.005,0,$L93+N($M93)))</f>
        <v>0</v>
      </c>
      <c r="O93" s="23">
        <f>IF(OR($I93="Vencido",$I93="Vencido (parcial)"),"Olá, "&amp;$A93&amp;"! Consta em aberto '"&amp;$B93&amp;"' com vencimento em "&amp;DAY($D93)&amp;"/"&amp;MONTH($D93)&amp;"/"&amp;YEAR($D93)&amp;", no valor de R$ "&amp;FIXED($N93,2)&amp;" (com multa e juros). Podemos ajudar a regularizar hoje? Obrigado!",IF($I93="Vence hoje","Olá, "&amp;$A93&amp;"! Lembrete: '"&amp;$B93&amp;"' vence hoje, no valor de R$ "&amp;FIXED($L93,2)&amp;". Obrigado!",""))</f>
        <v>0</v>
      </c>
    </row>
    <row r="94" spans="1:15">
      <c r="A94" s="13"/>
      <c r="B94" s="13"/>
      <c r="C94" s="17"/>
      <c r="D94" s="17"/>
      <c r="E94" s="18"/>
      <c r="F94" s="17"/>
      <c r="G94" s="18"/>
      <c r="H94" s="13"/>
      <c r="I94" s="19">
        <f>IF($E94="","",IF($L94&lt;=0.005,"Pago",IF($D94="","Sem vencimento",IF($D94&lt;Hoje,IF(N($G94)&gt;0,"Vencido (parcial)","Vencido"),IF($D94=Hoje,"Vence hoje","A vencer")))))</f>
        <v>0</v>
      </c>
      <c r="J94" s="20">
        <f>IF(OR($E94="",$D94=""),"",IF(AND($L94&gt;0.005,$D94&lt;Hoje),Hoje-$D94,0))</f>
        <v>0</v>
      </c>
      <c r="K94" s="20">
        <f>IF($J94="","",IF($L94&lt;=0.005,"Pago",IF($J94&lt;=0,"A vencer",IF($J94&lt;=15,"1-15 dias",IF($J94&lt;=30,"16-30 dias",IF($J94&lt;=60,"31-60 dias","Mais de 60 dias"))))))</f>
        <v>0</v>
      </c>
      <c r="L94" s="21">
        <f>IF($E94="","",MAX(0,$E94-N($G94)))</f>
        <v>0</v>
      </c>
      <c r="M94" s="21">
        <f>IF(OR($L94="",$J94=""),"",IF($J94&gt;0,ROUND($L94*Multa+$L94*Juros/30*$J94,2),0))</f>
        <v>0</v>
      </c>
      <c r="N94" s="22">
        <f>IF($L94="","",IF($L94&lt;=0.005,0,$L94+N($M94)))</f>
        <v>0</v>
      </c>
      <c r="O94" s="23">
        <f>IF(OR($I94="Vencido",$I94="Vencido (parcial)"),"Olá, "&amp;$A94&amp;"! Consta em aberto '"&amp;$B94&amp;"' com vencimento em "&amp;DAY($D94)&amp;"/"&amp;MONTH($D94)&amp;"/"&amp;YEAR($D94)&amp;", no valor de R$ "&amp;FIXED($N94,2)&amp;" (com multa e juros). Podemos ajudar a regularizar hoje? Obrigado!",IF($I94="Vence hoje","Olá, "&amp;$A94&amp;"! Lembrete: '"&amp;$B94&amp;"' vence hoje, no valor de R$ "&amp;FIXED($L94,2)&amp;". Obrigado!",""))</f>
        <v>0</v>
      </c>
    </row>
    <row r="95" spans="1:15">
      <c r="A95" s="13"/>
      <c r="B95" s="13"/>
      <c r="C95" s="17"/>
      <c r="D95" s="17"/>
      <c r="E95" s="18"/>
      <c r="F95" s="17"/>
      <c r="G95" s="18"/>
      <c r="H95" s="13"/>
      <c r="I95" s="19">
        <f>IF($E95="","",IF($L95&lt;=0.005,"Pago",IF($D95="","Sem vencimento",IF($D95&lt;Hoje,IF(N($G95)&gt;0,"Vencido (parcial)","Vencido"),IF($D95=Hoje,"Vence hoje","A vencer")))))</f>
        <v>0</v>
      </c>
      <c r="J95" s="20">
        <f>IF(OR($E95="",$D95=""),"",IF(AND($L95&gt;0.005,$D95&lt;Hoje),Hoje-$D95,0))</f>
        <v>0</v>
      </c>
      <c r="K95" s="20">
        <f>IF($J95="","",IF($L95&lt;=0.005,"Pago",IF($J95&lt;=0,"A vencer",IF($J95&lt;=15,"1-15 dias",IF($J95&lt;=30,"16-30 dias",IF($J95&lt;=60,"31-60 dias","Mais de 60 dias"))))))</f>
        <v>0</v>
      </c>
      <c r="L95" s="21">
        <f>IF($E95="","",MAX(0,$E95-N($G95)))</f>
        <v>0</v>
      </c>
      <c r="M95" s="21">
        <f>IF(OR($L95="",$J95=""),"",IF($J95&gt;0,ROUND($L95*Multa+$L95*Juros/30*$J95,2),0))</f>
        <v>0</v>
      </c>
      <c r="N95" s="22">
        <f>IF($L95="","",IF($L95&lt;=0.005,0,$L95+N($M95)))</f>
        <v>0</v>
      </c>
      <c r="O95" s="23">
        <f>IF(OR($I95="Vencido",$I95="Vencido (parcial)"),"Olá, "&amp;$A95&amp;"! Consta em aberto '"&amp;$B95&amp;"' com vencimento em "&amp;DAY($D95)&amp;"/"&amp;MONTH($D95)&amp;"/"&amp;YEAR($D95)&amp;", no valor de R$ "&amp;FIXED($N95,2)&amp;" (com multa e juros). Podemos ajudar a regularizar hoje? Obrigado!",IF($I95="Vence hoje","Olá, "&amp;$A95&amp;"! Lembrete: '"&amp;$B95&amp;"' vence hoje, no valor de R$ "&amp;FIXED($L95,2)&amp;". Obrigado!",""))</f>
        <v>0</v>
      </c>
    </row>
    <row r="96" spans="1:15">
      <c r="A96" s="13"/>
      <c r="B96" s="13"/>
      <c r="C96" s="17"/>
      <c r="D96" s="17"/>
      <c r="E96" s="18"/>
      <c r="F96" s="17"/>
      <c r="G96" s="18"/>
      <c r="H96" s="13"/>
      <c r="I96" s="19">
        <f>IF($E96="","",IF($L96&lt;=0.005,"Pago",IF($D96="","Sem vencimento",IF($D96&lt;Hoje,IF(N($G96)&gt;0,"Vencido (parcial)","Vencido"),IF($D96=Hoje,"Vence hoje","A vencer")))))</f>
        <v>0</v>
      </c>
      <c r="J96" s="20">
        <f>IF(OR($E96="",$D96=""),"",IF(AND($L96&gt;0.005,$D96&lt;Hoje),Hoje-$D96,0))</f>
        <v>0</v>
      </c>
      <c r="K96" s="20">
        <f>IF($J96="","",IF($L96&lt;=0.005,"Pago",IF($J96&lt;=0,"A vencer",IF($J96&lt;=15,"1-15 dias",IF($J96&lt;=30,"16-30 dias",IF($J96&lt;=60,"31-60 dias","Mais de 60 dias"))))))</f>
        <v>0</v>
      </c>
      <c r="L96" s="21">
        <f>IF($E96="","",MAX(0,$E96-N($G96)))</f>
        <v>0</v>
      </c>
      <c r="M96" s="21">
        <f>IF(OR($L96="",$J96=""),"",IF($J96&gt;0,ROUND($L96*Multa+$L96*Juros/30*$J96,2),0))</f>
        <v>0</v>
      </c>
      <c r="N96" s="22">
        <f>IF($L96="","",IF($L96&lt;=0.005,0,$L96+N($M96)))</f>
        <v>0</v>
      </c>
      <c r="O96" s="23">
        <f>IF(OR($I96="Vencido",$I96="Vencido (parcial)"),"Olá, "&amp;$A96&amp;"! Consta em aberto '"&amp;$B96&amp;"' com vencimento em "&amp;DAY($D96)&amp;"/"&amp;MONTH($D96)&amp;"/"&amp;YEAR($D96)&amp;", no valor de R$ "&amp;FIXED($N96,2)&amp;" (com multa e juros). Podemos ajudar a regularizar hoje? Obrigado!",IF($I96="Vence hoje","Olá, "&amp;$A96&amp;"! Lembrete: '"&amp;$B96&amp;"' vence hoje, no valor de R$ "&amp;FIXED($L96,2)&amp;". Obrigado!",""))</f>
        <v>0</v>
      </c>
    </row>
    <row r="97" spans="1:15">
      <c r="A97" s="13"/>
      <c r="B97" s="13"/>
      <c r="C97" s="17"/>
      <c r="D97" s="17"/>
      <c r="E97" s="18"/>
      <c r="F97" s="17"/>
      <c r="G97" s="18"/>
      <c r="H97" s="13"/>
      <c r="I97" s="19">
        <f>IF($E97="","",IF($L97&lt;=0.005,"Pago",IF($D97="","Sem vencimento",IF($D97&lt;Hoje,IF(N($G97)&gt;0,"Vencido (parcial)","Vencido"),IF($D97=Hoje,"Vence hoje","A vencer")))))</f>
        <v>0</v>
      </c>
      <c r="J97" s="20">
        <f>IF(OR($E97="",$D97=""),"",IF(AND($L97&gt;0.005,$D97&lt;Hoje),Hoje-$D97,0))</f>
        <v>0</v>
      </c>
      <c r="K97" s="20">
        <f>IF($J97="","",IF($L97&lt;=0.005,"Pago",IF($J97&lt;=0,"A vencer",IF($J97&lt;=15,"1-15 dias",IF($J97&lt;=30,"16-30 dias",IF($J97&lt;=60,"31-60 dias","Mais de 60 dias"))))))</f>
        <v>0</v>
      </c>
      <c r="L97" s="21">
        <f>IF($E97="","",MAX(0,$E97-N($G97)))</f>
        <v>0</v>
      </c>
      <c r="M97" s="21">
        <f>IF(OR($L97="",$J97=""),"",IF($J97&gt;0,ROUND($L97*Multa+$L97*Juros/30*$J97,2),0))</f>
        <v>0</v>
      </c>
      <c r="N97" s="22">
        <f>IF($L97="","",IF($L97&lt;=0.005,0,$L97+N($M97)))</f>
        <v>0</v>
      </c>
      <c r="O97" s="23">
        <f>IF(OR($I97="Vencido",$I97="Vencido (parcial)"),"Olá, "&amp;$A97&amp;"! Consta em aberto '"&amp;$B97&amp;"' com vencimento em "&amp;DAY($D97)&amp;"/"&amp;MONTH($D97)&amp;"/"&amp;YEAR($D97)&amp;", no valor de R$ "&amp;FIXED($N97,2)&amp;" (com multa e juros). Podemos ajudar a regularizar hoje? Obrigado!",IF($I97="Vence hoje","Olá, "&amp;$A97&amp;"! Lembrete: '"&amp;$B97&amp;"' vence hoje, no valor de R$ "&amp;FIXED($L97,2)&amp;". Obrigado!",""))</f>
        <v>0</v>
      </c>
    </row>
    <row r="98" spans="1:15">
      <c r="A98" s="13"/>
      <c r="B98" s="13"/>
      <c r="C98" s="17"/>
      <c r="D98" s="17"/>
      <c r="E98" s="18"/>
      <c r="F98" s="17"/>
      <c r="G98" s="18"/>
      <c r="H98" s="13"/>
      <c r="I98" s="19">
        <f>IF($E98="","",IF($L98&lt;=0.005,"Pago",IF($D98="","Sem vencimento",IF($D98&lt;Hoje,IF(N($G98)&gt;0,"Vencido (parcial)","Vencido"),IF($D98=Hoje,"Vence hoje","A vencer")))))</f>
        <v>0</v>
      </c>
      <c r="J98" s="20">
        <f>IF(OR($E98="",$D98=""),"",IF(AND($L98&gt;0.005,$D98&lt;Hoje),Hoje-$D98,0))</f>
        <v>0</v>
      </c>
      <c r="K98" s="20">
        <f>IF($J98="","",IF($L98&lt;=0.005,"Pago",IF($J98&lt;=0,"A vencer",IF($J98&lt;=15,"1-15 dias",IF($J98&lt;=30,"16-30 dias",IF($J98&lt;=60,"31-60 dias","Mais de 60 dias"))))))</f>
        <v>0</v>
      </c>
      <c r="L98" s="21">
        <f>IF($E98="","",MAX(0,$E98-N($G98)))</f>
        <v>0</v>
      </c>
      <c r="M98" s="21">
        <f>IF(OR($L98="",$J98=""),"",IF($J98&gt;0,ROUND($L98*Multa+$L98*Juros/30*$J98,2),0))</f>
        <v>0</v>
      </c>
      <c r="N98" s="22">
        <f>IF($L98="","",IF($L98&lt;=0.005,0,$L98+N($M98)))</f>
        <v>0</v>
      </c>
      <c r="O98" s="23">
        <f>IF(OR($I98="Vencido",$I98="Vencido (parcial)"),"Olá, "&amp;$A98&amp;"! Consta em aberto '"&amp;$B98&amp;"' com vencimento em "&amp;DAY($D98)&amp;"/"&amp;MONTH($D98)&amp;"/"&amp;YEAR($D98)&amp;", no valor de R$ "&amp;FIXED($N98,2)&amp;" (com multa e juros). Podemos ajudar a regularizar hoje? Obrigado!",IF($I98="Vence hoje","Olá, "&amp;$A98&amp;"! Lembrete: '"&amp;$B98&amp;"' vence hoje, no valor de R$ "&amp;FIXED($L98,2)&amp;". Obrigado!",""))</f>
        <v>0</v>
      </c>
    </row>
    <row r="99" spans="1:15">
      <c r="A99" s="13"/>
      <c r="B99" s="13"/>
      <c r="C99" s="17"/>
      <c r="D99" s="17"/>
      <c r="E99" s="18"/>
      <c r="F99" s="17"/>
      <c r="G99" s="18"/>
      <c r="H99" s="13"/>
      <c r="I99" s="19">
        <f>IF($E99="","",IF($L99&lt;=0.005,"Pago",IF($D99="","Sem vencimento",IF($D99&lt;Hoje,IF(N($G99)&gt;0,"Vencido (parcial)","Vencido"),IF($D99=Hoje,"Vence hoje","A vencer")))))</f>
        <v>0</v>
      </c>
      <c r="J99" s="20">
        <f>IF(OR($E99="",$D99=""),"",IF(AND($L99&gt;0.005,$D99&lt;Hoje),Hoje-$D99,0))</f>
        <v>0</v>
      </c>
      <c r="K99" s="20">
        <f>IF($J99="","",IF($L99&lt;=0.005,"Pago",IF($J99&lt;=0,"A vencer",IF($J99&lt;=15,"1-15 dias",IF($J99&lt;=30,"16-30 dias",IF($J99&lt;=60,"31-60 dias","Mais de 60 dias"))))))</f>
        <v>0</v>
      </c>
      <c r="L99" s="21">
        <f>IF($E99="","",MAX(0,$E99-N($G99)))</f>
        <v>0</v>
      </c>
      <c r="M99" s="21">
        <f>IF(OR($L99="",$J99=""),"",IF($J99&gt;0,ROUND($L99*Multa+$L99*Juros/30*$J99,2),0))</f>
        <v>0</v>
      </c>
      <c r="N99" s="22">
        <f>IF($L99="","",IF($L99&lt;=0.005,0,$L99+N($M99)))</f>
        <v>0</v>
      </c>
      <c r="O99" s="23">
        <f>IF(OR($I99="Vencido",$I99="Vencido (parcial)"),"Olá, "&amp;$A99&amp;"! Consta em aberto '"&amp;$B99&amp;"' com vencimento em "&amp;DAY($D99)&amp;"/"&amp;MONTH($D99)&amp;"/"&amp;YEAR($D99)&amp;", no valor de R$ "&amp;FIXED($N99,2)&amp;" (com multa e juros). Podemos ajudar a regularizar hoje? Obrigado!",IF($I99="Vence hoje","Olá, "&amp;$A99&amp;"! Lembrete: '"&amp;$B99&amp;"' vence hoje, no valor de R$ "&amp;FIXED($L99,2)&amp;". Obrigado!",""))</f>
        <v>0</v>
      </c>
    </row>
    <row r="100" spans="1:15">
      <c r="A100" s="13"/>
      <c r="B100" s="13"/>
      <c r="C100" s="17"/>
      <c r="D100" s="17"/>
      <c r="E100" s="18"/>
      <c r="F100" s="17"/>
      <c r="G100" s="18"/>
      <c r="H100" s="13"/>
      <c r="I100" s="19">
        <f>IF($E100="","",IF($L100&lt;=0.005,"Pago",IF($D100="","Sem vencimento",IF($D100&lt;Hoje,IF(N($G100)&gt;0,"Vencido (parcial)","Vencido"),IF($D100=Hoje,"Vence hoje","A vencer")))))</f>
        <v>0</v>
      </c>
      <c r="J100" s="20">
        <f>IF(OR($E100="",$D100=""),"",IF(AND($L100&gt;0.005,$D100&lt;Hoje),Hoje-$D100,0))</f>
        <v>0</v>
      </c>
      <c r="K100" s="20">
        <f>IF($J100="","",IF($L100&lt;=0.005,"Pago",IF($J100&lt;=0,"A vencer",IF($J100&lt;=15,"1-15 dias",IF($J100&lt;=30,"16-30 dias",IF($J100&lt;=60,"31-60 dias","Mais de 60 dias"))))))</f>
        <v>0</v>
      </c>
      <c r="L100" s="21">
        <f>IF($E100="","",MAX(0,$E100-N($G100)))</f>
        <v>0</v>
      </c>
      <c r="M100" s="21">
        <f>IF(OR($L100="",$J100=""),"",IF($J100&gt;0,ROUND($L100*Multa+$L100*Juros/30*$J100,2),0))</f>
        <v>0</v>
      </c>
      <c r="N100" s="22">
        <f>IF($L100="","",IF($L100&lt;=0.005,0,$L100+N($M100)))</f>
        <v>0</v>
      </c>
      <c r="O100" s="23">
        <f>IF(OR($I100="Vencido",$I100="Vencido (parcial)"),"Olá, "&amp;$A100&amp;"! Consta em aberto '"&amp;$B100&amp;"' com vencimento em "&amp;DAY($D100)&amp;"/"&amp;MONTH($D100)&amp;"/"&amp;YEAR($D100)&amp;", no valor de R$ "&amp;FIXED($N100,2)&amp;" (com multa e juros). Podemos ajudar a regularizar hoje? Obrigado!",IF($I100="Vence hoje","Olá, "&amp;$A100&amp;"! Lembrete: '"&amp;$B100&amp;"' vence hoje, no valor de R$ "&amp;FIXED($L100,2)&amp;". Obrigado!",""))</f>
        <v>0</v>
      </c>
    </row>
    <row r="101" spans="1:15">
      <c r="A101" s="13"/>
      <c r="B101" s="13"/>
      <c r="C101" s="17"/>
      <c r="D101" s="17"/>
      <c r="E101" s="18"/>
      <c r="F101" s="17"/>
      <c r="G101" s="18"/>
      <c r="H101" s="13"/>
      <c r="I101" s="19">
        <f>IF($E101="","",IF($L101&lt;=0.005,"Pago",IF($D101="","Sem vencimento",IF($D101&lt;Hoje,IF(N($G101)&gt;0,"Vencido (parcial)","Vencido"),IF($D101=Hoje,"Vence hoje","A vencer")))))</f>
        <v>0</v>
      </c>
      <c r="J101" s="20">
        <f>IF(OR($E101="",$D101=""),"",IF(AND($L101&gt;0.005,$D101&lt;Hoje),Hoje-$D101,0))</f>
        <v>0</v>
      </c>
      <c r="K101" s="20">
        <f>IF($J101="","",IF($L101&lt;=0.005,"Pago",IF($J101&lt;=0,"A vencer",IF($J101&lt;=15,"1-15 dias",IF($J101&lt;=30,"16-30 dias",IF($J101&lt;=60,"31-60 dias","Mais de 60 dias"))))))</f>
        <v>0</v>
      </c>
      <c r="L101" s="21">
        <f>IF($E101="","",MAX(0,$E101-N($G101)))</f>
        <v>0</v>
      </c>
      <c r="M101" s="21">
        <f>IF(OR($L101="",$J101=""),"",IF($J101&gt;0,ROUND($L101*Multa+$L101*Juros/30*$J101,2),0))</f>
        <v>0</v>
      </c>
      <c r="N101" s="22">
        <f>IF($L101="","",IF($L101&lt;=0.005,0,$L101+N($M101)))</f>
        <v>0</v>
      </c>
      <c r="O101" s="23">
        <f>IF(OR($I101="Vencido",$I101="Vencido (parcial)"),"Olá, "&amp;$A101&amp;"! Consta em aberto '"&amp;$B101&amp;"' com vencimento em "&amp;DAY($D101)&amp;"/"&amp;MONTH($D101)&amp;"/"&amp;YEAR($D101)&amp;", no valor de R$ "&amp;FIXED($N101,2)&amp;" (com multa e juros). Podemos ajudar a regularizar hoje? Obrigado!",IF($I101="Vence hoje","Olá, "&amp;$A101&amp;"! Lembrete: '"&amp;$B101&amp;"' vence hoje, no valor de R$ "&amp;FIXED($L101,2)&amp;". Obrigado!",""))</f>
        <v>0</v>
      </c>
    </row>
    <row r="102" spans="1:15">
      <c r="A102" s="13"/>
      <c r="B102" s="13"/>
      <c r="C102" s="17"/>
      <c r="D102" s="17"/>
      <c r="E102" s="18"/>
      <c r="F102" s="17"/>
      <c r="G102" s="18"/>
      <c r="H102" s="13"/>
      <c r="I102" s="19">
        <f>IF($E102="","",IF($L102&lt;=0.005,"Pago",IF($D102="","Sem vencimento",IF($D102&lt;Hoje,IF(N($G102)&gt;0,"Vencido (parcial)","Vencido"),IF($D102=Hoje,"Vence hoje","A vencer")))))</f>
        <v>0</v>
      </c>
      <c r="J102" s="20">
        <f>IF(OR($E102="",$D102=""),"",IF(AND($L102&gt;0.005,$D102&lt;Hoje),Hoje-$D102,0))</f>
        <v>0</v>
      </c>
      <c r="K102" s="20">
        <f>IF($J102="","",IF($L102&lt;=0.005,"Pago",IF($J102&lt;=0,"A vencer",IF($J102&lt;=15,"1-15 dias",IF($J102&lt;=30,"16-30 dias",IF($J102&lt;=60,"31-60 dias","Mais de 60 dias"))))))</f>
        <v>0</v>
      </c>
      <c r="L102" s="21">
        <f>IF($E102="","",MAX(0,$E102-N($G102)))</f>
        <v>0</v>
      </c>
      <c r="M102" s="21">
        <f>IF(OR($L102="",$J102=""),"",IF($J102&gt;0,ROUND($L102*Multa+$L102*Juros/30*$J102,2),0))</f>
        <v>0</v>
      </c>
      <c r="N102" s="22">
        <f>IF($L102="","",IF($L102&lt;=0.005,0,$L102+N($M102)))</f>
        <v>0</v>
      </c>
      <c r="O102" s="23">
        <f>IF(OR($I102="Vencido",$I102="Vencido (parcial)"),"Olá, "&amp;$A102&amp;"! Consta em aberto '"&amp;$B102&amp;"' com vencimento em "&amp;DAY($D102)&amp;"/"&amp;MONTH($D102)&amp;"/"&amp;YEAR($D102)&amp;", no valor de R$ "&amp;FIXED($N102,2)&amp;" (com multa e juros). Podemos ajudar a regularizar hoje? Obrigado!",IF($I102="Vence hoje","Olá, "&amp;$A102&amp;"! Lembrete: '"&amp;$B102&amp;"' vence hoje, no valor de R$ "&amp;FIXED($L102,2)&amp;". Obrigado!",""))</f>
        <v>0</v>
      </c>
    </row>
    <row r="103" spans="1:15">
      <c r="A103" s="13"/>
      <c r="B103" s="13"/>
      <c r="C103" s="17"/>
      <c r="D103" s="17"/>
      <c r="E103" s="18"/>
      <c r="F103" s="17"/>
      <c r="G103" s="18"/>
      <c r="H103" s="13"/>
      <c r="I103" s="19">
        <f>IF($E103="","",IF($L103&lt;=0.005,"Pago",IF($D103="","Sem vencimento",IF($D103&lt;Hoje,IF(N($G103)&gt;0,"Vencido (parcial)","Vencido"),IF($D103=Hoje,"Vence hoje","A vencer")))))</f>
        <v>0</v>
      </c>
      <c r="J103" s="20">
        <f>IF(OR($E103="",$D103=""),"",IF(AND($L103&gt;0.005,$D103&lt;Hoje),Hoje-$D103,0))</f>
        <v>0</v>
      </c>
      <c r="K103" s="20">
        <f>IF($J103="","",IF($L103&lt;=0.005,"Pago",IF($J103&lt;=0,"A vencer",IF($J103&lt;=15,"1-15 dias",IF($J103&lt;=30,"16-30 dias",IF($J103&lt;=60,"31-60 dias","Mais de 60 dias"))))))</f>
        <v>0</v>
      </c>
      <c r="L103" s="21">
        <f>IF($E103="","",MAX(0,$E103-N($G103)))</f>
        <v>0</v>
      </c>
      <c r="M103" s="21">
        <f>IF(OR($L103="",$J103=""),"",IF($J103&gt;0,ROUND($L103*Multa+$L103*Juros/30*$J103,2),0))</f>
        <v>0</v>
      </c>
      <c r="N103" s="22">
        <f>IF($L103="","",IF($L103&lt;=0.005,0,$L103+N($M103)))</f>
        <v>0</v>
      </c>
      <c r="O103" s="23">
        <f>IF(OR($I103="Vencido",$I103="Vencido (parcial)"),"Olá, "&amp;$A103&amp;"! Consta em aberto '"&amp;$B103&amp;"' com vencimento em "&amp;DAY($D103)&amp;"/"&amp;MONTH($D103)&amp;"/"&amp;YEAR($D103)&amp;", no valor de R$ "&amp;FIXED($N103,2)&amp;" (com multa e juros). Podemos ajudar a regularizar hoje? Obrigado!",IF($I103="Vence hoje","Olá, "&amp;$A103&amp;"! Lembrete: '"&amp;$B103&amp;"' vence hoje, no valor de R$ "&amp;FIXED($L103,2)&amp;". Obrigado!",""))</f>
        <v>0</v>
      </c>
    </row>
    <row r="104" spans="1:15">
      <c r="A104" s="13"/>
      <c r="B104" s="13"/>
      <c r="C104" s="17"/>
      <c r="D104" s="17"/>
      <c r="E104" s="18"/>
      <c r="F104" s="17"/>
      <c r="G104" s="18"/>
      <c r="H104" s="13"/>
      <c r="I104" s="19">
        <f>IF($E104="","",IF($L104&lt;=0.005,"Pago",IF($D104="","Sem vencimento",IF($D104&lt;Hoje,IF(N($G104)&gt;0,"Vencido (parcial)","Vencido"),IF($D104=Hoje,"Vence hoje","A vencer")))))</f>
        <v>0</v>
      </c>
      <c r="J104" s="20">
        <f>IF(OR($E104="",$D104=""),"",IF(AND($L104&gt;0.005,$D104&lt;Hoje),Hoje-$D104,0))</f>
        <v>0</v>
      </c>
      <c r="K104" s="20">
        <f>IF($J104="","",IF($L104&lt;=0.005,"Pago",IF($J104&lt;=0,"A vencer",IF($J104&lt;=15,"1-15 dias",IF($J104&lt;=30,"16-30 dias",IF($J104&lt;=60,"31-60 dias","Mais de 60 dias"))))))</f>
        <v>0</v>
      </c>
      <c r="L104" s="21">
        <f>IF($E104="","",MAX(0,$E104-N($G104)))</f>
        <v>0</v>
      </c>
      <c r="M104" s="21">
        <f>IF(OR($L104="",$J104=""),"",IF($J104&gt;0,ROUND($L104*Multa+$L104*Juros/30*$J104,2),0))</f>
        <v>0</v>
      </c>
      <c r="N104" s="22">
        <f>IF($L104="","",IF($L104&lt;=0.005,0,$L104+N($M104)))</f>
        <v>0</v>
      </c>
      <c r="O104" s="23">
        <f>IF(OR($I104="Vencido",$I104="Vencido (parcial)"),"Olá, "&amp;$A104&amp;"! Consta em aberto '"&amp;$B104&amp;"' com vencimento em "&amp;DAY($D104)&amp;"/"&amp;MONTH($D104)&amp;"/"&amp;YEAR($D104)&amp;", no valor de R$ "&amp;FIXED($N104,2)&amp;" (com multa e juros). Podemos ajudar a regularizar hoje? Obrigado!",IF($I104="Vence hoje","Olá, "&amp;$A104&amp;"! Lembrete: '"&amp;$B104&amp;"' vence hoje, no valor de R$ "&amp;FIXED($L104,2)&amp;". Obrigado!",""))</f>
        <v>0</v>
      </c>
    </row>
    <row r="105" spans="1:15">
      <c r="A105" s="13"/>
      <c r="B105" s="13"/>
      <c r="C105" s="17"/>
      <c r="D105" s="17"/>
      <c r="E105" s="18"/>
      <c r="F105" s="17"/>
      <c r="G105" s="18"/>
      <c r="H105" s="13"/>
      <c r="I105" s="19">
        <f>IF($E105="","",IF($L105&lt;=0.005,"Pago",IF($D105="","Sem vencimento",IF($D105&lt;Hoje,IF(N($G105)&gt;0,"Vencido (parcial)","Vencido"),IF($D105=Hoje,"Vence hoje","A vencer")))))</f>
        <v>0</v>
      </c>
      <c r="J105" s="20">
        <f>IF(OR($E105="",$D105=""),"",IF(AND($L105&gt;0.005,$D105&lt;Hoje),Hoje-$D105,0))</f>
        <v>0</v>
      </c>
      <c r="K105" s="20">
        <f>IF($J105="","",IF($L105&lt;=0.005,"Pago",IF($J105&lt;=0,"A vencer",IF($J105&lt;=15,"1-15 dias",IF($J105&lt;=30,"16-30 dias",IF($J105&lt;=60,"31-60 dias","Mais de 60 dias"))))))</f>
        <v>0</v>
      </c>
      <c r="L105" s="21">
        <f>IF($E105="","",MAX(0,$E105-N($G105)))</f>
        <v>0</v>
      </c>
      <c r="M105" s="21">
        <f>IF(OR($L105="",$J105=""),"",IF($J105&gt;0,ROUND($L105*Multa+$L105*Juros/30*$J105,2),0))</f>
        <v>0</v>
      </c>
      <c r="N105" s="22">
        <f>IF($L105="","",IF($L105&lt;=0.005,0,$L105+N($M105)))</f>
        <v>0</v>
      </c>
      <c r="O105" s="23">
        <f>IF(OR($I105="Vencido",$I105="Vencido (parcial)"),"Olá, "&amp;$A105&amp;"! Consta em aberto '"&amp;$B105&amp;"' com vencimento em "&amp;DAY($D105)&amp;"/"&amp;MONTH($D105)&amp;"/"&amp;YEAR($D105)&amp;", no valor de R$ "&amp;FIXED($N105,2)&amp;" (com multa e juros). Podemos ajudar a regularizar hoje? Obrigado!",IF($I105="Vence hoje","Olá, "&amp;$A105&amp;"! Lembrete: '"&amp;$B105&amp;"' vence hoje, no valor de R$ "&amp;FIXED($L105,2)&amp;". Obrigado!",""))</f>
        <v>0</v>
      </c>
    </row>
    <row r="106" spans="1:15">
      <c r="A106" s="13"/>
      <c r="B106" s="13"/>
      <c r="C106" s="17"/>
      <c r="D106" s="17"/>
      <c r="E106" s="18"/>
      <c r="F106" s="17"/>
      <c r="G106" s="18"/>
      <c r="H106" s="13"/>
      <c r="I106" s="19">
        <f>IF($E106="","",IF($L106&lt;=0.005,"Pago",IF($D106="","Sem vencimento",IF($D106&lt;Hoje,IF(N($G106)&gt;0,"Vencido (parcial)","Vencido"),IF($D106=Hoje,"Vence hoje","A vencer")))))</f>
        <v>0</v>
      </c>
      <c r="J106" s="20">
        <f>IF(OR($E106="",$D106=""),"",IF(AND($L106&gt;0.005,$D106&lt;Hoje),Hoje-$D106,0))</f>
        <v>0</v>
      </c>
      <c r="K106" s="20">
        <f>IF($J106="","",IF($L106&lt;=0.005,"Pago",IF($J106&lt;=0,"A vencer",IF($J106&lt;=15,"1-15 dias",IF($J106&lt;=30,"16-30 dias",IF($J106&lt;=60,"31-60 dias","Mais de 60 dias"))))))</f>
        <v>0</v>
      </c>
      <c r="L106" s="21">
        <f>IF($E106="","",MAX(0,$E106-N($G106)))</f>
        <v>0</v>
      </c>
      <c r="M106" s="21">
        <f>IF(OR($L106="",$J106=""),"",IF($J106&gt;0,ROUND($L106*Multa+$L106*Juros/30*$J106,2),0))</f>
        <v>0</v>
      </c>
      <c r="N106" s="22">
        <f>IF($L106="","",IF($L106&lt;=0.005,0,$L106+N($M106)))</f>
        <v>0</v>
      </c>
      <c r="O106" s="23">
        <f>IF(OR($I106="Vencido",$I106="Vencido (parcial)"),"Olá, "&amp;$A106&amp;"! Consta em aberto '"&amp;$B106&amp;"' com vencimento em "&amp;DAY($D106)&amp;"/"&amp;MONTH($D106)&amp;"/"&amp;YEAR($D106)&amp;", no valor de R$ "&amp;FIXED($N106,2)&amp;" (com multa e juros). Podemos ajudar a regularizar hoje? Obrigado!",IF($I106="Vence hoje","Olá, "&amp;$A106&amp;"! Lembrete: '"&amp;$B106&amp;"' vence hoje, no valor de R$ "&amp;FIXED($L106,2)&amp;". Obrigado!",""))</f>
        <v>0</v>
      </c>
    </row>
    <row r="107" spans="1:15">
      <c r="A107" s="13"/>
      <c r="B107" s="13"/>
      <c r="C107" s="17"/>
      <c r="D107" s="17"/>
      <c r="E107" s="18"/>
      <c r="F107" s="17"/>
      <c r="G107" s="18"/>
      <c r="H107" s="13"/>
      <c r="I107" s="19">
        <f>IF($E107="","",IF($L107&lt;=0.005,"Pago",IF($D107="","Sem vencimento",IF($D107&lt;Hoje,IF(N($G107)&gt;0,"Vencido (parcial)","Vencido"),IF($D107=Hoje,"Vence hoje","A vencer")))))</f>
        <v>0</v>
      </c>
      <c r="J107" s="20">
        <f>IF(OR($E107="",$D107=""),"",IF(AND($L107&gt;0.005,$D107&lt;Hoje),Hoje-$D107,0))</f>
        <v>0</v>
      </c>
      <c r="K107" s="20">
        <f>IF($J107="","",IF($L107&lt;=0.005,"Pago",IF($J107&lt;=0,"A vencer",IF($J107&lt;=15,"1-15 dias",IF($J107&lt;=30,"16-30 dias",IF($J107&lt;=60,"31-60 dias","Mais de 60 dias"))))))</f>
        <v>0</v>
      </c>
      <c r="L107" s="21">
        <f>IF($E107="","",MAX(0,$E107-N($G107)))</f>
        <v>0</v>
      </c>
      <c r="M107" s="21">
        <f>IF(OR($L107="",$J107=""),"",IF($J107&gt;0,ROUND($L107*Multa+$L107*Juros/30*$J107,2),0))</f>
        <v>0</v>
      </c>
      <c r="N107" s="22">
        <f>IF($L107="","",IF($L107&lt;=0.005,0,$L107+N($M107)))</f>
        <v>0</v>
      </c>
      <c r="O107" s="23">
        <f>IF(OR($I107="Vencido",$I107="Vencido (parcial)"),"Olá, "&amp;$A107&amp;"! Consta em aberto '"&amp;$B107&amp;"' com vencimento em "&amp;DAY($D107)&amp;"/"&amp;MONTH($D107)&amp;"/"&amp;YEAR($D107)&amp;", no valor de R$ "&amp;FIXED($N107,2)&amp;" (com multa e juros). Podemos ajudar a regularizar hoje? Obrigado!",IF($I107="Vence hoje","Olá, "&amp;$A107&amp;"! Lembrete: '"&amp;$B107&amp;"' vence hoje, no valor de R$ "&amp;FIXED($L107,2)&amp;". Obrigado!",""))</f>
        <v>0</v>
      </c>
    </row>
    <row r="108" spans="1:15">
      <c r="A108" s="13"/>
      <c r="B108" s="13"/>
      <c r="C108" s="17"/>
      <c r="D108" s="17"/>
      <c r="E108" s="18"/>
      <c r="F108" s="17"/>
      <c r="G108" s="18"/>
      <c r="H108" s="13"/>
      <c r="I108" s="19">
        <f>IF($E108="","",IF($L108&lt;=0.005,"Pago",IF($D108="","Sem vencimento",IF($D108&lt;Hoje,IF(N($G108)&gt;0,"Vencido (parcial)","Vencido"),IF($D108=Hoje,"Vence hoje","A vencer")))))</f>
        <v>0</v>
      </c>
      <c r="J108" s="20">
        <f>IF(OR($E108="",$D108=""),"",IF(AND($L108&gt;0.005,$D108&lt;Hoje),Hoje-$D108,0))</f>
        <v>0</v>
      </c>
      <c r="K108" s="20">
        <f>IF($J108="","",IF($L108&lt;=0.005,"Pago",IF($J108&lt;=0,"A vencer",IF($J108&lt;=15,"1-15 dias",IF($J108&lt;=30,"16-30 dias",IF($J108&lt;=60,"31-60 dias","Mais de 60 dias"))))))</f>
        <v>0</v>
      </c>
      <c r="L108" s="21">
        <f>IF($E108="","",MAX(0,$E108-N($G108)))</f>
        <v>0</v>
      </c>
      <c r="M108" s="21">
        <f>IF(OR($L108="",$J108=""),"",IF($J108&gt;0,ROUND($L108*Multa+$L108*Juros/30*$J108,2),0))</f>
        <v>0</v>
      </c>
      <c r="N108" s="22">
        <f>IF($L108="","",IF($L108&lt;=0.005,0,$L108+N($M108)))</f>
        <v>0</v>
      </c>
      <c r="O108" s="23">
        <f>IF(OR($I108="Vencido",$I108="Vencido (parcial)"),"Olá, "&amp;$A108&amp;"! Consta em aberto '"&amp;$B108&amp;"' com vencimento em "&amp;DAY($D108)&amp;"/"&amp;MONTH($D108)&amp;"/"&amp;YEAR($D108)&amp;", no valor de R$ "&amp;FIXED($N108,2)&amp;" (com multa e juros). Podemos ajudar a regularizar hoje? Obrigado!",IF($I108="Vence hoje","Olá, "&amp;$A108&amp;"! Lembrete: '"&amp;$B108&amp;"' vence hoje, no valor de R$ "&amp;FIXED($L108,2)&amp;". Obrigado!",""))</f>
        <v>0</v>
      </c>
    </row>
    <row r="109" spans="1:15">
      <c r="A109" s="13"/>
      <c r="B109" s="13"/>
      <c r="C109" s="17"/>
      <c r="D109" s="17"/>
      <c r="E109" s="18"/>
      <c r="F109" s="17"/>
      <c r="G109" s="18"/>
      <c r="H109" s="13"/>
      <c r="I109" s="19">
        <f>IF($E109="","",IF($L109&lt;=0.005,"Pago",IF($D109="","Sem vencimento",IF($D109&lt;Hoje,IF(N($G109)&gt;0,"Vencido (parcial)","Vencido"),IF($D109=Hoje,"Vence hoje","A vencer")))))</f>
        <v>0</v>
      </c>
      <c r="J109" s="20">
        <f>IF(OR($E109="",$D109=""),"",IF(AND($L109&gt;0.005,$D109&lt;Hoje),Hoje-$D109,0))</f>
        <v>0</v>
      </c>
      <c r="K109" s="20">
        <f>IF($J109="","",IF($L109&lt;=0.005,"Pago",IF($J109&lt;=0,"A vencer",IF($J109&lt;=15,"1-15 dias",IF($J109&lt;=30,"16-30 dias",IF($J109&lt;=60,"31-60 dias","Mais de 60 dias"))))))</f>
        <v>0</v>
      </c>
      <c r="L109" s="21">
        <f>IF($E109="","",MAX(0,$E109-N($G109)))</f>
        <v>0</v>
      </c>
      <c r="M109" s="21">
        <f>IF(OR($L109="",$J109=""),"",IF($J109&gt;0,ROUND($L109*Multa+$L109*Juros/30*$J109,2),0))</f>
        <v>0</v>
      </c>
      <c r="N109" s="22">
        <f>IF($L109="","",IF($L109&lt;=0.005,0,$L109+N($M109)))</f>
        <v>0</v>
      </c>
      <c r="O109" s="23">
        <f>IF(OR($I109="Vencido",$I109="Vencido (parcial)"),"Olá, "&amp;$A109&amp;"! Consta em aberto '"&amp;$B109&amp;"' com vencimento em "&amp;DAY($D109)&amp;"/"&amp;MONTH($D109)&amp;"/"&amp;YEAR($D109)&amp;", no valor de R$ "&amp;FIXED($N109,2)&amp;" (com multa e juros). Podemos ajudar a regularizar hoje? Obrigado!",IF($I109="Vence hoje","Olá, "&amp;$A109&amp;"! Lembrete: '"&amp;$B109&amp;"' vence hoje, no valor de R$ "&amp;FIXED($L109,2)&amp;". Obrigado!",""))</f>
        <v>0</v>
      </c>
    </row>
    <row r="110" spans="1:15">
      <c r="A110" s="13"/>
      <c r="B110" s="13"/>
      <c r="C110" s="17"/>
      <c r="D110" s="17"/>
      <c r="E110" s="18"/>
      <c r="F110" s="17"/>
      <c r="G110" s="18"/>
      <c r="H110" s="13"/>
      <c r="I110" s="19">
        <f>IF($E110="","",IF($L110&lt;=0.005,"Pago",IF($D110="","Sem vencimento",IF($D110&lt;Hoje,IF(N($G110)&gt;0,"Vencido (parcial)","Vencido"),IF($D110=Hoje,"Vence hoje","A vencer")))))</f>
        <v>0</v>
      </c>
      <c r="J110" s="20">
        <f>IF(OR($E110="",$D110=""),"",IF(AND($L110&gt;0.005,$D110&lt;Hoje),Hoje-$D110,0))</f>
        <v>0</v>
      </c>
      <c r="K110" s="20">
        <f>IF($J110="","",IF($L110&lt;=0.005,"Pago",IF($J110&lt;=0,"A vencer",IF($J110&lt;=15,"1-15 dias",IF($J110&lt;=30,"16-30 dias",IF($J110&lt;=60,"31-60 dias","Mais de 60 dias"))))))</f>
        <v>0</v>
      </c>
      <c r="L110" s="21">
        <f>IF($E110="","",MAX(0,$E110-N($G110)))</f>
        <v>0</v>
      </c>
      <c r="M110" s="21">
        <f>IF(OR($L110="",$J110=""),"",IF($J110&gt;0,ROUND($L110*Multa+$L110*Juros/30*$J110,2),0))</f>
        <v>0</v>
      </c>
      <c r="N110" s="22">
        <f>IF($L110="","",IF($L110&lt;=0.005,0,$L110+N($M110)))</f>
        <v>0</v>
      </c>
      <c r="O110" s="23">
        <f>IF(OR($I110="Vencido",$I110="Vencido (parcial)"),"Olá, "&amp;$A110&amp;"! Consta em aberto '"&amp;$B110&amp;"' com vencimento em "&amp;DAY($D110)&amp;"/"&amp;MONTH($D110)&amp;"/"&amp;YEAR($D110)&amp;", no valor de R$ "&amp;FIXED($N110,2)&amp;" (com multa e juros). Podemos ajudar a regularizar hoje? Obrigado!",IF($I110="Vence hoje","Olá, "&amp;$A110&amp;"! Lembrete: '"&amp;$B110&amp;"' vence hoje, no valor de R$ "&amp;FIXED($L110,2)&amp;". Obrigado!",""))</f>
        <v>0</v>
      </c>
    </row>
    <row r="111" spans="1:15">
      <c r="A111" s="13"/>
      <c r="B111" s="13"/>
      <c r="C111" s="17"/>
      <c r="D111" s="17"/>
      <c r="E111" s="18"/>
      <c r="F111" s="17"/>
      <c r="G111" s="18"/>
      <c r="H111" s="13"/>
      <c r="I111" s="19">
        <f>IF($E111="","",IF($L111&lt;=0.005,"Pago",IF($D111="","Sem vencimento",IF($D111&lt;Hoje,IF(N($G111)&gt;0,"Vencido (parcial)","Vencido"),IF($D111=Hoje,"Vence hoje","A vencer")))))</f>
        <v>0</v>
      </c>
      <c r="J111" s="20">
        <f>IF(OR($E111="",$D111=""),"",IF(AND($L111&gt;0.005,$D111&lt;Hoje),Hoje-$D111,0))</f>
        <v>0</v>
      </c>
      <c r="K111" s="20">
        <f>IF($J111="","",IF($L111&lt;=0.005,"Pago",IF($J111&lt;=0,"A vencer",IF($J111&lt;=15,"1-15 dias",IF($J111&lt;=30,"16-30 dias",IF($J111&lt;=60,"31-60 dias","Mais de 60 dias"))))))</f>
        <v>0</v>
      </c>
      <c r="L111" s="21">
        <f>IF($E111="","",MAX(0,$E111-N($G111)))</f>
        <v>0</v>
      </c>
      <c r="M111" s="21">
        <f>IF(OR($L111="",$J111=""),"",IF($J111&gt;0,ROUND($L111*Multa+$L111*Juros/30*$J111,2),0))</f>
        <v>0</v>
      </c>
      <c r="N111" s="22">
        <f>IF($L111="","",IF($L111&lt;=0.005,0,$L111+N($M111)))</f>
        <v>0</v>
      </c>
      <c r="O111" s="23">
        <f>IF(OR($I111="Vencido",$I111="Vencido (parcial)"),"Olá, "&amp;$A111&amp;"! Consta em aberto '"&amp;$B111&amp;"' com vencimento em "&amp;DAY($D111)&amp;"/"&amp;MONTH($D111)&amp;"/"&amp;YEAR($D111)&amp;", no valor de R$ "&amp;FIXED($N111,2)&amp;" (com multa e juros). Podemos ajudar a regularizar hoje? Obrigado!",IF($I111="Vence hoje","Olá, "&amp;$A111&amp;"! Lembrete: '"&amp;$B111&amp;"' vence hoje, no valor de R$ "&amp;FIXED($L111,2)&amp;". Obrigado!",""))</f>
        <v>0</v>
      </c>
    </row>
    <row r="112" spans="1:15">
      <c r="A112" s="13"/>
      <c r="B112" s="13"/>
      <c r="C112" s="17"/>
      <c r="D112" s="17"/>
      <c r="E112" s="18"/>
      <c r="F112" s="17"/>
      <c r="G112" s="18"/>
      <c r="H112" s="13"/>
      <c r="I112" s="19">
        <f>IF($E112="","",IF($L112&lt;=0.005,"Pago",IF($D112="","Sem vencimento",IF($D112&lt;Hoje,IF(N($G112)&gt;0,"Vencido (parcial)","Vencido"),IF($D112=Hoje,"Vence hoje","A vencer")))))</f>
        <v>0</v>
      </c>
      <c r="J112" s="20">
        <f>IF(OR($E112="",$D112=""),"",IF(AND($L112&gt;0.005,$D112&lt;Hoje),Hoje-$D112,0))</f>
        <v>0</v>
      </c>
      <c r="K112" s="20">
        <f>IF($J112="","",IF($L112&lt;=0.005,"Pago",IF($J112&lt;=0,"A vencer",IF($J112&lt;=15,"1-15 dias",IF($J112&lt;=30,"16-30 dias",IF($J112&lt;=60,"31-60 dias","Mais de 60 dias"))))))</f>
        <v>0</v>
      </c>
      <c r="L112" s="21">
        <f>IF($E112="","",MAX(0,$E112-N($G112)))</f>
        <v>0</v>
      </c>
      <c r="M112" s="21">
        <f>IF(OR($L112="",$J112=""),"",IF($J112&gt;0,ROUND($L112*Multa+$L112*Juros/30*$J112,2),0))</f>
        <v>0</v>
      </c>
      <c r="N112" s="22">
        <f>IF($L112="","",IF($L112&lt;=0.005,0,$L112+N($M112)))</f>
        <v>0</v>
      </c>
      <c r="O112" s="23">
        <f>IF(OR($I112="Vencido",$I112="Vencido (parcial)"),"Olá, "&amp;$A112&amp;"! Consta em aberto '"&amp;$B112&amp;"' com vencimento em "&amp;DAY($D112)&amp;"/"&amp;MONTH($D112)&amp;"/"&amp;YEAR($D112)&amp;", no valor de R$ "&amp;FIXED($N112,2)&amp;" (com multa e juros). Podemos ajudar a regularizar hoje? Obrigado!",IF($I112="Vence hoje","Olá, "&amp;$A112&amp;"! Lembrete: '"&amp;$B112&amp;"' vence hoje, no valor de R$ "&amp;FIXED($L112,2)&amp;". Obrigado!",""))</f>
        <v>0</v>
      </c>
    </row>
    <row r="113" spans="1:15">
      <c r="A113" s="13"/>
      <c r="B113" s="13"/>
      <c r="C113" s="17"/>
      <c r="D113" s="17"/>
      <c r="E113" s="18"/>
      <c r="F113" s="17"/>
      <c r="G113" s="18"/>
      <c r="H113" s="13"/>
      <c r="I113" s="19">
        <f>IF($E113="","",IF($L113&lt;=0.005,"Pago",IF($D113="","Sem vencimento",IF($D113&lt;Hoje,IF(N($G113)&gt;0,"Vencido (parcial)","Vencido"),IF($D113=Hoje,"Vence hoje","A vencer")))))</f>
        <v>0</v>
      </c>
      <c r="J113" s="20">
        <f>IF(OR($E113="",$D113=""),"",IF(AND($L113&gt;0.005,$D113&lt;Hoje),Hoje-$D113,0))</f>
        <v>0</v>
      </c>
      <c r="K113" s="20">
        <f>IF($J113="","",IF($L113&lt;=0.005,"Pago",IF($J113&lt;=0,"A vencer",IF($J113&lt;=15,"1-15 dias",IF($J113&lt;=30,"16-30 dias",IF($J113&lt;=60,"31-60 dias","Mais de 60 dias"))))))</f>
        <v>0</v>
      </c>
      <c r="L113" s="21">
        <f>IF($E113="","",MAX(0,$E113-N($G113)))</f>
        <v>0</v>
      </c>
      <c r="M113" s="21">
        <f>IF(OR($L113="",$J113=""),"",IF($J113&gt;0,ROUND($L113*Multa+$L113*Juros/30*$J113,2),0))</f>
        <v>0</v>
      </c>
      <c r="N113" s="22">
        <f>IF($L113="","",IF($L113&lt;=0.005,0,$L113+N($M113)))</f>
        <v>0</v>
      </c>
      <c r="O113" s="23">
        <f>IF(OR($I113="Vencido",$I113="Vencido (parcial)"),"Olá, "&amp;$A113&amp;"! Consta em aberto '"&amp;$B113&amp;"' com vencimento em "&amp;DAY($D113)&amp;"/"&amp;MONTH($D113)&amp;"/"&amp;YEAR($D113)&amp;", no valor de R$ "&amp;FIXED($N113,2)&amp;" (com multa e juros). Podemos ajudar a regularizar hoje? Obrigado!",IF($I113="Vence hoje","Olá, "&amp;$A113&amp;"! Lembrete: '"&amp;$B113&amp;"' vence hoje, no valor de R$ "&amp;FIXED($L113,2)&amp;". Obrigado!",""))</f>
        <v>0</v>
      </c>
    </row>
    <row r="114" spans="1:15">
      <c r="A114" s="13"/>
      <c r="B114" s="13"/>
      <c r="C114" s="17"/>
      <c r="D114" s="17"/>
      <c r="E114" s="18"/>
      <c r="F114" s="17"/>
      <c r="G114" s="18"/>
      <c r="H114" s="13"/>
      <c r="I114" s="19">
        <f>IF($E114="","",IF($L114&lt;=0.005,"Pago",IF($D114="","Sem vencimento",IF($D114&lt;Hoje,IF(N($G114)&gt;0,"Vencido (parcial)","Vencido"),IF($D114=Hoje,"Vence hoje","A vencer")))))</f>
        <v>0</v>
      </c>
      <c r="J114" s="20">
        <f>IF(OR($E114="",$D114=""),"",IF(AND($L114&gt;0.005,$D114&lt;Hoje),Hoje-$D114,0))</f>
        <v>0</v>
      </c>
      <c r="K114" s="20">
        <f>IF($J114="","",IF($L114&lt;=0.005,"Pago",IF($J114&lt;=0,"A vencer",IF($J114&lt;=15,"1-15 dias",IF($J114&lt;=30,"16-30 dias",IF($J114&lt;=60,"31-60 dias","Mais de 60 dias"))))))</f>
        <v>0</v>
      </c>
      <c r="L114" s="21">
        <f>IF($E114="","",MAX(0,$E114-N($G114)))</f>
        <v>0</v>
      </c>
      <c r="M114" s="21">
        <f>IF(OR($L114="",$J114=""),"",IF($J114&gt;0,ROUND($L114*Multa+$L114*Juros/30*$J114,2),0))</f>
        <v>0</v>
      </c>
      <c r="N114" s="22">
        <f>IF($L114="","",IF($L114&lt;=0.005,0,$L114+N($M114)))</f>
        <v>0</v>
      </c>
      <c r="O114" s="23">
        <f>IF(OR($I114="Vencido",$I114="Vencido (parcial)"),"Olá, "&amp;$A114&amp;"! Consta em aberto '"&amp;$B114&amp;"' com vencimento em "&amp;DAY($D114)&amp;"/"&amp;MONTH($D114)&amp;"/"&amp;YEAR($D114)&amp;", no valor de R$ "&amp;FIXED($N114,2)&amp;" (com multa e juros). Podemos ajudar a regularizar hoje? Obrigado!",IF($I114="Vence hoje","Olá, "&amp;$A114&amp;"! Lembrete: '"&amp;$B114&amp;"' vence hoje, no valor de R$ "&amp;FIXED($L114,2)&amp;". Obrigado!",""))</f>
        <v>0</v>
      </c>
    </row>
    <row r="115" spans="1:15">
      <c r="A115" s="13"/>
      <c r="B115" s="13"/>
      <c r="C115" s="17"/>
      <c r="D115" s="17"/>
      <c r="E115" s="18"/>
      <c r="F115" s="17"/>
      <c r="G115" s="18"/>
      <c r="H115" s="13"/>
      <c r="I115" s="19">
        <f>IF($E115="","",IF($L115&lt;=0.005,"Pago",IF($D115="","Sem vencimento",IF($D115&lt;Hoje,IF(N($G115)&gt;0,"Vencido (parcial)","Vencido"),IF($D115=Hoje,"Vence hoje","A vencer")))))</f>
        <v>0</v>
      </c>
      <c r="J115" s="20">
        <f>IF(OR($E115="",$D115=""),"",IF(AND($L115&gt;0.005,$D115&lt;Hoje),Hoje-$D115,0))</f>
        <v>0</v>
      </c>
      <c r="K115" s="20">
        <f>IF($J115="","",IF($L115&lt;=0.005,"Pago",IF($J115&lt;=0,"A vencer",IF($J115&lt;=15,"1-15 dias",IF($J115&lt;=30,"16-30 dias",IF($J115&lt;=60,"31-60 dias","Mais de 60 dias"))))))</f>
        <v>0</v>
      </c>
      <c r="L115" s="21">
        <f>IF($E115="","",MAX(0,$E115-N($G115)))</f>
        <v>0</v>
      </c>
      <c r="M115" s="21">
        <f>IF(OR($L115="",$J115=""),"",IF($J115&gt;0,ROUND($L115*Multa+$L115*Juros/30*$J115,2),0))</f>
        <v>0</v>
      </c>
      <c r="N115" s="22">
        <f>IF($L115="","",IF($L115&lt;=0.005,0,$L115+N($M115)))</f>
        <v>0</v>
      </c>
      <c r="O115" s="23">
        <f>IF(OR($I115="Vencido",$I115="Vencido (parcial)"),"Olá, "&amp;$A115&amp;"! Consta em aberto '"&amp;$B115&amp;"' com vencimento em "&amp;DAY($D115)&amp;"/"&amp;MONTH($D115)&amp;"/"&amp;YEAR($D115)&amp;", no valor de R$ "&amp;FIXED($N115,2)&amp;" (com multa e juros). Podemos ajudar a regularizar hoje? Obrigado!",IF($I115="Vence hoje","Olá, "&amp;$A115&amp;"! Lembrete: '"&amp;$B115&amp;"' vence hoje, no valor de R$ "&amp;FIXED($L115,2)&amp;". Obrigado!",""))</f>
        <v>0</v>
      </c>
    </row>
    <row r="116" spans="1:15">
      <c r="A116" s="13"/>
      <c r="B116" s="13"/>
      <c r="C116" s="17"/>
      <c r="D116" s="17"/>
      <c r="E116" s="18"/>
      <c r="F116" s="17"/>
      <c r="G116" s="18"/>
      <c r="H116" s="13"/>
      <c r="I116" s="19">
        <f>IF($E116="","",IF($L116&lt;=0.005,"Pago",IF($D116="","Sem vencimento",IF($D116&lt;Hoje,IF(N($G116)&gt;0,"Vencido (parcial)","Vencido"),IF($D116=Hoje,"Vence hoje","A vencer")))))</f>
        <v>0</v>
      </c>
      <c r="J116" s="20">
        <f>IF(OR($E116="",$D116=""),"",IF(AND($L116&gt;0.005,$D116&lt;Hoje),Hoje-$D116,0))</f>
        <v>0</v>
      </c>
      <c r="K116" s="20">
        <f>IF($J116="","",IF($L116&lt;=0.005,"Pago",IF($J116&lt;=0,"A vencer",IF($J116&lt;=15,"1-15 dias",IF($J116&lt;=30,"16-30 dias",IF($J116&lt;=60,"31-60 dias","Mais de 60 dias"))))))</f>
        <v>0</v>
      </c>
      <c r="L116" s="21">
        <f>IF($E116="","",MAX(0,$E116-N($G116)))</f>
        <v>0</v>
      </c>
      <c r="M116" s="21">
        <f>IF(OR($L116="",$J116=""),"",IF($J116&gt;0,ROUND($L116*Multa+$L116*Juros/30*$J116,2),0))</f>
        <v>0</v>
      </c>
      <c r="N116" s="22">
        <f>IF($L116="","",IF($L116&lt;=0.005,0,$L116+N($M116)))</f>
        <v>0</v>
      </c>
      <c r="O116" s="23">
        <f>IF(OR($I116="Vencido",$I116="Vencido (parcial)"),"Olá, "&amp;$A116&amp;"! Consta em aberto '"&amp;$B116&amp;"' com vencimento em "&amp;DAY($D116)&amp;"/"&amp;MONTH($D116)&amp;"/"&amp;YEAR($D116)&amp;", no valor de R$ "&amp;FIXED($N116,2)&amp;" (com multa e juros). Podemos ajudar a regularizar hoje? Obrigado!",IF($I116="Vence hoje","Olá, "&amp;$A116&amp;"! Lembrete: '"&amp;$B116&amp;"' vence hoje, no valor de R$ "&amp;FIXED($L116,2)&amp;". Obrigado!",""))</f>
        <v>0</v>
      </c>
    </row>
    <row r="117" spans="1:15">
      <c r="A117" s="13"/>
      <c r="B117" s="13"/>
      <c r="C117" s="17"/>
      <c r="D117" s="17"/>
      <c r="E117" s="18"/>
      <c r="F117" s="17"/>
      <c r="G117" s="18"/>
      <c r="H117" s="13"/>
      <c r="I117" s="19">
        <f>IF($E117="","",IF($L117&lt;=0.005,"Pago",IF($D117="","Sem vencimento",IF($D117&lt;Hoje,IF(N($G117)&gt;0,"Vencido (parcial)","Vencido"),IF($D117=Hoje,"Vence hoje","A vencer")))))</f>
        <v>0</v>
      </c>
      <c r="J117" s="20">
        <f>IF(OR($E117="",$D117=""),"",IF(AND($L117&gt;0.005,$D117&lt;Hoje),Hoje-$D117,0))</f>
        <v>0</v>
      </c>
      <c r="K117" s="20">
        <f>IF($J117="","",IF($L117&lt;=0.005,"Pago",IF($J117&lt;=0,"A vencer",IF($J117&lt;=15,"1-15 dias",IF($J117&lt;=30,"16-30 dias",IF($J117&lt;=60,"31-60 dias","Mais de 60 dias"))))))</f>
        <v>0</v>
      </c>
      <c r="L117" s="21">
        <f>IF($E117="","",MAX(0,$E117-N($G117)))</f>
        <v>0</v>
      </c>
      <c r="M117" s="21">
        <f>IF(OR($L117="",$J117=""),"",IF($J117&gt;0,ROUND($L117*Multa+$L117*Juros/30*$J117,2),0))</f>
        <v>0</v>
      </c>
      <c r="N117" s="22">
        <f>IF($L117="","",IF($L117&lt;=0.005,0,$L117+N($M117)))</f>
        <v>0</v>
      </c>
      <c r="O117" s="23">
        <f>IF(OR($I117="Vencido",$I117="Vencido (parcial)"),"Olá, "&amp;$A117&amp;"! Consta em aberto '"&amp;$B117&amp;"' com vencimento em "&amp;DAY($D117)&amp;"/"&amp;MONTH($D117)&amp;"/"&amp;YEAR($D117)&amp;", no valor de R$ "&amp;FIXED($N117,2)&amp;" (com multa e juros). Podemos ajudar a regularizar hoje? Obrigado!",IF($I117="Vence hoje","Olá, "&amp;$A117&amp;"! Lembrete: '"&amp;$B117&amp;"' vence hoje, no valor de R$ "&amp;FIXED($L117,2)&amp;". Obrigado!",""))</f>
        <v>0</v>
      </c>
    </row>
    <row r="118" spans="1:15">
      <c r="A118" s="13"/>
      <c r="B118" s="13"/>
      <c r="C118" s="17"/>
      <c r="D118" s="17"/>
      <c r="E118" s="18"/>
      <c r="F118" s="17"/>
      <c r="G118" s="18"/>
      <c r="H118" s="13"/>
      <c r="I118" s="19">
        <f>IF($E118="","",IF($L118&lt;=0.005,"Pago",IF($D118="","Sem vencimento",IF($D118&lt;Hoje,IF(N($G118)&gt;0,"Vencido (parcial)","Vencido"),IF($D118=Hoje,"Vence hoje","A vencer")))))</f>
        <v>0</v>
      </c>
      <c r="J118" s="20">
        <f>IF(OR($E118="",$D118=""),"",IF(AND($L118&gt;0.005,$D118&lt;Hoje),Hoje-$D118,0))</f>
        <v>0</v>
      </c>
      <c r="K118" s="20">
        <f>IF($J118="","",IF($L118&lt;=0.005,"Pago",IF($J118&lt;=0,"A vencer",IF($J118&lt;=15,"1-15 dias",IF($J118&lt;=30,"16-30 dias",IF($J118&lt;=60,"31-60 dias","Mais de 60 dias"))))))</f>
        <v>0</v>
      </c>
      <c r="L118" s="21">
        <f>IF($E118="","",MAX(0,$E118-N($G118)))</f>
        <v>0</v>
      </c>
      <c r="M118" s="21">
        <f>IF(OR($L118="",$J118=""),"",IF($J118&gt;0,ROUND($L118*Multa+$L118*Juros/30*$J118,2),0))</f>
        <v>0</v>
      </c>
      <c r="N118" s="22">
        <f>IF($L118="","",IF($L118&lt;=0.005,0,$L118+N($M118)))</f>
        <v>0</v>
      </c>
      <c r="O118" s="23">
        <f>IF(OR($I118="Vencido",$I118="Vencido (parcial)"),"Olá, "&amp;$A118&amp;"! Consta em aberto '"&amp;$B118&amp;"' com vencimento em "&amp;DAY($D118)&amp;"/"&amp;MONTH($D118)&amp;"/"&amp;YEAR($D118)&amp;", no valor de R$ "&amp;FIXED($N118,2)&amp;" (com multa e juros). Podemos ajudar a regularizar hoje? Obrigado!",IF($I118="Vence hoje","Olá, "&amp;$A118&amp;"! Lembrete: '"&amp;$B118&amp;"' vence hoje, no valor de R$ "&amp;FIXED($L118,2)&amp;". Obrigado!",""))</f>
        <v>0</v>
      </c>
    </row>
    <row r="119" spans="1:15">
      <c r="A119" s="13"/>
      <c r="B119" s="13"/>
      <c r="C119" s="17"/>
      <c r="D119" s="17"/>
      <c r="E119" s="18"/>
      <c r="F119" s="17"/>
      <c r="G119" s="18"/>
      <c r="H119" s="13"/>
      <c r="I119" s="19">
        <f>IF($E119="","",IF($L119&lt;=0.005,"Pago",IF($D119="","Sem vencimento",IF($D119&lt;Hoje,IF(N($G119)&gt;0,"Vencido (parcial)","Vencido"),IF($D119=Hoje,"Vence hoje","A vencer")))))</f>
        <v>0</v>
      </c>
      <c r="J119" s="20">
        <f>IF(OR($E119="",$D119=""),"",IF(AND($L119&gt;0.005,$D119&lt;Hoje),Hoje-$D119,0))</f>
        <v>0</v>
      </c>
      <c r="K119" s="20">
        <f>IF($J119="","",IF($L119&lt;=0.005,"Pago",IF($J119&lt;=0,"A vencer",IF($J119&lt;=15,"1-15 dias",IF($J119&lt;=30,"16-30 dias",IF($J119&lt;=60,"31-60 dias","Mais de 60 dias"))))))</f>
        <v>0</v>
      </c>
      <c r="L119" s="21">
        <f>IF($E119="","",MAX(0,$E119-N($G119)))</f>
        <v>0</v>
      </c>
      <c r="M119" s="21">
        <f>IF(OR($L119="",$J119=""),"",IF($J119&gt;0,ROUND($L119*Multa+$L119*Juros/30*$J119,2),0))</f>
        <v>0</v>
      </c>
      <c r="N119" s="22">
        <f>IF($L119="","",IF($L119&lt;=0.005,0,$L119+N($M119)))</f>
        <v>0</v>
      </c>
      <c r="O119" s="23">
        <f>IF(OR($I119="Vencido",$I119="Vencido (parcial)"),"Olá, "&amp;$A119&amp;"! Consta em aberto '"&amp;$B119&amp;"' com vencimento em "&amp;DAY($D119)&amp;"/"&amp;MONTH($D119)&amp;"/"&amp;YEAR($D119)&amp;", no valor de R$ "&amp;FIXED($N119,2)&amp;" (com multa e juros). Podemos ajudar a regularizar hoje? Obrigado!",IF($I119="Vence hoje","Olá, "&amp;$A119&amp;"! Lembrete: '"&amp;$B119&amp;"' vence hoje, no valor de R$ "&amp;FIXED($L119,2)&amp;". Obrigado!",""))</f>
        <v>0</v>
      </c>
    </row>
    <row r="120" spans="1:15">
      <c r="A120" s="13"/>
      <c r="B120" s="13"/>
      <c r="C120" s="17"/>
      <c r="D120" s="17"/>
      <c r="E120" s="18"/>
      <c r="F120" s="17"/>
      <c r="G120" s="18"/>
      <c r="H120" s="13"/>
      <c r="I120" s="19">
        <f>IF($E120="","",IF($L120&lt;=0.005,"Pago",IF($D120="","Sem vencimento",IF($D120&lt;Hoje,IF(N($G120)&gt;0,"Vencido (parcial)","Vencido"),IF($D120=Hoje,"Vence hoje","A vencer")))))</f>
        <v>0</v>
      </c>
      <c r="J120" s="20">
        <f>IF(OR($E120="",$D120=""),"",IF(AND($L120&gt;0.005,$D120&lt;Hoje),Hoje-$D120,0))</f>
        <v>0</v>
      </c>
      <c r="K120" s="20">
        <f>IF($J120="","",IF($L120&lt;=0.005,"Pago",IF($J120&lt;=0,"A vencer",IF($J120&lt;=15,"1-15 dias",IF($J120&lt;=30,"16-30 dias",IF($J120&lt;=60,"31-60 dias","Mais de 60 dias"))))))</f>
        <v>0</v>
      </c>
      <c r="L120" s="21">
        <f>IF($E120="","",MAX(0,$E120-N($G120)))</f>
        <v>0</v>
      </c>
      <c r="M120" s="21">
        <f>IF(OR($L120="",$J120=""),"",IF($J120&gt;0,ROUND($L120*Multa+$L120*Juros/30*$J120,2),0))</f>
        <v>0</v>
      </c>
      <c r="N120" s="22">
        <f>IF($L120="","",IF($L120&lt;=0.005,0,$L120+N($M120)))</f>
        <v>0</v>
      </c>
      <c r="O120" s="23">
        <f>IF(OR($I120="Vencido",$I120="Vencido (parcial)"),"Olá, "&amp;$A120&amp;"! Consta em aberto '"&amp;$B120&amp;"' com vencimento em "&amp;DAY($D120)&amp;"/"&amp;MONTH($D120)&amp;"/"&amp;YEAR($D120)&amp;", no valor de R$ "&amp;FIXED($N120,2)&amp;" (com multa e juros). Podemos ajudar a regularizar hoje? Obrigado!",IF($I120="Vence hoje","Olá, "&amp;$A120&amp;"! Lembrete: '"&amp;$B120&amp;"' vence hoje, no valor de R$ "&amp;FIXED($L120,2)&amp;". Obrigado!",""))</f>
        <v>0</v>
      </c>
    </row>
    <row r="121" spans="1:15">
      <c r="A121" s="13"/>
      <c r="B121" s="13"/>
      <c r="C121" s="17"/>
      <c r="D121" s="17"/>
      <c r="E121" s="18"/>
      <c r="F121" s="17"/>
      <c r="G121" s="18"/>
      <c r="H121" s="13"/>
      <c r="I121" s="19">
        <f>IF($E121="","",IF($L121&lt;=0.005,"Pago",IF($D121="","Sem vencimento",IF($D121&lt;Hoje,IF(N($G121)&gt;0,"Vencido (parcial)","Vencido"),IF($D121=Hoje,"Vence hoje","A vencer")))))</f>
        <v>0</v>
      </c>
      <c r="J121" s="20">
        <f>IF(OR($E121="",$D121=""),"",IF(AND($L121&gt;0.005,$D121&lt;Hoje),Hoje-$D121,0))</f>
        <v>0</v>
      </c>
      <c r="K121" s="20">
        <f>IF($J121="","",IF($L121&lt;=0.005,"Pago",IF($J121&lt;=0,"A vencer",IF($J121&lt;=15,"1-15 dias",IF($J121&lt;=30,"16-30 dias",IF($J121&lt;=60,"31-60 dias","Mais de 60 dias"))))))</f>
        <v>0</v>
      </c>
      <c r="L121" s="21">
        <f>IF($E121="","",MAX(0,$E121-N($G121)))</f>
        <v>0</v>
      </c>
      <c r="M121" s="21">
        <f>IF(OR($L121="",$J121=""),"",IF($J121&gt;0,ROUND($L121*Multa+$L121*Juros/30*$J121,2),0))</f>
        <v>0</v>
      </c>
      <c r="N121" s="22">
        <f>IF($L121="","",IF($L121&lt;=0.005,0,$L121+N($M121)))</f>
        <v>0</v>
      </c>
      <c r="O121" s="23">
        <f>IF(OR($I121="Vencido",$I121="Vencido (parcial)"),"Olá, "&amp;$A121&amp;"! Consta em aberto '"&amp;$B121&amp;"' com vencimento em "&amp;DAY($D121)&amp;"/"&amp;MONTH($D121)&amp;"/"&amp;YEAR($D121)&amp;", no valor de R$ "&amp;FIXED($N121,2)&amp;" (com multa e juros). Podemos ajudar a regularizar hoje? Obrigado!",IF($I121="Vence hoje","Olá, "&amp;$A121&amp;"! Lembrete: '"&amp;$B121&amp;"' vence hoje, no valor de R$ "&amp;FIXED($L121,2)&amp;". Obrigado!",""))</f>
        <v>0</v>
      </c>
    </row>
    <row r="122" spans="1:15">
      <c r="A122" s="13"/>
      <c r="B122" s="13"/>
      <c r="C122" s="17"/>
      <c r="D122" s="17"/>
      <c r="E122" s="18"/>
      <c r="F122" s="17"/>
      <c r="G122" s="18"/>
      <c r="H122" s="13"/>
      <c r="I122" s="19">
        <f>IF($E122="","",IF($L122&lt;=0.005,"Pago",IF($D122="","Sem vencimento",IF($D122&lt;Hoje,IF(N($G122)&gt;0,"Vencido (parcial)","Vencido"),IF($D122=Hoje,"Vence hoje","A vencer")))))</f>
        <v>0</v>
      </c>
      <c r="J122" s="20">
        <f>IF(OR($E122="",$D122=""),"",IF(AND($L122&gt;0.005,$D122&lt;Hoje),Hoje-$D122,0))</f>
        <v>0</v>
      </c>
      <c r="K122" s="20">
        <f>IF($J122="","",IF($L122&lt;=0.005,"Pago",IF($J122&lt;=0,"A vencer",IF($J122&lt;=15,"1-15 dias",IF($J122&lt;=30,"16-30 dias",IF($J122&lt;=60,"31-60 dias","Mais de 60 dias"))))))</f>
        <v>0</v>
      </c>
      <c r="L122" s="21">
        <f>IF($E122="","",MAX(0,$E122-N($G122)))</f>
        <v>0</v>
      </c>
      <c r="M122" s="21">
        <f>IF(OR($L122="",$J122=""),"",IF($J122&gt;0,ROUND($L122*Multa+$L122*Juros/30*$J122,2),0))</f>
        <v>0</v>
      </c>
      <c r="N122" s="22">
        <f>IF($L122="","",IF($L122&lt;=0.005,0,$L122+N($M122)))</f>
        <v>0</v>
      </c>
      <c r="O122" s="23">
        <f>IF(OR($I122="Vencido",$I122="Vencido (parcial)"),"Olá, "&amp;$A122&amp;"! Consta em aberto '"&amp;$B122&amp;"' com vencimento em "&amp;DAY($D122)&amp;"/"&amp;MONTH($D122)&amp;"/"&amp;YEAR($D122)&amp;", no valor de R$ "&amp;FIXED($N122,2)&amp;" (com multa e juros). Podemos ajudar a regularizar hoje? Obrigado!",IF($I122="Vence hoje","Olá, "&amp;$A122&amp;"! Lembrete: '"&amp;$B122&amp;"' vence hoje, no valor de R$ "&amp;FIXED($L122,2)&amp;". Obrigado!",""))</f>
        <v>0</v>
      </c>
    </row>
    <row r="123" spans="1:15">
      <c r="A123" s="13"/>
      <c r="B123" s="13"/>
      <c r="C123" s="17"/>
      <c r="D123" s="17"/>
      <c r="E123" s="18"/>
      <c r="F123" s="17"/>
      <c r="G123" s="18"/>
      <c r="H123" s="13"/>
      <c r="I123" s="19">
        <f>IF($E123="","",IF($L123&lt;=0.005,"Pago",IF($D123="","Sem vencimento",IF($D123&lt;Hoje,IF(N($G123)&gt;0,"Vencido (parcial)","Vencido"),IF($D123=Hoje,"Vence hoje","A vencer")))))</f>
        <v>0</v>
      </c>
      <c r="J123" s="20">
        <f>IF(OR($E123="",$D123=""),"",IF(AND($L123&gt;0.005,$D123&lt;Hoje),Hoje-$D123,0))</f>
        <v>0</v>
      </c>
      <c r="K123" s="20">
        <f>IF($J123="","",IF($L123&lt;=0.005,"Pago",IF($J123&lt;=0,"A vencer",IF($J123&lt;=15,"1-15 dias",IF($J123&lt;=30,"16-30 dias",IF($J123&lt;=60,"31-60 dias","Mais de 60 dias"))))))</f>
        <v>0</v>
      </c>
      <c r="L123" s="21">
        <f>IF($E123="","",MAX(0,$E123-N($G123)))</f>
        <v>0</v>
      </c>
      <c r="M123" s="21">
        <f>IF(OR($L123="",$J123=""),"",IF($J123&gt;0,ROUND($L123*Multa+$L123*Juros/30*$J123,2),0))</f>
        <v>0</v>
      </c>
      <c r="N123" s="22">
        <f>IF($L123="","",IF($L123&lt;=0.005,0,$L123+N($M123)))</f>
        <v>0</v>
      </c>
      <c r="O123" s="23">
        <f>IF(OR($I123="Vencido",$I123="Vencido (parcial)"),"Olá, "&amp;$A123&amp;"! Consta em aberto '"&amp;$B123&amp;"' com vencimento em "&amp;DAY($D123)&amp;"/"&amp;MONTH($D123)&amp;"/"&amp;YEAR($D123)&amp;", no valor de R$ "&amp;FIXED($N123,2)&amp;" (com multa e juros). Podemos ajudar a regularizar hoje? Obrigado!",IF($I123="Vence hoje","Olá, "&amp;$A123&amp;"! Lembrete: '"&amp;$B123&amp;"' vence hoje, no valor de R$ "&amp;FIXED($L123,2)&amp;". Obrigado!",""))</f>
        <v>0</v>
      </c>
    </row>
    <row r="124" spans="1:15">
      <c r="A124" s="13"/>
      <c r="B124" s="13"/>
      <c r="C124" s="17"/>
      <c r="D124" s="17"/>
      <c r="E124" s="18"/>
      <c r="F124" s="17"/>
      <c r="G124" s="18"/>
      <c r="H124" s="13"/>
      <c r="I124" s="19">
        <f>IF($E124="","",IF($L124&lt;=0.005,"Pago",IF($D124="","Sem vencimento",IF($D124&lt;Hoje,IF(N($G124)&gt;0,"Vencido (parcial)","Vencido"),IF($D124=Hoje,"Vence hoje","A vencer")))))</f>
        <v>0</v>
      </c>
      <c r="J124" s="20">
        <f>IF(OR($E124="",$D124=""),"",IF(AND($L124&gt;0.005,$D124&lt;Hoje),Hoje-$D124,0))</f>
        <v>0</v>
      </c>
      <c r="K124" s="20">
        <f>IF($J124="","",IF($L124&lt;=0.005,"Pago",IF($J124&lt;=0,"A vencer",IF($J124&lt;=15,"1-15 dias",IF($J124&lt;=30,"16-30 dias",IF($J124&lt;=60,"31-60 dias","Mais de 60 dias"))))))</f>
        <v>0</v>
      </c>
      <c r="L124" s="21">
        <f>IF($E124="","",MAX(0,$E124-N($G124)))</f>
        <v>0</v>
      </c>
      <c r="M124" s="21">
        <f>IF(OR($L124="",$J124=""),"",IF($J124&gt;0,ROUND($L124*Multa+$L124*Juros/30*$J124,2),0))</f>
        <v>0</v>
      </c>
      <c r="N124" s="22">
        <f>IF($L124="","",IF($L124&lt;=0.005,0,$L124+N($M124)))</f>
        <v>0</v>
      </c>
      <c r="O124" s="23">
        <f>IF(OR($I124="Vencido",$I124="Vencido (parcial)"),"Olá, "&amp;$A124&amp;"! Consta em aberto '"&amp;$B124&amp;"' com vencimento em "&amp;DAY($D124)&amp;"/"&amp;MONTH($D124)&amp;"/"&amp;YEAR($D124)&amp;", no valor de R$ "&amp;FIXED($N124,2)&amp;" (com multa e juros). Podemos ajudar a regularizar hoje? Obrigado!",IF($I124="Vence hoje","Olá, "&amp;$A124&amp;"! Lembrete: '"&amp;$B124&amp;"' vence hoje, no valor de R$ "&amp;FIXED($L124,2)&amp;". Obrigado!",""))</f>
        <v>0</v>
      </c>
    </row>
    <row r="125" spans="1:15">
      <c r="A125" s="13"/>
      <c r="B125" s="13"/>
      <c r="C125" s="17"/>
      <c r="D125" s="17"/>
      <c r="E125" s="18"/>
      <c r="F125" s="17"/>
      <c r="G125" s="18"/>
      <c r="H125" s="13"/>
      <c r="I125" s="19">
        <f>IF($E125="","",IF($L125&lt;=0.005,"Pago",IF($D125="","Sem vencimento",IF($D125&lt;Hoje,IF(N($G125)&gt;0,"Vencido (parcial)","Vencido"),IF($D125=Hoje,"Vence hoje","A vencer")))))</f>
        <v>0</v>
      </c>
      <c r="J125" s="20">
        <f>IF(OR($E125="",$D125=""),"",IF(AND($L125&gt;0.005,$D125&lt;Hoje),Hoje-$D125,0))</f>
        <v>0</v>
      </c>
      <c r="K125" s="20">
        <f>IF($J125="","",IF($L125&lt;=0.005,"Pago",IF($J125&lt;=0,"A vencer",IF($J125&lt;=15,"1-15 dias",IF($J125&lt;=30,"16-30 dias",IF($J125&lt;=60,"31-60 dias","Mais de 60 dias"))))))</f>
        <v>0</v>
      </c>
      <c r="L125" s="21">
        <f>IF($E125="","",MAX(0,$E125-N($G125)))</f>
        <v>0</v>
      </c>
      <c r="M125" s="21">
        <f>IF(OR($L125="",$J125=""),"",IF($J125&gt;0,ROUND($L125*Multa+$L125*Juros/30*$J125,2),0))</f>
        <v>0</v>
      </c>
      <c r="N125" s="22">
        <f>IF($L125="","",IF($L125&lt;=0.005,0,$L125+N($M125)))</f>
        <v>0</v>
      </c>
      <c r="O125" s="23">
        <f>IF(OR($I125="Vencido",$I125="Vencido (parcial)"),"Olá, "&amp;$A125&amp;"! Consta em aberto '"&amp;$B125&amp;"' com vencimento em "&amp;DAY($D125)&amp;"/"&amp;MONTH($D125)&amp;"/"&amp;YEAR($D125)&amp;", no valor de R$ "&amp;FIXED($N125,2)&amp;" (com multa e juros). Podemos ajudar a regularizar hoje? Obrigado!",IF($I125="Vence hoje","Olá, "&amp;$A125&amp;"! Lembrete: '"&amp;$B125&amp;"' vence hoje, no valor de R$ "&amp;FIXED($L125,2)&amp;". Obrigado!",""))</f>
        <v>0</v>
      </c>
    </row>
    <row r="126" spans="1:15">
      <c r="A126" s="13"/>
      <c r="B126" s="13"/>
      <c r="C126" s="17"/>
      <c r="D126" s="17"/>
      <c r="E126" s="18"/>
      <c r="F126" s="17"/>
      <c r="G126" s="18"/>
      <c r="H126" s="13"/>
      <c r="I126" s="19">
        <f>IF($E126="","",IF($L126&lt;=0.005,"Pago",IF($D126="","Sem vencimento",IF($D126&lt;Hoje,IF(N($G126)&gt;0,"Vencido (parcial)","Vencido"),IF($D126=Hoje,"Vence hoje","A vencer")))))</f>
        <v>0</v>
      </c>
      <c r="J126" s="20">
        <f>IF(OR($E126="",$D126=""),"",IF(AND($L126&gt;0.005,$D126&lt;Hoje),Hoje-$D126,0))</f>
        <v>0</v>
      </c>
      <c r="K126" s="20">
        <f>IF($J126="","",IF($L126&lt;=0.005,"Pago",IF($J126&lt;=0,"A vencer",IF($J126&lt;=15,"1-15 dias",IF($J126&lt;=30,"16-30 dias",IF($J126&lt;=60,"31-60 dias","Mais de 60 dias"))))))</f>
        <v>0</v>
      </c>
      <c r="L126" s="21">
        <f>IF($E126="","",MAX(0,$E126-N($G126)))</f>
        <v>0</v>
      </c>
      <c r="M126" s="21">
        <f>IF(OR($L126="",$J126=""),"",IF($J126&gt;0,ROUND($L126*Multa+$L126*Juros/30*$J126,2),0))</f>
        <v>0</v>
      </c>
      <c r="N126" s="22">
        <f>IF($L126="","",IF($L126&lt;=0.005,0,$L126+N($M126)))</f>
        <v>0</v>
      </c>
      <c r="O126" s="23">
        <f>IF(OR($I126="Vencido",$I126="Vencido (parcial)"),"Olá, "&amp;$A126&amp;"! Consta em aberto '"&amp;$B126&amp;"' com vencimento em "&amp;DAY($D126)&amp;"/"&amp;MONTH($D126)&amp;"/"&amp;YEAR($D126)&amp;", no valor de R$ "&amp;FIXED($N126,2)&amp;" (com multa e juros). Podemos ajudar a regularizar hoje? Obrigado!",IF($I126="Vence hoje","Olá, "&amp;$A126&amp;"! Lembrete: '"&amp;$B126&amp;"' vence hoje, no valor de R$ "&amp;FIXED($L126,2)&amp;". Obrigado!",""))</f>
        <v>0</v>
      </c>
    </row>
    <row r="127" spans="1:15">
      <c r="A127" s="13"/>
      <c r="B127" s="13"/>
      <c r="C127" s="17"/>
      <c r="D127" s="17"/>
      <c r="E127" s="18"/>
      <c r="F127" s="17"/>
      <c r="G127" s="18"/>
      <c r="H127" s="13"/>
      <c r="I127" s="19">
        <f>IF($E127="","",IF($L127&lt;=0.005,"Pago",IF($D127="","Sem vencimento",IF($D127&lt;Hoje,IF(N($G127)&gt;0,"Vencido (parcial)","Vencido"),IF($D127=Hoje,"Vence hoje","A vencer")))))</f>
        <v>0</v>
      </c>
      <c r="J127" s="20">
        <f>IF(OR($E127="",$D127=""),"",IF(AND($L127&gt;0.005,$D127&lt;Hoje),Hoje-$D127,0))</f>
        <v>0</v>
      </c>
      <c r="K127" s="20">
        <f>IF($J127="","",IF($L127&lt;=0.005,"Pago",IF($J127&lt;=0,"A vencer",IF($J127&lt;=15,"1-15 dias",IF($J127&lt;=30,"16-30 dias",IF($J127&lt;=60,"31-60 dias","Mais de 60 dias"))))))</f>
        <v>0</v>
      </c>
      <c r="L127" s="21">
        <f>IF($E127="","",MAX(0,$E127-N($G127)))</f>
        <v>0</v>
      </c>
      <c r="M127" s="21">
        <f>IF(OR($L127="",$J127=""),"",IF($J127&gt;0,ROUND($L127*Multa+$L127*Juros/30*$J127,2),0))</f>
        <v>0</v>
      </c>
      <c r="N127" s="22">
        <f>IF($L127="","",IF($L127&lt;=0.005,0,$L127+N($M127)))</f>
        <v>0</v>
      </c>
      <c r="O127" s="23">
        <f>IF(OR($I127="Vencido",$I127="Vencido (parcial)"),"Olá, "&amp;$A127&amp;"! Consta em aberto '"&amp;$B127&amp;"' com vencimento em "&amp;DAY($D127)&amp;"/"&amp;MONTH($D127)&amp;"/"&amp;YEAR($D127)&amp;", no valor de R$ "&amp;FIXED($N127,2)&amp;" (com multa e juros). Podemos ajudar a regularizar hoje? Obrigado!",IF($I127="Vence hoje","Olá, "&amp;$A127&amp;"! Lembrete: '"&amp;$B127&amp;"' vence hoje, no valor de R$ "&amp;FIXED($L127,2)&amp;". Obrigado!",""))</f>
        <v>0</v>
      </c>
    </row>
    <row r="128" spans="1:15">
      <c r="A128" s="13"/>
      <c r="B128" s="13"/>
      <c r="C128" s="17"/>
      <c r="D128" s="17"/>
      <c r="E128" s="18"/>
      <c r="F128" s="17"/>
      <c r="G128" s="18"/>
      <c r="H128" s="13"/>
      <c r="I128" s="19">
        <f>IF($E128="","",IF($L128&lt;=0.005,"Pago",IF($D128="","Sem vencimento",IF($D128&lt;Hoje,IF(N($G128)&gt;0,"Vencido (parcial)","Vencido"),IF($D128=Hoje,"Vence hoje","A vencer")))))</f>
        <v>0</v>
      </c>
      <c r="J128" s="20">
        <f>IF(OR($E128="",$D128=""),"",IF(AND($L128&gt;0.005,$D128&lt;Hoje),Hoje-$D128,0))</f>
        <v>0</v>
      </c>
      <c r="K128" s="20">
        <f>IF($J128="","",IF($L128&lt;=0.005,"Pago",IF($J128&lt;=0,"A vencer",IF($J128&lt;=15,"1-15 dias",IF($J128&lt;=30,"16-30 dias",IF($J128&lt;=60,"31-60 dias","Mais de 60 dias"))))))</f>
        <v>0</v>
      </c>
      <c r="L128" s="21">
        <f>IF($E128="","",MAX(0,$E128-N($G128)))</f>
        <v>0</v>
      </c>
      <c r="M128" s="21">
        <f>IF(OR($L128="",$J128=""),"",IF($J128&gt;0,ROUND($L128*Multa+$L128*Juros/30*$J128,2),0))</f>
        <v>0</v>
      </c>
      <c r="N128" s="22">
        <f>IF($L128="","",IF($L128&lt;=0.005,0,$L128+N($M128)))</f>
        <v>0</v>
      </c>
      <c r="O128" s="23">
        <f>IF(OR($I128="Vencido",$I128="Vencido (parcial)"),"Olá, "&amp;$A128&amp;"! Consta em aberto '"&amp;$B128&amp;"' com vencimento em "&amp;DAY($D128)&amp;"/"&amp;MONTH($D128)&amp;"/"&amp;YEAR($D128)&amp;", no valor de R$ "&amp;FIXED($N128,2)&amp;" (com multa e juros). Podemos ajudar a regularizar hoje? Obrigado!",IF($I128="Vence hoje","Olá, "&amp;$A128&amp;"! Lembrete: '"&amp;$B128&amp;"' vence hoje, no valor de R$ "&amp;FIXED($L128,2)&amp;". Obrigado!",""))</f>
        <v>0</v>
      </c>
    </row>
    <row r="129" spans="1:15">
      <c r="A129" s="13"/>
      <c r="B129" s="13"/>
      <c r="C129" s="17"/>
      <c r="D129" s="17"/>
      <c r="E129" s="18"/>
      <c r="F129" s="17"/>
      <c r="G129" s="18"/>
      <c r="H129" s="13"/>
      <c r="I129" s="19">
        <f>IF($E129="","",IF($L129&lt;=0.005,"Pago",IF($D129="","Sem vencimento",IF($D129&lt;Hoje,IF(N($G129)&gt;0,"Vencido (parcial)","Vencido"),IF($D129=Hoje,"Vence hoje","A vencer")))))</f>
        <v>0</v>
      </c>
      <c r="J129" s="20">
        <f>IF(OR($E129="",$D129=""),"",IF(AND($L129&gt;0.005,$D129&lt;Hoje),Hoje-$D129,0))</f>
        <v>0</v>
      </c>
      <c r="K129" s="20">
        <f>IF($J129="","",IF($L129&lt;=0.005,"Pago",IF($J129&lt;=0,"A vencer",IF($J129&lt;=15,"1-15 dias",IF($J129&lt;=30,"16-30 dias",IF($J129&lt;=60,"31-60 dias","Mais de 60 dias"))))))</f>
        <v>0</v>
      </c>
      <c r="L129" s="21">
        <f>IF($E129="","",MAX(0,$E129-N($G129)))</f>
        <v>0</v>
      </c>
      <c r="M129" s="21">
        <f>IF(OR($L129="",$J129=""),"",IF($J129&gt;0,ROUND($L129*Multa+$L129*Juros/30*$J129,2),0))</f>
        <v>0</v>
      </c>
      <c r="N129" s="22">
        <f>IF($L129="","",IF($L129&lt;=0.005,0,$L129+N($M129)))</f>
        <v>0</v>
      </c>
      <c r="O129" s="23">
        <f>IF(OR($I129="Vencido",$I129="Vencido (parcial)"),"Olá, "&amp;$A129&amp;"! Consta em aberto '"&amp;$B129&amp;"' com vencimento em "&amp;DAY($D129)&amp;"/"&amp;MONTH($D129)&amp;"/"&amp;YEAR($D129)&amp;", no valor de R$ "&amp;FIXED($N129,2)&amp;" (com multa e juros). Podemos ajudar a regularizar hoje? Obrigado!",IF($I129="Vence hoje","Olá, "&amp;$A129&amp;"! Lembrete: '"&amp;$B129&amp;"' vence hoje, no valor de R$ "&amp;FIXED($L129,2)&amp;". Obrigado!",""))</f>
        <v>0</v>
      </c>
    </row>
    <row r="130" spans="1:15">
      <c r="A130" s="13"/>
      <c r="B130" s="13"/>
      <c r="C130" s="17"/>
      <c r="D130" s="17"/>
      <c r="E130" s="18"/>
      <c r="F130" s="17"/>
      <c r="G130" s="18"/>
      <c r="H130" s="13"/>
      <c r="I130" s="19">
        <f>IF($E130="","",IF($L130&lt;=0.005,"Pago",IF($D130="","Sem vencimento",IF($D130&lt;Hoje,IF(N($G130)&gt;0,"Vencido (parcial)","Vencido"),IF($D130=Hoje,"Vence hoje","A vencer")))))</f>
        <v>0</v>
      </c>
      <c r="J130" s="20">
        <f>IF(OR($E130="",$D130=""),"",IF(AND($L130&gt;0.005,$D130&lt;Hoje),Hoje-$D130,0))</f>
        <v>0</v>
      </c>
      <c r="K130" s="20">
        <f>IF($J130="","",IF($L130&lt;=0.005,"Pago",IF($J130&lt;=0,"A vencer",IF($J130&lt;=15,"1-15 dias",IF($J130&lt;=30,"16-30 dias",IF($J130&lt;=60,"31-60 dias","Mais de 60 dias"))))))</f>
        <v>0</v>
      </c>
      <c r="L130" s="21">
        <f>IF($E130="","",MAX(0,$E130-N($G130)))</f>
        <v>0</v>
      </c>
      <c r="M130" s="21">
        <f>IF(OR($L130="",$J130=""),"",IF($J130&gt;0,ROUND($L130*Multa+$L130*Juros/30*$J130,2),0))</f>
        <v>0</v>
      </c>
      <c r="N130" s="22">
        <f>IF($L130="","",IF($L130&lt;=0.005,0,$L130+N($M130)))</f>
        <v>0</v>
      </c>
      <c r="O130" s="23">
        <f>IF(OR($I130="Vencido",$I130="Vencido (parcial)"),"Olá, "&amp;$A130&amp;"! Consta em aberto '"&amp;$B130&amp;"' com vencimento em "&amp;DAY($D130)&amp;"/"&amp;MONTH($D130)&amp;"/"&amp;YEAR($D130)&amp;", no valor de R$ "&amp;FIXED($N130,2)&amp;" (com multa e juros). Podemos ajudar a regularizar hoje? Obrigado!",IF($I130="Vence hoje","Olá, "&amp;$A130&amp;"! Lembrete: '"&amp;$B130&amp;"' vence hoje, no valor de R$ "&amp;FIXED($L130,2)&amp;". Obrigado!",""))</f>
        <v>0</v>
      </c>
    </row>
    <row r="131" spans="1:15">
      <c r="A131" s="13"/>
      <c r="B131" s="13"/>
      <c r="C131" s="17"/>
      <c r="D131" s="17"/>
      <c r="E131" s="18"/>
      <c r="F131" s="17"/>
      <c r="G131" s="18"/>
      <c r="H131" s="13"/>
      <c r="I131" s="19">
        <f>IF($E131="","",IF($L131&lt;=0.005,"Pago",IF($D131="","Sem vencimento",IF($D131&lt;Hoje,IF(N($G131)&gt;0,"Vencido (parcial)","Vencido"),IF($D131=Hoje,"Vence hoje","A vencer")))))</f>
        <v>0</v>
      </c>
      <c r="J131" s="20">
        <f>IF(OR($E131="",$D131=""),"",IF(AND($L131&gt;0.005,$D131&lt;Hoje),Hoje-$D131,0))</f>
        <v>0</v>
      </c>
      <c r="K131" s="20">
        <f>IF($J131="","",IF($L131&lt;=0.005,"Pago",IF($J131&lt;=0,"A vencer",IF($J131&lt;=15,"1-15 dias",IF($J131&lt;=30,"16-30 dias",IF($J131&lt;=60,"31-60 dias","Mais de 60 dias"))))))</f>
        <v>0</v>
      </c>
      <c r="L131" s="21">
        <f>IF($E131="","",MAX(0,$E131-N($G131)))</f>
        <v>0</v>
      </c>
      <c r="M131" s="21">
        <f>IF(OR($L131="",$J131=""),"",IF($J131&gt;0,ROUND($L131*Multa+$L131*Juros/30*$J131,2),0))</f>
        <v>0</v>
      </c>
      <c r="N131" s="22">
        <f>IF($L131="","",IF($L131&lt;=0.005,0,$L131+N($M131)))</f>
        <v>0</v>
      </c>
      <c r="O131" s="23">
        <f>IF(OR($I131="Vencido",$I131="Vencido (parcial)"),"Olá, "&amp;$A131&amp;"! Consta em aberto '"&amp;$B131&amp;"' com vencimento em "&amp;DAY($D131)&amp;"/"&amp;MONTH($D131)&amp;"/"&amp;YEAR($D131)&amp;", no valor de R$ "&amp;FIXED($N131,2)&amp;" (com multa e juros). Podemos ajudar a regularizar hoje? Obrigado!",IF($I131="Vence hoje","Olá, "&amp;$A131&amp;"! Lembrete: '"&amp;$B131&amp;"' vence hoje, no valor de R$ "&amp;FIXED($L131,2)&amp;". Obrigado!",""))</f>
        <v>0</v>
      </c>
    </row>
    <row r="132" spans="1:15">
      <c r="A132" s="13"/>
      <c r="B132" s="13"/>
      <c r="C132" s="17"/>
      <c r="D132" s="17"/>
      <c r="E132" s="18"/>
      <c r="F132" s="17"/>
      <c r="G132" s="18"/>
      <c r="H132" s="13"/>
      <c r="I132" s="19">
        <f>IF($E132="","",IF($L132&lt;=0.005,"Pago",IF($D132="","Sem vencimento",IF($D132&lt;Hoje,IF(N($G132)&gt;0,"Vencido (parcial)","Vencido"),IF($D132=Hoje,"Vence hoje","A vencer")))))</f>
        <v>0</v>
      </c>
      <c r="J132" s="20">
        <f>IF(OR($E132="",$D132=""),"",IF(AND($L132&gt;0.005,$D132&lt;Hoje),Hoje-$D132,0))</f>
        <v>0</v>
      </c>
      <c r="K132" s="20">
        <f>IF($J132="","",IF($L132&lt;=0.005,"Pago",IF($J132&lt;=0,"A vencer",IF($J132&lt;=15,"1-15 dias",IF($J132&lt;=30,"16-30 dias",IF($J132&lt;=60,"31-60 dias","Mais de 60 dias"))))))</f>
        <v>0</v>
      </c>
      <c r="L132" s="21">
        <f>IF($E132="","",MAX(0,$E132-N($G132)))</f>
        <v>0</v>
      </c>
      <c r="M132" s="21">
        <f>IF(OR($L132="",$J132=""),"",IF($J132&gt;0,ROUND($L132*Multa+$L132*Juros/30*$J132,2),0))</f>
        <v>0</v>
      </c>
      <c r="N132" s="22">
        <f>IF($L132="","",IF($L132&lt;=0.005,0,$L132+N($M132)))</f>
        <v>0</v>
      </c>
      <c r="O132" s="23">
        <f>IF(OR($I132="Vencido",$I132="Vencido (parcial)"),"Olá, "&amp;$A132&amp;"! Consta em aberto '"&amp;$B132&amp;"' com vencimento em "&amp;DAY($D132)&amp;"/"&amp;MONTH($D132)&amp;"/"&amp;YEAR($D132)&amp;", no valor de R$ "&amp;FIXED($N132,2)&amp;" (com multa e juros). Podemos ajudar a regularizar hoje? Obrigado!",IF($I132="Vence hoje","Olá, "&amp;$A132&amp;"! Lembrete: '"&amp;$B132&amp;"' vence hoje, no valor de R$ "&amp;FIXED($L132,2)&amp;". Obrigado!",""))</f>
        <v>0</v>
      </c>
    </row>
    <row r="133" spans="1:15">
      <c r="A133" s="13"/>
      <c r="B133" s="13"/>
      <c r="C133" s="17"/>
      <c r="D133" s="17"/>
      <c r="E133" s="18"/>
      <c r="F133" s="17"/>
      <c r="G133" s="18"/>
      <c r="H133" s="13"/>
      <c r="I133" s="19">
        <f>IF($E133="","",IF($L133&lt;=0.005,"Pago",IF($D133="","Sem vencimento",IF($D133&lt;Hoje,IF(N($G133)&gt;0,"Vencido (parcial)","Vencido"),IF($D133=Hoje,"Vence hoje","A vencer")))))</f>
        <v>0</v>
      </c>
      <c r="J133" s="20">
        <f>IF(OR($E133="",$D133=""),"",IF(AND($L133&gt;0.005,$D133&lt;Hoje),Hoje-$D133,0))</f>
        <v>0</v>
      </c>
      <c r="K133" s="20">
        <f>IF($J133="","",IF($L133&lt;=0.005,"Pago",IF($J133&lt;=0,"A vencer",IF($J133&lt;=15,"1-15 dias",IF($J133&lt;=30,"16-30 dias",IF($J133&lt;=60,"31-60 dias","Mais de 60 dias"))))))</f>
        <v>0</v>
      </c>
      <c r="L133" s="21">
        <f>IF($E133="","",MAX(0,$E133-N($G133)))</f>
        <v>0</v>
      </c>
      <c r="M133" s="21">
        <f>IF(OR($L133="",$J133=""),"",IF($J133&gt;0,ROUND($L133*Multa+$L133*Juros/30*$J133,2),0))</f>
        <v>0</v>
      </c>
      <c r="N133" s="22">
        <f>IF($L133="","",IF($L133&lt;=0.005,0,$L133+N($M133)))</f>
        <v>0</v>
      </c>
      <c r="O133" s="23">
        <f>IF(OR($I133="Vencido",$I133="Vencido (parcial)"),"Olá, "&amp;$A133&amp;"! Consta em aberto '"&amp;$B133&amp;"' com vencimento em "&amp;DAY($D133)&amp;"/"&amp;MONTH($D133)&amp;"/"&amp;YEAR($D133)&amp;", no valor de R$ "&amp;FIXED($N133,2)&amp;" (com multa e juros). Podemos ajudar a regularizar hoje? Obrigado!",IF($I133="Vence hoje","Olá, "&amp;$A133&amp;"! Lembrete: '"&amp;$B133&amp;"' vence hoje, no valor de R$ "&amp;FIXED($L133,2)&amp;". Obrigado!",""))</f>
        <v>0</v>
      </c>
    </row>
    <row r="134" spans="1:15">
      <c r="A134" s="13"/>
      <c r="B134" s="13"/>
      <c r="C134" s="17"/>
      <c r="D134" s="17"/>
      <c r="E134" s="18"/>
      <c r="F134" s="17"/>
      <c r="G134" s="18"/>
      <c r="H134" s="13"/>
      <c r="I134" s="19">
        <f>IF($E134="","",IF($L134&lt;=0.005,"Pago",IF($D134="","Sem vencimento",IF($D134&lt;Hoje,IF(N($G134)&gt;0,"Vencido (parcial)","Vencido"),IF($D134=Hoje,"Vence hoje","A vencer")))))</f>
        <v>0</v>
      </c>
      <c r="J134" s="20">
        <f>IF(OR($E134="",$D134=""),"",IF(AND($L134&gt;0.005,$D134&lt;Hoje),Hoje-$D134,0))</f>
        <v>0</v>
      </c>
      <c r="K134" s="20">
        <f>IF($J134="","",IF($L134&lt;=0.005,"Pago",IF($J134&lt;=0,"A vencer",IF($J134&lt;=15,"1-15 dias",IF($J134&lt;=30,"16-30 dias",IF($J134&lt;=60,"31-60 dias","Mais de 60 dias"))))))</f>
        <v>0</v>
      </c>
      <c r="L134" s="21">
        <f>IF($E134="","",MAX(0,$E134-N($G134)))</f>
        <v>0</v>
      </c>
      <c r="M134" s="21">
        <f>IF(OR($L134="",$J134=""),"",IF($J134&gt;0,ROUND($L134*Multa+$L134*Juros/30*$J134,2),0))</f>
        <v>0</v>
      </c>
      <c r="N134" s="22">
        <f>IF($L134="","",IF($L134&lt;=0.005,0,$L134+N($M134)))</f>
        <v>0</v>
      </c>
      <c r="O134" s="23">
        <f>IF(OR($I134="Vencido",$I134="Vencido (parcial)"),"Olá, "&amp;$A134&amp;"! Consta em aberto '"&amp;$B134&amp;"' com vencimento em "&amp;DAY($D134)&amp;"/"&amp;MONTH($D134)&amp;"/"&amp;YEAR($D134)&amp;", no valor de R$ "&amp;FIXED($N134,2)&amp;" (com multa e juros). Podemos ajudar a regularizar hoje? Obrigado!",IF($I134="Vence hoje","Olá, "&amp;$A134&amp;"! Lembrete: '"&amp;$B134&amp;"' vence hoje, no valor de R$ "&amp;FIXED($L134,2)&amp;". Obrigado!",""))</f>
        <v>0</v>
      </c>
    </row>
    <row r="135" spans="1:15">
      <c r="A135" s="13"/>
      <c r="B135" s="13"/>
      <c r="C135" s="17"/>
      <c r="D135" s="17"/>
      <c r="E135" s="18"/>
      <c r="F135" s="17"/>
      <c r="G135" s="18"/>
      <c r="H135" s="13"/>
      <c r="I135" s="19">
        <f>IF($E135="","",IF($L135&lt;=0.005,"Pago",IF($D135="","Sem vencimento",IF($D135&lt;Hoje,IF(N($G135)&gt;0,"Vencido (parcial)","Vencido"),IF($D135=Hoje,"Vence hoje","A vencer")))))</f>
        <v>0</v>
      </c>
      <c r="J135" s="20">
        <f>IF(OR($E135="",$D135=""),"",IF(AND($L135&gt;0.005,$D135&lt;Hoje),Hoje-$D135,0))</f>
        <v>0</v>
      </c>
      <c r="K135" s="20">
        <f>IF($J135="","",IF($L135&lt;=0.005,"Pago",IF($J135&lt;=0,"A vencer",IF($J135&lt;=15,"1-15 dias",IF($J135&lt;=30,"16-30 dias",IF($J135&lt;=60,"31-60 dias","Mais de 60 dias"))))))</f>
        <v>0</v>
      </c>
      <c r="L135" s="21">
        <f>IF($E135="","",MAX(0,$E135-N($G135)))</f>
        <v>0</v>
      </c>
      <c r="M135" s="21">
        <f>IF(OR($L135="",$J135=""),"",IF($J135&gt;0,ROUND($L135*Multa+$L135*Juros/30*$J135,2),0))</f>
        <v>0</v>
      </c>
      <c r="N135" s="22">
        <f>IF($L135="","",IF($L135&lt;=0.005,0,$L135+N($M135)))</f>
        <v>0</v>
      </c>
      <c r="O135" s="23">
        <f>IF(OR($I135="Vencido",$I135="Vencido (parcial)"),"Olá, "&amp;$A135&amp;"! Consta em aberto '"&amp;$B135&amp;"' com vencimento em "&amp;DAY($D135)&amp;"/"&amp;MONTH($D135)&amp;"/"&amp;YEAR($D135)&amp;", no valor de R$ "&amp;FIXED($N135,2)&amp;" (com multa e juros). Podemos ajudar a regularizar hoje? Obrigado!",IF($I135="Vence hoje","Olá, "&amp;$A135&amp;"! Lembrete: '"&amp;$B135&amp;"' vence hoje, no valor de R$ "&amp;FIXED($L135,2)&amp;". Obrigado!",""))</f>
        <v>0</v>
      </c>
    </row>
    <row r="136" spans="1:15">
      <c r="A136" s="13"/>
      <c r="B136" s="13"/>
      <c r="C136" s="17"/>
      <c r="D136" s="17"/>
      <c r="E136" s="18"/>
      <c r="F136" s="17"/>
      <c r="G136" s="18"/>
      <c r="H136" s="13"/>
      <c r="I136" s="19">
        <f>IF($E136="","",IF($L136&lt;=0.005,"Pago",IF($D136="","Sem vencimento",IF($D136&lt;Hoje,IF(N($G136)&gt;0,"Vencido (parcial)","Vencido"),IF($D136=Hoje,"Vence hoje","A vencer")))))</f>
        <v>0</v>
      </c>
      <c r="J136" s="20">
        <f>IF(OR($E136="",$D136=""),"",IF(AND($L136&gt;0.005,$D136&lt;Hoje),Hoje-$D136,0))</f>
        <v>0</v>
      </c>
      <c r="K136" s="20">
        <f>IF($J136="","",IF($L136&lt;=0.005,"Pago",IF($J136&lt;=0,"A vencer",IF($J136&lt;=15,"1-15 dias",IF($J136&lt;=30,"16-30 dias",IF($J136&lt;=60,"31-60 dias","Mais de 60 dias"))))))</f>
        <v>0</v>
      </c>
      <c r="L136" s="21">
        <f>IF($E136="","",MAX(0,$E136-N($G136)))</f>
        <v>0</v>
      </c>
      <c r="M136" s="21">
        <f>IF(OR($L136="",$J136=""),"",IF($J136&gt;0,ROUND($L136*Multa+$L136*Juros/30*$J136,2),0))</f>
        <v>0</v>
      </c>
      <c r="N136" s="22">
        <f>IF($L136="","",IF($L136&lt;=0.005,0,$L136+N($M136)))</f>
        <v>0</v>
      </c>
      <c r="O136" s="23">
        <f>IF(OR($I136="Vencido",$I136="Vencido (parcial)"),"Olá, "&amp;$A136&amp;"! Consta em aberto '"&amp;$B136&amp;"' com vencimento em "&amp;DAY($D136)&amp;"/"&amp;MONTH($D136)&amp;"/"&amp;YEAR($D136)&amp;", no valor de R$ "&amp;FIXED($N136,2)&amp;" (com multa e juros). Podemos ajudar a regularizar hoje? Obrigado!",IF($I136="Vence hoje","Olá, "&amp;$A136&amp;"! Lembrete: '"&amp;$B136&amp;"' vence hoje, no valor de R$ "&amp;FIXED($L136,2)&amp;". Obrigado!",""))</f>
        <v>0</v>
      </c>
    </row>
    <row r="137" spans="1:15">
      <c r="A137" s="13"/>
      <c r="B137" s="13"/>
      <c r="C137" s="17"/>
      <c r="D137" s="17"/>
      <c r="E137" s="18"/>
      <c r="F137" s="17"/>
      <c r="G137" s="18"/>
      <c r="H137" s="13"/>
      <c r="I137" s="19">
        <f>IF($E137="","",IF($L137&lt;=0.005,"Pago",IF($D137="","Sem vencimento",IF($D137&lt;Hoje,IF(N($G137)&gt;0,"Vencido (parcial)","Vencido"),IF($D137=Hoje,"Vence hoje","A vencer")))))</f>
        <v>0</v>
      </c>
      <c r="J137" s="20">
        <f>IF(OR($E137="",$D137=""),"",IF(AND($L137&gt;0.005,$D137&lt;Hoje),Hoje-$D137,0))</f>
        <v>0</v>
      </c>
      <c r="K137" s="20">
        <f>IF($J137="","",IF($L137&lt;=0.005,"Pago",IF($J137&lt;=0,"A vencer",IF($J137&lt;=15,"1-15 dias",IF($J137&lt;=30,"16-30 dias",IF($J137&lt;=60,"31-60 dias","Mais de 60 dias"))))))</f>
        <v>0</v>
      </c>
      <c r="L137" s="21">
        <f>IF($E137="","",MAX(0,$E137-N($G137)))</f>
        <v>0</v>
      </c>
      <c r="M137" s="21">
        <f>IF(OR($L137="",$J137=""),"",IF($J137&gt;0,ROUND($L137*Multa+$L137*Juros/30*$J137,2),0))</f>
        <v>0</v>
      </c>
      <c r="N137" s="22">
        <f>IF($L137="","",IF($L137&lt;=0.005,0,$L137+N($M137)))</f>
        <v>0</v>
      </c>
      <c r="O137" s="23">
        <f>IF(OR($I137="Vencido",$I137="Vencido (parcial)"),"Olá, "&amp;$A137&amp;"! Consta em aberto '"&amp;$B137&amp;"' com vencimento em "&amp;DAY($D137)&amp;"/"&amp;MONTH($D137)&amp;"/"&amp;YEAR($D137)&amp;", no valor de R$ "&amp;FIXED($N137,2)&amp;" (com multa e juros). Podemos ajudar a regularizar hoje? Obrigado!",IF($I137="Vence hoje","Olá, "&amp;$A137&amp;"! Lembrete: '"&amp;$B137&amp;"' vence hoje, no valor de R$ "&amp;FIXED($L137,2)&amp;". Obrigado!",""))</f>
        <v>0</v>
      </c>
    </row>
    <row r="138" spans="1:15">
      <c r="A138" s="13"/>
      <c r="B138" s="13"/>
      <c r="C138" s="17"/>
      <c r="D138" s="17"/>
      <c r="E138" s="18"/>
      <c r="F138" s="17"/>
      <c r="G138" s="18"/>
      <c r="H138" s="13"/>
      <c r="I138" s="19">
        <f>IF($E138="","",IF($L138&lt;=0.005,"Pago",IF($D138="","Sem vencimento",IF($D138&lt;Hoje,IF(N($G138)&gt;0,"Vencido (parcial)","Vencido"),IF($D138=Hoje,"Vence hoje","A vencer")))))</f>
        <v>0</v>
      </c>
      <c r="J138" s="20">
        <f>IF(OR($E138="",$D138=""),"",IF(AND($L138&gt;0.005,$D138&lt;Hoje),Hoje-$D138,0))</f>
        <v>0</v>
      </c>
      <c r="K138" s="20">
        <f>IF($J138="","",IF($L138&lt;=0.005,"Pago",IF($J138&lt;=0,"A vencer",IF($J138&lt;=15,"1-15 dias",IF($J138&lt;=30,"16-30 dias",IF($J138&lt;=60,"31-60 dias","Mais de 60 dias"))))))</f>
        <v>0</v>
      </c>
      <c r="L138" s="21">
        <f>IF($E138="","",MAX(0,$E138-N($G138)))</f>
        <v>0</v>
      </c>
      <c r="M138" s="21">
        <f>IF(OR($L138="",$J138=""),"",IF($J138&gt;0,ROUND($L138*Multa+$L138*Juros/30*$J138,2),0))</f>
        <v>0</v>
      </c>
      <c r="N138" s="22">
        <f>IF($L138="","",IF($L138&lt;=0.005,0,$L138+N($M138)))</f>
        <v>0</v>
      </c>
      <c r="O138" s="23">
        <f>IF(OR($I138="Vencido",$I138="Vencido (parcial)"),"Olá, "&amp;$A138&amp;"! Consta em aberto '"&amp;$B138&amp;"' com vencimento em "&amp;DAY($D138)&amp;"/"&amp;MONTH($D138)&amp;"/"&amp;YEAR($D138)&amp;", no valor de R$ "&amp;FIXED($N138,2)&amp;" (com multa e juros). Podemos ajudar a regularizar hoje? Obrigado!",IF($I138="Vence hoje","Olá, "&amp;$A138&amp;"! Lembrete: '"&amp;$B138&amp;"' vence hoje, no valor de R$ "&amp;FIXED($L138,2)&amp;". Obrigado!",""))</f>
        <v>0</v>
      </c>
    </row>
    <row r="139" spans="1:15">
      <c r="A139" s="13"/>
      <c r="B139" s="13"/>
      <c r="C139" s="17"/>
      <c r="D139" s="17"/>
      <c r="E139" s="18"/>
      <c r="F139" s="17"/>
      <c r="G139" s="18"/>
      <c r="H139" s="13"/>
      <c r="I139" s="19">
        <f>IF($E139="","",IF($L139&lt;=0.005,"Pago",IF($D139="","Sem vencimento",IF($D139&lt;Hoje,IF(N($G139)&gt;0,"Vencido (parcial)","Vencido"),IF($D139=Hoje,"Vence hoje","A vencer")))))</f>
        <v>0</v>
      </c>
      <c r="J139" s="20">
        <f>IF(OR($E139="",$D139=""),"",IF(AND($L139&gt;0.005,$D139&lt;Hoje),Hoje-$D139,0))</f>
        <v>0</v>
      </c>
      <c r="K139" s="20">
        <f>IF($J139="","",IF($L139&lt;=0.005,"Pago",IF($J139&lt;=0,"A vencer",IF($J139&lt;=15,"1-15 dias",IF($J139&lt;=30,"16-30 dias",IF($J139&lt;=60,"31-60 dias","Mais de 60 dias"))))))</f>
        <v>0</v>
      </c>
      <c r="L139" s="21">
        <f>IF($E139="","",MAX(0,$E139-N($G139)))</f>
        <v>0</v>
      </c>
      <c r="M139" s="21">
        <f>IF(OR($L139="",$J139=""),"",IF($J139&gt;0,ROUND($L139*Multa+$L139*Juros/30*$J139,2),0))</f>
        <v>0</v>
      </c>
      <c r="N139" s="22">
        <f>IF($L139="","",IF($L139&lt;=0.005,0,$L139+N($M139)))</f>
        <v>0</v>
      </c>
      <c r="O139" s="23">
        <f>IF(OR($I139="Vencido",$I139="Vencido (parcial)"),"Olá, "&amp;$A139&amp;"! Consta em aberto '"&amp;$B139&amp;"' com vencimento em "&amp;DAY($D139)&amp;"/"&amp;MONTH($D139)&amp;"/"&amp;YEAR($D139)&amp;", no valor de R$ "&amp;FIXED($N139,2)&amp;" (com multa e juros). Podemos ajudar a regularizar hoje? Obrigado!",IF($I139="Vence hoje","Olá, "&amp;$A139&amp;"! Lembrete: '"&amp;$B139&amp;"' vence hoje, no valor de R$ "&amp;FIXED($L139,2)&amp;". Obrigado!",""))</f>
        <v>0</v>
      </c>
    </row>
    <row r="140" spans="1:15">
      <c r="A140" s="13"/>
      <c r="B140" s="13"/>
      <c r="C140" s="17"/>
      <c r="D140" s="17"/>
      <c r="E140" s="18"/>
      <c r="F140" s="17"/>
      <c r="G140" s="18"/>
      <c r="H140" s="13"/>
      <c r="I140" s="19">
        <f>IF($E140="","",IF($L140&lt;=0.005,"Pago",IF($D140="","Sem vencimento",IF($D140&lt;Hoje,IF(N($G140)&gt;0,"Vencido (parcial)","Vencido"),IF($D140=Hoje,"Vence hoje","A vencer")))))</f>
        <v>0</v>
      </c>
      <c r="J140" s="20">
        <f>IF(OR($E140="",$D140=""),"",IF(AND($L140&gt;0.005,$D140&lt;Hoje),Hoje-$D140,0))</f>
        <v>0</v>
      </c>
      <c r="K140" s="20">
        <f>IF($J140="","",IF($L140&lt;=0.005,"Pago",IF($J140&lt;=0,"A vencer",IF($J140&lt;=15,"1-15 dias",IF($J140&lt;=30,"16-30 dias",IF($J140&lt;=60,"31-60 dias","Mais de 60 dias"))))))</f>
        <v>0</v>
      </c>
      <c r="L140" s="21">
        <f>IF($E140="","",MAX(0,$E140-N($G140)))</f>
        <v>0</v>
      </c>
      <c r="M140" s="21">
        <f>IF(OR($L140="",$J140=""),"",IF($J140&gt;0,ROUND($L140*Multa+$L140*Juros/30*$J140,2),0))</f>
        <v>0</v>
      </c>
      <c r="N140" s="22">
        <f>IF($L140="","",IF($L140&lt;=0.005,0,$L140+N($M140)))</f>
        <v>0</v>
      </c>
      <c r="O140" s="23">
        <f>IF(OR($I140="Vencido",$I140="Vencido (parcial)"),"Olá, "&amp;$A140&amp;"! Consta em aberto '"&amp;$B140&amp;"' com vencimento em "&amp;DAY($D140)&amp;"/"&amp;MONTH($D140)&amp;"/"&amp;YEAR($D140)&amp;", no valor de R$ "&amp;FIXED($N140,2)&amp;" (com multa e juros). Podemos ajudar a regularizar hoje? Obrigado!",IF($I140="Vence hoje","Olá, "&amp;$A140&amp;"! Lembrete: '"&amp;$B140&amp;"' vence hoje, no valor de R$ "&amp;FIXED($L140,2)&amp;". Obrigado!",""))</f>
        <v>0</v>
      </c>
    </row>
    <row r="141" spans="1:15">
      <c r="A141" s="13"/>
      <c r="B141" s="13"/>
      <c r="C141" s="17"/>
      <c r="D141" s="17"/>
      <c r="E141" s="18"/>
      <c r="F141" s="17"/>
      <c r="G141" s="18"/>
      <c r="H141" s="13"/>
      <c r="I141" s="19">
        <f>IF($E141="","",IF($L141&lt;=0.005,"Pago",IF($D141="","Sem vencimento",IF($D141&lt;Hoje,IF(N($G141)&gt;0,"Vencido (parcial)","Vencido"),IF($D141=Hoje,"Vence hoje","A vencer")))))</f>
        <v>0</v>
      </c>
      <c r="J141" s="20">
        <f>IF(OR($E141="",$D141=""),"",IF(AND($L141&gt;0.005,$D141&lt;Hoje),Hoje-$D141,0))</f>
        <v>0</v>
      </c>
      <c r="K141" s="20">
        <f>IF($J141="","",IF($L141&lt;=0.005,"Pago",IF($J141&lt;=0,"A vencer",IF($J141&lt;=15,"1-15 dias",IF($J141&lt;=30,"16-30 dias",IF($J141&lt;=60,"31-60 dias","Mais de 60 dias"))))))</f>
        <v>0</v>
      </c>
      <c r="L141" s="21">
        <f>IF($E141="","",MAX(0,$E141-N($G141)))</f>
        <v>0</v>
      </c>
      <c r="M141" s="21">
        <f>IF(OR($L141="",$J141=""),"",IF($J141&gt;0,ROUND($L141*Multa+$L141*Juros/30*$J141,2),0))</f>
        <v>0</v>
      </c>
      <c r="N141" s="22">
        <f>IF($L141="","",IF($L141&lt;=0.005,0,$L141+N($M141)))</f>
        <v>0</v>
      </c>
      <c r="O141" s="23">
        <f>IF(OR($I141="Vencido",$I141="Vencido (parcial)"),"Olá, "&amp;$A141&amp;"! Consta em aberto '"&amp;$B141&amp;"' com vencimento em "&amp;DAY($D141)&amp;"/"&amp;MONTH($D141)&amp;"/"&amp;YEAR($D141)&amp;", no valor de R$ "&amp;FIXED($N141,2)&amp;" (com multa e juros). Podemos ajudar a regularizar hoje? Obrigado!",IF($I141="Vence hoje","Olá, "&amp;$A141&amp;"! Lembrete: '"&amp;$B141&amp;"' vence hoje, no valor de R$ "&amp;FIXED($L141,2)&amp;". Obrigado!",""))</f>
        <v>0</v>
      </c>
    </row>
    <row r="142" spans="1:15">
      <c r="A142" s="13"/>
      <c r="B142" s="13"/>
      <c r="C142" s="17"/>
      <c r="D142" s="17"/>
      <c r="E142" s="18"/>
      <c r="F142" s="17"/>
      <c r="G142" s="18"/>
      <c r="H142" s="13"/>
      <c r="I142" s="19">
        <f>IF($E142="","",IF($L142&lt;=0.005,"Pago",IF($D142="","Sem vencimento",IF($D142&lt;Hoje,IF(N($G142)&gt;0,"Vencido (parcial)","Vencido"),IF($D142=Hoje,"Vence hoje","A vencer")))))</f>
        <v>0</v>
      </c>
      <c r="J142" s="20">
        <f>IF(OR($E142="",$D142=""),"",IF(AND($L142&gt;0.005,$D142&lt;Hoje),Hoje-$D142,0))</f>
        <v>0</v>
      </c>
      <c r="K142" s="20">
        <f>IF($J142="","",IF($L142&lt;=0.005,"Pago",IF($J142&lt;=0,"A vencer",IF($J142&lt;=15,"1-15 dias",IF($J142&lt;=30,"16-30 dias",IF($J142&lt;=60,"31-60 dias","Mais de 60 dias"))))))</f>
        <v>0</v>
      </c>
      <c r="L142" s="21">
        <f>IF($E142="","",MAX(0,$E142-N($G142)))</f>
        <v>0</v>
      </c>
      <c r="M142" s="21">
        <f>IF(OR($L142="",$J142=""),"",IF($J142&gt;0,ROUND($L142*Multa+$L142*Juros/30*$J142,2),0))</f>
        <v>0</v>
      </c>
      <c r="N142" s="22">
        <f>IF($L142="","",IF($L142&lt;=0.005,0,$L142+N($M142)))</f>
        <v>0</v>
      </c>
      <c r="O142" s="23">
        <f>IF(OR($I142="Vencido",$I142="Vencido (parcial)"),"Olá, "&amp;$A142&amp;"! Consta em aberto '"&amp;$B142&amp;"' com vencimento em "&amp;DAY($D142)&amp;"/"&amp;MONTH($D142)&amp;"/"&amp;YEAR($D142)&amp;", no valor de R$ "&amp;FIXED($N142,2)&amp;" (com multa e juros). Podemos ajudar a regularizar hoje? Obrigado!",IF($I142="Vence hoje","Olá, "&amp;$A142&amp;"! Lembrete: '"&amp;$B142&amp;"' vence hoje, no valor de R$ "&amp;FIXED($L142,2)&amp;". Obrigado!",""))</f>
        <v>0</v>
      </c>
    </row>
    <row r="143" spans="1:15">
      <c r="A143" s="13"/>
      <c r="B143" s="13"/>
      <c r="C143" s="17"/>
      <c r="D143" s="17"/>
      <c r="E143" s="18"/>
      <c r="F143" s="17"/>
      <c r="G143" s="18"/>
      <c r="H143" s="13"/>
      <c r="I143" s="19">
        <f>IF($E143="","",IF($L143&lt;=0.005,"Pago",IF($D143="","Sem vencimento",IF($D143&lt;Hoje,IF(N($G143)&gt;0,"Vencido (parcial)","Vencido"),IF($D143=Hoje,"Vence hoje","A vencer")))))</f>
        <v>0</v>
      </c>
      <c r="J143" s="20">
        <f>IF(OR($E143="",$D143=""),"",IF(AND($L143&gt;0.005,$D143&lt;Hoje),Hoje-$D143,0))</f>
        <v>0</v>
      </c>
      <c r="K143" s="20">
        <f>IF($J143="","",IF($L143&lt;=0.005,"Pago",IF($J143&lt;=0,"A vencer",IF($J143&lt;=15,"1-15 dias",IF($J143&lt;=30,"16-30 dias",IF($J143&lt;=60,"31-60 dias","Mais de 60 dias"))))))</f>
        <v>0</v>
      </c>
      <c r="L143" s="21">
        <f>IF($E143="","",MAX(0,$E143-N($G143)))</f>
        <v>0</v>
      </c>
      <c r="M143" s="21">
        <f>IF(OR($L143="",$J143=""),"",IF($J143&gt;0,ROUND($L143*Multa+$L143*Juros/30*$J143,2),0))</f>
        <v>0</v>
      </c>
      <c r="N143" s="22">
        <f>IF($L143="","",IF($L143&lt;=0.005,0,$L143+N($M143)))</f>
        <v>0</v>
      </c>
      <c r="O143" s="23">
        <f>IF(OR($I143="Vencido",$I143="Vencido (parcial)"),"Olá, "&amp;$A143&amp;"! Consta em aberto '"&amp;$B143&amp;"' com vencimento em "&amp;DAY($D143)&amp;"/"&amp;MONTH($D143)&amp;"/"&amp;YEAR($D143)&amp;", no valor de R$ "&amp;FIXED($N143,2)&amp;" (com multa e juros). Podemos ajudar a regularizar hoje? Obrigado!",IF($I143="Vence hoje","Olá, "&amp;$A143&amp;"! Lembrete: '"&amp;$B143&amp;"' vence hoje, no valor de R$ "&amp;FIXED($L143,2)&amp;". Obrigado!",""))</f>
        <v>0</v>
      </c>
    </row>
    <row r="144" spans="1:15">
      <c r="A144" s="13"/>
      <c r="B144" s="13"/>
      <c r="C144" s="17"/>
      <c r="D144" s="17"/>
      <c r="E144" s="18"/>
      <c r="F144" s="17"/>
      <c r="G144" s="18"/>
      <c r="H144" s="13"/>
      <c r="I144" s="19">
        <f>IF($E144="","",IF($L144&lt;=0.005,"Pago",IF($D144="","Sem vencimento",IF($D144&lt;Hoje,IF(N($G144)&gt;0,"Vencido (parcial)","Vencido"),IF($D144=Hoje,"Vence hoje","A vencer")))))</f>
        <v>0</v>
      </c>
      <c r="J144" s="20">
        <f>IF(OR($E144="",$D144=""),"",IF(AND($L144&gt;0.005,$D144&lt;Hoje),Hoje-$D144,0))</f>
        <v>0</v>
      </c>
      <c r="K144" s="20">
        <f>IF($J144="","",IF($L144&lt;=0.005,"Pago",IF($J144&lt;=0,"A vencer",IF($J144&lt;=15,"1-15 dias",IF($J144&lt;=30,"16-30 dias",IF($J144&lt;=60,"31-60 dias","Mais de 60 dias"))))))</f>
        <v>0</v>
      </c>
      <c r="L144" s="21">
        <f>IF($E144="","",MAX(0,$E144-N($G144)))</f>
        <v>0</v>
      </c>
      <c r="M144" s="21">
        <f>IF(OR($L144="",$J144=""),"",IF($J144&gt;0,ROUND($L144*Multa+$L144*Juros/30*$J144,2),0))</f>
        <v>0</v>
      </c>
      <c r="N144" s="22">
        <f>IF($L144="","",IF($L144&lt;=0.005,0,$L144+N($M144)))</f>
        <v>0</v>
      </c>
      <c r="O144" s="23">
        <f>IF(OR($I144="Vencido",$I144="Vencido (parcial)"),"Olá, "&amp;$A144&amp;"! Consta em aberto '"&amp;$B144&amp;"' com vencimento em "&amp;DAY($D144)&amp;"/"&amp;MONTH($D144)&amp;"/"&amp;YEAR($D144)&amp;", no valor de R$ "&amp;FIXED($N144,2)&amp;" (com multa e juros). Podemos ajudar a regularizar hoje? Obrigado!",IF($I144="Vence hoje","Olá, "&amp;$A144&amp;"! Lembrete: '"&amp;$B144&amp;"' vence hoje, no valor de R$ "&amp;FIXED($L144,2)&amp;". Obrigado!",""))</f>
        <v>0</v>
      </c>
    </row>
    <row r="145" spans="1:15">
      <c r="A145" s="13"/>
      <c r="B145" s="13"/>
      <c r="C145" s="17"/>
      <c r="D145" s="17"/>
      <c r="E145" s="18"/>
      <c r="F145" s="17"/>
      <c r="G145" s="18"/>
      <c r="H145" s="13"/>
      <c r="I145" s="19">
        <f>IF($E145="","",IF($L145&lt;=0.005,"Pago",IF($D145="","Sem vencimento",IF($D145&lt;Hoje,IF(N($G145)&gt;0,"Vencido (parcial)","Vencido"),IF($D145=Hoje,"Vence hoje","A vencer")))))</f>
        <v>0</v>
      </c>
      <c r="J145" s="20">
        <f>IF(OR($E145="",$D145=""),"",IF(AND($L145&gt;0.005,$D145&lt;Hoje),Hoje-$D145,0))</f>
        <v>0</v>
      </c>
      <c r="K145" s="20">
        <f>IF($J145="","",IF($L145&lt;=0.005,"Pago",IF($J145&lt;=0,"A vencer",IF($J145&lt;=15,"1-15 dias",IF($J145&lt;=30,"16-30 dias",IF($J145&lt;=60,"31-60 dias","Mais de 60 dias"))))))</f>
        <v>0</v>
      </c>
      <c r="L145" s="21">
        <f>IF($E145="","",MAX(0,$E145-N($G145)))</f>
        <v>0</v>
      </c>
      <c r="M145" s="21">
        <f>IF(OR($L145="",$J145=""),"",IF($J145&gt;0,ROUND($L145*Multa+$L145*Juros/30*$J145,2),0))</f>
        <v>0</v>
      </c>
      <c r="N145" s="22">
        <f>IF($L145="","",IF($L145&lt;=0.005,0,$L145+N($M145)))</f>
        <v>0</v>
      </c>
      <c r="O145" s="23">
        <f>IF(OR($I145="Vencido",$I145="Vencido (parcial)"),"Olá, "&amp;$A145&amp;"! Consta em aberto '"&amp;$B145&amp;"' com vencimento em "&amp;DAY($D145)&amp;"/"&amp;MONTH($D145)&amp;"/"&amp;YEAR($D145)&amp;", no valor de R$ "&amp;FIXED($N145,2)&amp;" (com multa e juros). Podemos ajudar a regularizar hoje? Obrigado!",IF($I145="Vence hoje","Olá, "&amp;$A145&amp;"! Lembrete: '"&amp;$B145&amp;"' vence hoje, no valor de R$ "&amp;FIXED($L145,2)&amp;". Obrigado!",""))</f>
        <v>0</v>
      </c>
    </row>
    <row r="146" spans="1:15">
      <c r="A146" s="13"/>
      <c r="B146" s="13"/>
      <c r="C146" s="17"/>
      <c r="D146" s="17"/>
      <c r="E146" s="18"/>
      <c r="F146" s="17"/>
      <c r="G146" s="18"/>
      <c r="H146" s="13"/>
      <c r="I146" s="19">
        <f>IF($E146="","",IF($L146&lt;=0.005,"Pago",IF($D146="","Sem vencimento",IF($D146&lt;Hoje,IF(N($G146)&gt;0,"Vencido (parcial)","Vencido"),IF($D146=Hoje,"Vence hoje","A vencer")))))</f>
        <v>0</v>
      </c>
      <c r="J146" s="20">
        <f>IF(OR($E146="",$D146=""),"",IF(AND($L146&gt;0.005,$D146&lt;Hoje),Hoje-$D146,0))</f>
        <v>0</v>
      </c>
      <c r="K146" s="20">
        <f>IF($J146="","",IF($L146&lt;=0.005,"Pago",IF($J146&lt;=0,"A vencer",IF($J146&lt;=15,"1-15 dias",IF($J146&lt;=30,"16-30 dias",IF($J146&lt;=60,"31-60 dias","Mais de 60 dias"))))))</f>
        <v>0</v>
      </c>
      <c r="L146" s="21">
        <f>IF($E146="","",MAX(0,$E146-N($G146)))</f>
        <v>0</v>
      </c>
      <c r="M146" s="21">
        <f>IF(OR($L146="",$J146=""),"",IF($J146&gt;0,ROUND($L146*Multa+$L146*Juros/30*$J146,2),0))</f>
        <v>0</v>
      </c>
      <c r="N146" s="22">
        <f>IF($L146="","",IF($L146&lt;=0.005,0,$L146+N($M146)))</f>
        <v>0</v>
      </c>
      <c r="O146" s="23">
        <f>IF(OR($I146="Vencido",$I146="Vencido (parcial)"),"Olá, "&amp;$A146&amp;"! Consta em aberto '"&amp;$B146&amp;"' com vencimento em "&amp;DAY($D146)&amp;"/"&amp;MONTH($D146)&amp;"/"&amp;YEAR($D146)&amp;", no valor de R$ "&amp;FIXED($N146,2)&amp;" (com multa e juros). Podemos ajudar a regularizar hoje? Obrigado!",IF($I146="Vence hoje","Olá, "&amp;$A146&amp;"! Lembrete: '"&amp;$B146&amp;"' vence hoje, no valor de R$ "&amp;FIXED($L146,2)&amp;". Obrigado!",""))</f>
        <v>0</v>
      </c>
    </row>
    <row r="147" spans="1:15">
      <c r="A147" s="13"/>
      <c r="B147" s="13"/>
      <c r="C147" s="17"/>
      <c r="D147" s="17"/>
      <c r="E147" s="18"/>
      <c r="F147" s="17"/>
      <c r="G147" s="18"/>
      <c r="H147" s="13"/>
      <c r="I147" s="19">
        <f>IF($E147="","",IF($L147&lt;=0.005,"Pago",IF($D147="","Sem vencimento",IF($D147&lt;Hoje,IF(N($G147)&gt;0,"Vencido (parcial)","Vencido"),IF($D147=Hoje,"Vence hoje","A vencer")))))</f>
        <v>0</v>
      </c>
      <c r="J147" s="20">
        <f>IF(OR($E147="",$D147=""),"",IF(AND($L147&gt;0.005,$D147&lt;Hoje),Hoje-$D147,0))</f>
        <v>0</v>
      </c>
      <c r="K147" s="20">
        <f>IF($J147="","",IF($L147&lt;=0.005,"Pago",IF($J147&lt;=0,"A vencer",IF($J147&lt;=15,"1-15 dias",IF($J147&lt;=30,"16-30 dias",IF($J147&lt;=60,"31-60 dias","Mais de 60 dias"))))))</f>
        <v>0</v>
      </c>
      <c r="L147" s="21">
        <f>IF($E147="","",MAX(0,$E147-N($G147)))</f>
        <v>0</v>
      </c>
      <c r="M147" s="21">
        <f>IF(OR($L147="",$J147=""),"",IF($J147&gt;0,ROUND($L147*Multa+$L147*Juros/30*$J147,2),0))</f>
        <v>0</v>
      </c>
      <c r="N147" s="22">
        <f>IF($L147="","",IF($L147&lt;=0.005,0,$L147+N($M147)))</f>
        <v>0</v>
      </c>
      <c r="O147" s="23">
        <f>IF(OR($I147="Vencido",$I147="Vencido (parcial)"),"Olá, "&amp;$A147&amp;"! Consta em aberto '"&amp;$B147&amp;"' com vencimento em "&amp;DAY($D147)&amp;"/"&amp;MONTH($D147)&amp;"/"&amp;YEAR($D147)&amp;", no valor de R$ "&amp;FIXED($N147,2)&amp;" (com multa e juros). Podemos ajudar a regularizar hoje? Obrigado!",IF($I147="Vence hoje","Olá, "&amp;$A147&amp;"! Lembrete: '"&amp;$B147&amp;"' vence hoje, no valor de R$ "&amp;FIXED($L147,2)&amp;". Obrigado!",""))</f>
        <v>0</v>
      </c>
    </row>
    <row r="148" spans="1:15">
      <c r="A148" s="13"/>
      <c r="B148" s="13"/>
      <c r="C148" s="17"/>
      <c r="D148" s="17"/>
      <c r="E148" s="18"/>
      <c r="F148" s="17"/>
      <c r="G148" s="18"/>
      <c r="H148" s="13"/>
      <c r="I148" s="19">
        <f>IF($E148="","",IF($L148&lt;=0.005,"Pago",IF($D148="","Sem vencimento",IF($D148&lt;Hoje,IF(N($G148)&gt;0,"Vencido (parcial)","Vencido"),IF($D148=Hoje,"Vence hoje","A vencer")))))</f>
        <v>0</v>
      </c>
      <c r="J148" s="20">
        <f>IF(OR($E148="",$D148=""),"",IF(AND($L148&gt;0.005,$D148&lt;Hoje),Hoje-$D148,0))</f>
        <v>0</v>
      </c>
      <c r="K148" s="20">
        <f>IF($J148="","",IF($L148&lt;=0.005,"Pago",IF($J148&lt;=0,"A vencer",IF($J148&lt;=15,"1-15 dias",IF($J148&lt;=30,"16-30 dias",IF($J148&lt;=60,"31-60 dias","Mais de 60 dias"))))))</f>
        <v>0</v>
      </c>
      <c r="L148" s="21">
        <f>IF($E148="","",MAX(0,$E148-N($G148)))</f>
        <v>0</v>
      </c>
      <c r="M148" s="21">
        <f>IF(OR($L148="",$J148=""),"",IF($J148&gt;0,ROUND($L148*Multa+$L148*Juros/30*$J148,2),0))</f>
        <v>0</v>
      </c>
      <c r="N148" s="22">
        <f>IF($L148="","",IF($L148&lt;=0.005,0,$L148+N($M148)))</f>
        <v>0</v>
      </c>
      <c r="O148" s="23">
        <f>IF(OR($I148="Vencido",$I148="Vencido (parcial)"),"Olá, "&amp;$A148&amp;"! Consta em aberto '"&amp;$B148&amp;"' com vencimento em "&amp;DAY($D148)&amp;"/"&amp;MONTH($D148)&amp;"/"&amp;YEAR($D148)&amp;", no valor de R$ "&amp;FIXED($N148,2)&amp;" (com multa e juros). Podemos ajudar a regularizar hoje? Obrigado!",IF($I148="Vence hoje","Olá, "&amp;$A148&amp;"! Lembrete: '"&amp;$B148&amp;"' vence hoje, no valor de R$ "&amp;FIXED($L148,2)&amp;". Obrigado!",""))</f>
        <v>0</v>
      </c>
    </row>
    <row r="149" spans="1:15">
      <c r="A149" s="13"/>
      <c r="B149" s="13"/>
      <c r="C149" s="17"/>
      <c r="D149" s="17"/>
      <c r="E149" s="18"/>
      <c r="F149" s="17"/>
      <c r="G149" s="18"/>
      <c r="H149" s="13"/>
      <c r="I149" s="19">
        <f>IF($E149="","",IF($L149&lt;=0.005,"Pago",IF($D149="","Sem vencimento",IF($D149&lt;Hoje,IF(N($G149)&gt;0,"Vencido (parcial)","Vencido"),IF($D149=Hoje,"Vence hoje","A vencer")))))</f>
        <v>0</v>
      </c>
      <c r="J149" s="20">
        <f>IF(OR($E149="",$D149=""),"",IF(AND($L149&gt;0.005,$D149&lt;Hoje),Hoje-$D149,0))</f>
        <v>0</v>
      </c>
      <c r="K149" s="20">
        <f>IF($J149="","",IF($L149&lt;=0.005,"Pago",IF($J149&lt;=0,"A vencer",IF($J149&lt;=15,"1-15 dias",IF($J149&lt;=30,"16-30 dias",IF($J149&lt;=60,"31-60 dias","Mais de 60 dias"))))))</f>
        <v>0</v>
      </c>
      <c r="L149" s="21">
        <f>IF($E149="","",MAX(0,$E149-N($G149)))</f>
        <v>0</v>
      </c>
      <c r="M149" s="21">
        <f>IF(OR($L149="",$J149=""),"",IF($J149&gt;0,ROUND($L149*Multa+$L149*Juros/30*$J149,2),0))</f>
        <v>0</v>
      </c>
      <c r="N149" s="22">
        <f>IF($L149="","",IF($L149&lt;=0.005,0,$L149+N($M149)))</f>
        <v>0</v>
      </c>
      <c r="O149" s="23">
        <f>IF(OR($I149="Vencido",$I149="Vencido (parcial)"),"Olá, "&amp;$A149&amp;"! Consta em aberto '"&amp;$B149&amp;"' com vencimento em "&amp;DAY($D149)&amp;"/"&amp;MONTH($D149)&amp;"/"&amp;YEAR($D149)&amp;", no valor de R$ "&amp;FIXED($N149,2)&amp;" (com multa e juros). Podemos ajudar a regularizar hoje? Obrigado!",IF($I149="Vence hoje","Olá, "&amp;$A149&amp;"! Lembrete: '"&amp;$B149&amp;"' vence hoje, no valor de R$ "&amp;FIXED($L149,2)&amp;". Obrigado!",""))</f>
        <v>0</v>
      </c>
    </row>
    <row r="150" spans="1:15">
      <c r="A150" s="13"/>
      <c r="B150" s="13"/>
      <c r="C150" s="17"/>
      <c r="D150" s="17"/>
      <c r="E150" s="18"/>
      <c r="F150" s="17"/>
      <c r="G150" s="18"/>
      <c r="H150" s="13"/>
      <c r="I150" s="19">
        <f>IF($E150="","",IF($L150&lt;=0.005,"Pago",IF($D150="","Sem vencimento",IF($D150&lt;Hoje,IF(N($G150)&gt;0,"Vencido (parcial)","Vencido"),IF($D150=Hoje,"Vence hoje","A vencer")))))</f>
        <v>0</v>
      </c>
      <c r="J150" s="20">
        <f>IF(OR($E150="",$D150=""),"",IF(AND($L150&gt;0.005,$D150&lt;Hoje),Hoje-$D150,0))</f>
        <v>0</v>
      </c>
      <c r="K150" s="20">
        <f>IF($J150="","",IF($L150&lt;=0.005,"Pago",IF($J150&lt;=0,"A vencer",IF($J150&lt;=15,"1-15 dias",IF($J150&lt;=30,"16-30 dias",IF($J150&lt;=60,"31-60 dias","Mais de 60 dias"))))))</f>
        <v>0</v>
      </c>
      <c r="L150" s="21">
        <f>IF($E150="","",MAX(0,$E150-N($G150)))</f>
        <v>0</v>
      </c>
      <c r="M150" s="21">
        <f>IF(OR($L150="",$J150=""),"",IF($J150&gt;0,ROUND($L150*Multa+$L150*Juros/30*$J150,2),0))</f>
        <v>0</v>
      </c>
      <c r="N150" s="22">
        <f>IF($L150="","",IF($L150&lt;=0.005,0,$L150+N($M150)))</f>
        <v>0</v>
      </c>
      <c r="O150" s="23">
        <f>IF(OR($I150="Vencido",$I150="Vencido (parcial)"),"Olá, "&amp;$A150&amp;"! Consta em aberto '"&amp;$B150&amp;"' com vencimento em "&amp;DAY($D150)&amp;"/"&amp;MONTH($D150)&amp;"/"&amp;YEAR($D150)&amp;", no valor de R$ "&amp;FIXED($N150,2)&amp;" (com multa e juros). Podemos ajudar a regularizar hoje? Obrigado!",IF($I150="Vence hoje","Olá, "&amp;$A150&amp;"! Lembrete: '"&amp;$B150&amp;"' vence hoje, no valor de R$ "&amp;FIXED($L150,2)&amp;". Obrigado!",""))</f>
        <v>0</v>
      </c>
    </row>
    <row r="151" spans="1:15">
      <c r="A151" s="13"/>
      <c r="B151" s="13"/>
      <c r="C151" s="17"/>
      <c r="D151" s="17"/>
      <c r="E151" s="18"/>
      <c r="F151" s="17"/>
      <c r="G151" s="18"/>
      <c r="H151" s="13"/>
      <c r="I151" s="19">
        <f>IF($E151="","",IF($L151&lt;=0.005,"Pago",IF($D151="","Sem vencimento",IF($D151&lt;Hoje,IF(N($G151)&gt;0,"Vencido (parcial)","Vencido"),IF($D151=Hoje,"Vence hoje","A vencer")))))</f>
        <v>0</v>
      </c>
      <c r="J151" s="20">
        <f>IF(OR($E151="",$D151=""),"",IF(AND($L151&gt;0.005,$D151&lt;Hoje),Hoje-$D151,0))</f>
        <v>0</v>
      </c>
      <c r="K151" s="20">
        <f>IF($J151="","",IF($L151&lt;=0.005,"Pago",IF($J151&lt;=0,"A vencer",IF($J151&lt;=15,"1-15 dias",IF($J151&lt;=30,"16-30 dias",IF($J151&lt;=60,"31-60 dias","Mais de 60 dias"))))))</f>
        <v>0</v>
      </c>
      <c r="L151" s="21">
        <f>IF($E151="","",MAX(0,$E151-N($G151)))</f>
        <v>0</v>
      </c>
      <c r="M151" s="21">
        <f>IF(OR($L151="",$J151=""),"",IF($J151&gt;0,ROUND($L151*Multa+$L151*Juros/30*$J151,2),0))</f>
        <v>0</v>
      </c>
      <c r="N151" s="22">
        <f>IF($L151="","",IF($L151&lt;=0.005,0,$L151+N($M151)))</f>
        <v>0</v>
      </c>
      <c r="O151" s="23">
        <f>IF(OR($I151="Vencido",$I151="Vencido (parcial)"),"Olá, "&amp;$A151&amp;"! Consta em aberto '"&amp;$B151&amp;"' com vencimento em "&amp;DAY($D151)&amp;"/"&amp;MONTH($D151)&amp;"/"&amp;YEAR($D151)&amp;", no valor de R$ "&amp;FIXED($N151,2)&amp;" (com multa e juros). Podemos ajudar a regularizar hoje? Obrigado!",IF($I151="Vence hoje","Olá, "&amp;$A151&amp;"! Lembrete: '"&amp;$B151&amp;"' vence hoje, no valor de R$ "&amp;FIXED($L151,2)&amp;". Obrigado!",""))</f>
        <v>0</v>
      </c>
    </row>
    <row r="152" spans="1:15">
      <c r="A152" s="13"/>
      <c r="B152" s="13"/>
      <c r="C152" s="17"/>
      <c r="D152" s="17"/>
      <c r="E152" s="18"/>
      <c r="F152" s="17"/>
      <c r="G152" s="18"/>
      <c r="H152" s="13"/>
      <c r="I152" s="19">
        <f>IF($E152="","",IF($L152&lt;=0.005,"Pago",IF($D152="","Sem vencimento",IF($D152&lt;Hoje,IF(N($G152)&gt;0,"Vencido (parcial)","Vencido"),IF($D152=Hoje,"Vence hoje","A vencer")))))</f>
        <v>0</v>
      </c>
      <c r="J152" s="20">
        <f>IF(OR($E152="",$D152=""),"",IF(AND($L152&gt;0.005,$D152&lt;Hoje),Hoje-$D152,0))</f>
        <v>0</v>
      </c>
      <c r="K152" s="20">
        <f>IF($J152="","",IF($L152&lt;=0.005,"Pago",IF($J152&lt;=0,"A vencer",IF($J152&lt;=15,"1-15 dias",IF($J152&lt;=30,"16-30 dias",IF($J152&lt;=60,"31-60 dias","Mais de 60 dias"))))))</f>
        <v>0</v>
      </c>
      <c r="L152" s="21">
        <f>IF($E152="","",MAX(0,$E152-N($G152)))</f>
        <v>0</v>
      </c>
      <c r="M152" s="21">
        <f>IF(OR($L152="",$J152=""),"",IF($J152&gt;0,ROUND($L152*Multa+$L152*Juros/30*$J152,2),0))</f>
        <v>0</v>
      </c>
      <c r="N152" s="22">
        <f>IF($L152="","",IF($L152&lt;=0.005,0,$L152+N($M152)))</f>
        <v>0</v>
      </c>
      <c r="O152" s="23">
        <f>IF(OR($I152="Vencido",$I152="Vencido (parcial)"),"Olá, "&amp;$A152&amp;"! Consta em aberto '"&amp;$B152&amp;"' com vencimento em "&amp;DAY($D152)&amp;"/"&amp;MONTH($D152)&amp;"/"&amp;YEAR($D152)&amp;", no valor de R$ "&amp;FIXED($N152,2)&amp;" (com multa e juros). Podemos ajudar a regularizar hoje? Obrigado!",IF($I152="Vence hoje","Olá, "&amp;$A152&amp;"! Lembrete: '"&amp;$B152&amp;"' vence hoje, no valor de R$ "&amp;FIXED($L152,2)&amp;". Obrigado!",""))</f>
        <v>0</v>
      </c>
    </row>
    <row r="153" spans="1:15">
      <c r="A153" s="13"/>
      <c r="B153" s="13"/>
      <c r="C153" s="17"/>
      <c r="D153" s="17"/>
      <c r="E153" s="18"/>
      <c r="F153" s="17"/>
      <c r="G153" s="18"/>
      <c r="H153" s="13"/>
      <c r="I153" s="19">
        <f>IF($E153="","",IF($L153&lt;=0.005,"Pago",IF($D153="","Sem vencimento",IF($D153&lt;Hoje,IF(N($G153)&gt;0,"Vencido (parcial)","Vencido"),IF($D153=Hoje,"Vence hoje","A vencer")))))</f>
        <v>0</v>
      </c>
      <c r="J153" s="20">
        <f>IF(OR($E153="",$D153=""),"",IF(AND($L153&gt;0.005,$D153&lt;Hoje),Hoje-$D153,0))</f>
        <v>0</v>
      </c>
      <c r="K153" s="20">
        <f>IF($J153="","",IF($L153&lt;=0.005,"Pago",IF($J153&lt;=0,"A vencer",IF($J153&lt;=15,"1-15 dias",IF($J153&lt;=30,"16-30 dias",IF($J153&lt;=60,"31-60 dias","Mais de 60 dias"))))))</f>
        <v>0</v>
      </c>
      <c r="L153" s="21">
        <f>IF($E153="","",MAX(0,$E153-N($G153)))</f>
        <v>0</v>
      </c>
      <c r="M153" s="21">
        <f>IF(OR($L153="",$J153=""),"",IF($J153&gt;0,ROUND($L153*Multa+$L153*Juros/30*$J153,2),0))</f>
        <v>0</v>
      </c>
      <c r="N153" s="22">
        <f>IF($L153="","",IF($L153&lt;=0.005,0,$L153+N($M153)))</f>
        <v>0</v>
      </c>
      <c r="O153" s="23">
        <f>IF(OR($I153="Vencido",$I153="Vencido (parcial)"),"Olá, "&amp;$A153&amp;"! Consta em aberto '"&amp;$B153&amp;"' com vencimento em "&amp;DAY($D153)&amp;"/"&amp;MONTH($D153)&amp;"/"&amp;YEAR($D153)&amp;", no valor de R$ "&amp;FIXED($N153,2)&amp;" (com multa e juros). Podemos ajudar a regularizar hoje? Obrigado!",IF($I153="Vence hoje","Olá, "&amp;$A153&amp;"! Lembrete: '"&amp;$B153&amp;"' vence hoje, no valor de R$ "&amp;FIXED($L153,2)&amp;". Obrigado!",""))</f>
        <v>0</v>
      </c>
    </row>
    <row r="154" spans="1:15">
      <c r="A154" s="13"/>
      <c r="B154" s="13"/>
      <c r="C154" s="17"/>
      <c r="D154" s="17"/>
      <c r="E154" s="18"/>
      <c r="F154" s="17"/>
      <c r="G154" s="18"/>
      <c r="H154" s="13"/>
      <c r="I154" s="19">
        <f>IF($E154="","",IF($L154&lt;=0.005,"Pago",IF($D154="","Sem vencimento",IF($D154&lt;Hoje,IF(N($G154)&gt;0,"Vencido (parcial)","Vencido"),IF($D154=Hoje,"Vence hoje","A vencer")))))</f>
        <v>0</v>
      </c>
      <c r="J154" s="20">
        <f>IF(OR($E154="",$D154=""),"",IF(AND($L154&gt;0.005,$D154&lt;Hoje),Hoje-$D154,0))</f>
        <v>0</v>
      </c>
      <c r="K154" s="20">
        <f>IF($J154="","",IF($L154&lt;=0.005,"Pago",IF($J154&lt;=0,"A vencer",IF($J154&lt;=15,"1-15 dias",IF($J154&lt;=30,"16-30 dias",IF($J154&lt;=60,"31-60 dias","Mais de 60 dias"))))))</f>
        <v>0</v>
      </c>
      <c r="L154" s="21">
        <f>IF($E154="","",MAX(0,$E154-N($G154)))</f>
        <v>0</v>
      </c>
      <c r="M154" s="21">
        <f>IF(OR($L154="",$J154=""),"",IF($J154&gt;0,ROUND($L154*Multa+$L154*Juros/30*$J154,2),0))</f>
        <v>0</v>
      </c>
      <c r="N154" s="22">
        <f>IF($L154="","",IF($L154&lt;=0.005,0,$L154+N($M154)))</f>
        <v>0</v>
      </c>
      <c r="O154" s="23">
        <f>IF(OR($I154="Vencido",$I154="Vencido (parcial)"),"Olá, "&amp;$A154&amp;"! Consta em aberto '"&amp;$B154&amp;"' com vencimento em "&amp;DAY($D154)&amp;"/"&amp;MONTH($D154)&amp;"/"&amp;YEAR($D154)&amp;", no valor de R$ "&amp;FIXED($N154,2)&amp;" (com multa e juros). Podemos ajudar a regularizar hoje? Obrigado!",IF($I154="Vence hoje","Olá, "&amp;$A154&amp;"! Lembrete: '"&amp;$B154&amp;"' vence hoje, no valor de R$ "&amp;FIXED($L154,2)&amp;". Obrigado!",""))</f>
        <v>0</v>
      </c>
    </row>
    <row r="155" spans="1:15">
      <c r="A155" s="13"/>
      <c r="B155" s="13"/>
      <c r="C155" s="17"/>
      <c r="D155" s="17"/>
      <c r="E155" s="18"/>
      <c r="F155" s="17"/>
      <c r="G155" s="18"/>
      <c r="H155" s="13"/>
      <c r="I155" s="19">
        <f>IF($E155="","",IF($L155&lt;=0.005,"Pago",IF($D155="","Sem vencimento",IF($D155&lt;Hoje,IF(N($G155)&gt;0,"Vencido (parcial)","Vencido"),IF($D155=Hoje,"Vence hoje","A vencer")))))</f>
        <v>0</v>
      </c>
      <c r="J155" s="20">
        <f>IF(OR($E155="",$D155=""),"",IF(AND($L155&gt;0.005,$D155&lt;Hoje),Hoje-$D155,0))</f>
        <v>0</v>
      </c>
      <c r="K155" s="20">
        <f>IF($J155="","",IF($L155&lt;=0.005,"Pago",IF($J155&lt;=0,"A vencer",IF($J155&lt;=15,"1-15 dias",IF($J155&lt;=30,"16-30 dias",IF($J155&lt;=60,"31-60 dias","Mais de 60 dias"))))))</f>
        <v>0</v>
      </c>
      <c r="L155" s="21">
        <f>IF($E155="","",MAX(0,$E155-N($G155)))</f>
        <v>0</v>
      </c>
      <c r="M155" s="21">
        <f>IF(OR($L155="",$J155=""),"",IF($J155&gt;0,ROUND($L155*Multa+$L155*Juros/30*$J155,2),0))</f>
        <v>0</v>
      </c>
      <c r="N155" s="22">
        <f>IF($L155="","",IF($L155&lt;=0.005,0,$L155+N($M155)))</f>
        <v>0</v>
      </c>
      <c r="O155" s="23">
        <f>IF(OR($I155="Vencido",$I155="Vencido (parcial)"),"Olá, "&amp;$A155&amp;"! Consta em aberto '"&amp;$B155&amp;"' com vencimento em "&amp;DAY($D155)&amp;"/"&amp;MONTH($D155)&amp;"/"&amp;YEAR($D155)&amp;", no valor de R$ "&amp;FIXED($N155,2)&amp;" (com multa e juros). Podemos ajudar a regularizar hoje? Obrigado!",IF($I155="Vence hoje","Olá, "&amp;$A155&amp;"! Lembrete: '"&amp;$B155&amp;"' vence hoje, no valor de R$ "&amp;FIXED($L155,2)&amp;". Obrigado!",""))</f>
        <v>0</v>
      </c>
    </row>
    <row r="156" spans="1:15">
      <c r="A156" s="13"/>
      <c r="B156" s="13"/>
      <c r="C156" s="17"/>
      <c r="D156" s="17"/>
      <c r="E156" s="18"/>
      <c r="F156" s="17"/>
      <c r="G156" s="18"/>
      <c r="H156" s="13"/>
      <c r="I156" s="19">
        <f>IF($E156="","",IF($L156&lt;=0.005,"Pago",IF($D156="","Sem vencimento",IF($D156&lt;Hoje,IF(N($G156)&gt;0,"Vencido (parcial)","Vencido"),IF($D156=Hoje,"Vence hoje","A vencer")))))</f>
        <v>0</v>
      </c>
      <c r="J156" s="20">
        <f>IF(OR($E156="",$D156=""),"",IF(AND($L156&gt;0.005,$D156&lt;Hoje),Hoje-$D156,0))</f>
        <v>0</v>
      </c>
      <c r="K156" s="20">
        <f>IF($J156="","",IF($L156&lt;=0.005,"Pago",IF($J156&lt;=0,"A vencer",IF($J156&lt;=15,"1-15 dias",IF($J156&lt;=30,"16-30 dias",IF($J156&lt;=60,"31-60 dias","Mais de 60 dias"))))))</f>
        <v>0</v>
      </c>
      <c r="L156" s="21">
        <f>IF($E156="","",MAX(0,$E156-N($G156)))</f>
        <v>0</v>
      </c>
      <c r="M156" s="21">
        <f>IF(OR($L156="",$J156=""),"",IF($J156&gt;0,ROUND($L156*Multa+$L156*Juros/30*$J156,2),0))</f>
        <v>0</v>
      </c>
      <c r="N156" s="22">
        <f>IF($L156="","",IF($L156&lt;=0.005,0,$L156+N($M156)))</f>
        <v>0</v>
      </c>
      <c r="O156" s="23">
        <f>IF(OR($I156="Vencido",$I156="Vencido (parcial)"),"Olá, "&amp;$A156&amp;"! Consta em aberto '"&amp;$B156&amp;"' com vencimento em "&amp;DAY($D156)&amp;"/"&amp;MONTH($D156)&amp;"/"&amp;YEAR($D156)&amp;", no valor de R$ "&amp;FIXED($N156,2)&amp;" (com multa e juros). Podemos ajudar a regularizar hoje? Obrigado!",IF($I156="Vence hoje","Olá, "&amp;$A156&amp;"! Lembrete: '"&amp;$B156&amp;"' vence hoje, no valor de R$ "&amp;FIXED($L156,2)&amp;". Obrigado!",""))</f>
        <v>0</v>
      </c>
    </row>
    <row r="157" spans="1:15">
      <c r="A157" s="13"/>
      <c r="B157" s="13"/>
      <c r="C157" s="17"/>
      <c r="D157" s="17"/>
      <c r="E157" s="18"/>
      <c r="F157" s="17"/>
      <c r="G157" s="18"/>
      <c r="H157" s="13"/>
      <c r="I157" s="19">
        <f>IF($E157="","",IF($L157&lt;=0.005,"Pago",IF($D157="","Sem vencimento",IF($D157&lt;Hoje,IF(N($G157)&gt;0,"Vencido (parcial)","Vencido"),IF($D157=Hoje,"Vence hoje","A vencer")))))</f>
        <v>0</v>
      </c>
      <c r="J157" s="20">
        <f>IF(OR($E157="",$D157=""),"",IF(AND($L157&gt;0.005,$D157&lt;Hoje),Hoje-$D157,0))</f>
        <v>0</v>
      </c>
      <c r="K157" s="20">
        <f>IF($J157="","",IF($L157&lt;=0.005,"Pago",IF($J157&lt;=0,"A vencer",IF($J157&lt;=15,"1-15 dias",IF($J157&lt;=30,"16-30 dias",IF($J157&lt;=60,"31-60 dias","Mais de 60 dias"))))))</f>
        <v>0</v>
      </c>
      <c r="L157" s="21">
        <f>IF($E157="","",MAX(0,$E157-N($G157)))</f>
        <v>0</v>
      </c>
      <c r="M157" s="21">
        <f>IF(OR($L157="",$J157=""),"",IF($J157&gt;0,ROUND($L157*Multa+$L157*Juros/30*$J157,2),0))</f>
        <v>0</v>
      </c>
      <c r="N157" s="22">
        <f>IF($L157="","",IF($L157&lt;=0.005,0,$L157+N($M157)))</f>
        <v>0</v>
      </c>
      <c r="O157" s="23">
        <f>IF(OR($I157="Vencido",$I157="Vencido (parcial)"),"Olá, "&amp;$A157&amp;"! Consta em aberto '"&amp;$B157&amp;"' com vencimento em "&amp;DAY($D157)&amp;"/"&amp;MONTH($D157)&amp;"/"&amp;YEAR($D157)&amp;", no valor de R$ "&amp;FIXED($N157,2)&amp;" (com multa e juros). Podemos ajudar a regularizar hoje? Obrigado!",IF($I157="Vence hoje","Olá, "&amp;$A157&amp;"! Lembrete: '"&amp;$B157&amp;"' vence hoje, no valor de R$ "&amp;FIXED($L157,2)&amp;". Obrigado!",""))</f>
        <v>0</v>
      </c>
    </row>
    <row r="158" spans="1:15">
      <c r="A158" s="13"/>
      <c r="B158" s="13"/>
      <c r="C158" s="17"/>
      <c r="D158" s="17"/>
      <c r="E158" s="18"/>
      <c r="F158" s="17"/>
      <c r="G158" s="18"/>
      <c r="H158" s="13"/>
      <c r="I158" s="19">
        <f>IF($E158="","",IF($L158&lt;=0.005,"Pago",IF($D158="","Sem vencimento",IF($D158&lt;Hoje,IF(N($G158)&gt;0,"Vencido (parcial)","Vencido"),IF($D158=Hoje,"Vence hoje","A vencer")))))</f>
        <v>0</v>
      </c>
      <c r="J158" s="20">
        <f>IF(OR($E158="",$D158=""),"",IF(AND($L158&gt;0.005,$D158&lt;Hoje),Hoje-$D158,0))</f>
        <v>0</v>
      </c>
      <c r="K158" s="20">
        <f>IF($J158="","",IF($L158&lt;=0.005,"Pago",IF($J158&lt;=0,"A vencer",IF($J158&lt;=15,"1-15 dias",IF($J158&lt;=30,"16-30 dias",IF($J158&lt;=60,"31-60 dias","Mais de 60 dias"))))))</f>
        <v>0</v>
      </c>
      <c r="L158" s="21">
        <f>IF($E158="","",MAX(0,$E158-N($G158)))</f>
        <v>0</v>
      </c>
      <c r="M158" s="21">
        <f>IF(OR($L158="",$J158=""),"",IF($J158&gt;0,ROUND($L158*Multa+$L158*Juros/30*$J158,2),0))</f>
        <v>0</v>
      </c>
      <c r="N158" s="22">
        <f>IF($L158="","",IF($L158&lt;=0.005,0,$L158+N($M158)))</f>
        <v>0</v>
      </c>
      <c r="O158" s="23">
        <f>IF(OR($I158="Vencido",$I158="Vencido (parcial)"),"Olá, "&amp;$A158&amp;"! Consta em aberto '"&amp;$B158&amp;"' com vencimento em "&amp;DAY($D158)&amp;"/"&amp;MONTH($D158)&amp;"/"&amp;YEAR($D158)&amp;", no valor de R$ "&amp;FIXED($N158,2)&amp;" (com multa e juros). Podemos ajudar a regularizar hoje? Obrigado!",IF($I158="Vence hoje","Olá, "&amp;$A158&amp;"! Lembrete: '"&amp;$B158&amp;"' vence hoje, no valor de R$ "&amp;FIXED($L158,2)&amp;". Obrigado!",""))</f>
        <v>0</v>
      </c>
    </row>
    <row r="159" spans="1:15">
      <c r="A159" s="13"/>
      <c r="B159" s="13"/>
      <c r="C159" s="17"/>
      <c r="D159" s="17"/>
      <c r="E159" s="18"/>
      <c r="F159" s="17"/>
      <c r="G159" s="18"/>
      <c r="H159" s="13"/>
      <c r="I159" s="19">
        <f>IF($E159="","",IF($L159&lt;=0.005,"Pago",IF($D159="","Sem vencimento",IF($D159&lt;Hoje,IF(N($G159)&gt;0,"Vencido (parcial)","Vencido"),IF($D159=Hoje,"Vence hoje","A vencer")))))</f>
        <v>0</v>
      </c>
      <c r="J159" s="20">
        <f>IF(OR($E159="",$D159=""),"",IF(AND($L159&gt;0.005,$D159&lt;Hoje),Hoje-$D159,0))</f>
        <v>0</v>
      </c>
      <c r="K159" s="20">
        <f>IF($J159="","",IF($L159&lt;=0.005,"Pago",IF($J159&lt;=0,"A vencer",IF($J159&lt;=15,"1-15 dias",IF($J159&lt;=30,"16-30 dias",IF($J159&lt;=60,"31-60 dias","Mais de 60 dias"))))))</f>
        <v>0</v>
      </c>
      <c r="L159" s="21">
        <f>IF($E159="","",MAX(0,$E159-N($G159)))</f>
        <v>0</v>
      </c>
      <c r="M159" s="21">
        <f>IF(OR($L159="",$J159=""),"",IF($J159&gt;0,ROUND($L159*Multa+$L159*Juros/30*$J159,2),0))</f>
        <v>0</v>
      </c>
      <c r="N159" s="22">
        <f>IF($L159="","",IF($L159&lt;=0.005,0,$L159+N($M159)))</f>
        <v>0</v>
      </c>
      <c r="O159" s="23">
        <f>IF(OR($I159="Vencido",$I159="Vencido (parcial)"),"Olá, "&amp;$A159&amp;"! Consta em aberto '"&amp;$B159&amp;"' com vencimento em "&amp;DAY($D159)&amp;"/"&amp;MONTH($D159)&amp;"/"&amp;YEAR($D159)&amp;", no valor de R$ "&amp;FIXED($N159,2)&amp;" (com multa e juros). Podemos ajudar a regularizar hoje? Obrigado!",IF($I159="Vence hoje","Olá, "&amp;$A159&amp;"! Lembrete: '"&amp;$B159&amp;"' vence hoje, no valor de R$ "&amp;FIXED($L159,2)&amp;". Obrigado!",""))</f>
        <v>0</v>
      </c>
    </row>
    <row r="160" spans="1:15">
      <c r="A160" s="13"/>
      <c r="B160" s="13"/>
      <c r="C160" s="17"/>
      <c r="D160" s="17"/>
      <c r="E160" s="18"/>
      <c r="F160" s="17"/>
      <c r="G160" s="18"/>
      <c r="H160" s="13"/>
      <c r="I160" s="19">
        <f>IF($E160="","",IF($L160&lt;=0.005,"Pago",IF($D160="","Sem vencimento",IF($D160&lt;Hoje,IF(N($G160)&gt;0,"Vencido (parcial)","Vencido"),IF($D160=Hoje,"Vence hoje","A vencer")))))</f>
        <v>0</v>
      </c>
      <c r="J160" s="20">
        <f>IF(OR($E160="",$D160=""),"",IF(AND($L160&gt;0.005,$D160&lt;Hoje),Hoje-$D160,0))</f>
        <v>0</v>
      </c>
      <c r="K160" s="20">
        <f>IF($J160="","",IF($L160&lt;=0.005,"Pago",IF($J160&lt;=0,"A vencer",IF($J160&lt;=15,"1-15 dias",IF($J160&lt;=30,"16-30 dias",IF($J160&lt;=60,"31-60 dias","Mais de 60 dias"))))))</f>
        <v>0</v>
      </c>
      <c r="L160" s="21">
        <f>IF($E160="","",MAX(0,$E160-N($G160)))</f>
        <v>0</v>
      </c>
      <c r="M160" s="21">
        <f>IF(OR($L160="",$J160=""),"",IF($J160&gt;0,ROUND($L160*Multa+$L160*Juros/30*$J160,2),0))</f>
        <v>0</v>
      </c>
      <c r="N160" s="22">
        <f>IF($L160="","",IF($L160&lt;=0.005,0,$L160+N($M160)))</f>
        <v>0</v>
      </c>
      <c r="O160" s="23">
        <f>IF(OR($I160="Vencido",$I160="Vencido (parcial)"),"Olá, "&amp;$A160&amp;"! Consta em aberto '"&amp;$B160&amp;"' com vencimento em "&amp;DAY($D160)&amp;"/"&amp;MONTH($D160)&amp;"/"&amp;YEAR($D160)&amp;", no valor de R$ "&amp;FIXED($N160,2)&amp;" (com multa e juros). Podemos ajudar a regularizar hoje? Obrigado!",IF($I160="Vence hoje","Olá, "&amp;$A160&amp;"! Lembrete: '"&amp;$B160&amp;"' vence hoje, no valor de R$ "&amp;FIXED($L160,2)&amp;". Obrigado!",""))</f>
        <v>0</v>
      </c>
    </row>
    <row r="161" spans="1:15">
      <c r="A161" s="13"/>
      <c r="B161" s="13"/>
      <c r="C161" s="17"/>
      <c r="D161" s="17"/>
      <c r="E161" s="18"/>
      <c r="F161" s="17"/>
      <c r="G161" s="18"/>
      <c r="H161" s="13"/>
      <c r="I161" s="19">
        <f>IF($E161="","",IF($L161&lt;=0.005,"Pago",IF($D161="","Sem vencimento",IF($D161&lt;Hoje,IF(N($G161)&gt;0,"Vencido (parcial)","Vencido"),IF($D161=Hoje,"Vence hoje","A vencer")))))</f>
        <v>0</v>
      </c>
      <c r="J161" s="20">
        <f>IF(OR($E161="",$D161=""),"",IF(AND($L161&gt;0.005,$D161&lt;Hoje),Hoje-$D161,0))</f>
        <v>0</v>
      </c>
      <c r="K161" s="20">
        <f>IF($J161="","",IF($L161&lt;=0.005,"Pago",IF($J161&lt;=0,"A vencer",IF($J161&lt;=15,"1-15 dias",IF($J161&lt;=30,"16-30 dias",IF($J161&lt;=60,"31-60 dias","Mais de 60 dias"))))))</f>
        <v>0</v>
      </c>
      <c r="L161" s="21">
        <f>IF($E161="","",MAX(0,$E161-N($G161)))</f>
        <v>0</v>
      </c>
      <c r="M161" s="21">
        <f>IF(OR($L161="",$J161=""),"",IF($J161&gt;0,ROUND($L161*Multa+$L161*Juros/30*$J161,2),0))</f>
        <v>0</v>
      </c>
      <c r="N161" s="22">
        <f>IF($L161="","",IF($L161&lt;=0.005,0,$L161+N($M161)))</f>
        <v>0</v>
      </c>
      <c r="O161" s="23">
        <f>IF(OR($I161="Vencido",$I161="Vencido (parcial)"),"Olá, "&amp;$A161&amp;"! Consta em aberto '"&amp;$B161&amp;"' com vencimento em "&amp;DAY($D161)&amp;"/"&amp;MONTH($D161)&amp;"/"&amp;YEAR($D161)&amp;", no valor de R$ "&amp;FIXED($N161,2)&amp;" (com multa e juros). Podemos ajudar a regularizar hoje? Obrigado!",IF($I161="Vence hoje","Olá, "&amp;$A161&amp;"! Lembrete: '"&amp;$B161&amp;"' vence hoje, no valor de R$ "&amp;FIXED($L161,2)&amp;". Obrigado!",""))</f>
        <v>0</v>
      </c>
    </row>
    <row r="162" spans="1:15">
      <c r="A162" s="13"/>
      <c r="B162" s="13"/>
      <c r="C162" s="17"/>
      <c r="D162" s="17"/>
      <c r="E162" s="18"/>
      <c r="F162" s="17"/>
      <c r="G162" s="18"/>
      <c r="H162" s="13"/>
      <c r="I162" s="19">
        <f>IF($E162="","",IF($L162&lt;=0.005,"Pago",IF($D162="","Sem vencimento",IF($D162&lt;Hoje,IF(N($G162)&gt;0,"Vencido (parcial)","Vencido"),IF($D162=Hoje,"Vence hoje","A vencer")))))</f>
        <v>0</v>
      </c>
      <c r="J162" s="20">
        <f>IF(OR($E162="",$D162=""),"",IF(AND($L162&gt;0.005,$D162&lt;Hoje),Hoje-$D162,0))</f>
        <v>0</v>
      </c>
      <c r="K162" s="20">
        <f>IF($J162="","",IF($L162&lt;=0.005,"Pago",IF($J162&lt;=0,"A vencer",IF($J162&lt;=15,"1-15 dias",IF($J162&lt;=30,"16-30 dias",IF($J162&lt;=60,"31-60 dias","Mais de 60 dias"))))))</f>
        <v>0</v>
      </c>
      <c r="L162" s="21">
        <f>IF($E162="","",MAX(0,$E162-N($G162)))</f>
        <v>0</v>
      </c>
      <c r="M162" s="21">
        <f>IF(OR($L162="",$J162=""),"",IF($J162&gt;0,ROUND($L162*Multa+$L162*Juros/30*$J162,2),0))</f>
        <v>0</v>
      </c>
      <c r="N162" s="22">
        <f>IF($L162="","",IF($L162&lt;=0.005,0,$L162+N($M162)))</f>
        <v>0</v>
      </c>
      <c r="O162" s="23">
        <f>IF(OR($I162="Vencido",$I162="Vencido (parcial)"),"Olá, "&amp;$A162&amp;"! Consta em aberto '"&amp;$B162&amp;"' com vencimento em "&amp;DAY($D162)&amp;"/"&amp;MONTH($D162)&amp;"/"&amp;YEAR($D162)&amp;", no valor de R$ "&amp;FIXED($N162,2)&amp;" (com multa e juros). Podemos ajudar a regularizar hoje? Obrigado!",IF($I162="Vence hoje","Olá, "&amp;$A162&amp;"! Lembrete: '"&amp;$B162&amp;"' vence hoje, no valor de R$ "&amp;FIXED($L162,2)&amp;". Obrigado!",""))</f>
        <v>0</v>
      </c>
    </row>
    <row r="163" spans="1:15">
      <c r="A163" s="13"/>
      <c r="B163" s="13"/>
      <c r="C163" s="17"/>
      <c r="D163" s="17"/>
      <c r="E163" s="18"/>
      <c r="F163" s="17"/>
      <c r="G163" s="18"/>
      <c r="H163" s="13"/>
      <c r="I163" s="19">
        <f>IF($E163="","",IF($L163&lt;=0.005,"Pago",IF($D163="","Sem vencimento",IF($D163&lt;Hoje,IF(N($G163)&gt;0,"Vencido (parcial)","Vencido"),IF($D163=Hoje,"Vence hoje","A vencer")))))</f>
        <v>0</v>
      </c>
      <c r="J163" s="20">
        <f>IF(OR($E163="",$D163=""),"",IF(AND($L163&gt;0.005,$D163&lt;Hoje),Hoje-$D163,0))</f>
        <v>0</v>
      </c>
      <c r="K163" s="20">
        <f>IF($J163="","",IF($L163&lt;=0.005,"Pago",IF($J163&lt;=0,"A vencer",IF($J163&lt;=15,"1-15 dias",IF($J163&lt;=30,"16-30 dias",IF($J163&lt;=60,"31-60 dias","Mais de 60 dias"))))))</f>
        <v>0</v>
      </c>
      <c r="L163" s="21">
        <f>IF($E163="","",MAX(0,$E163-N($G163)))</f>
        <v>0</v>
      </c>
      <c r="M163" s="21">
        <f>IF(OR($L163="",$J163=""),"",IF($J163&gt;0,ROUND($L163*Multa+$L163*Juros/30*$J163,2),0))</f>
        <v>0</v>
      </c>
      <c r="N163" s="22">
        <f>IF($L163="","",IF($L163&lt;=0.005,0,$L163+N($M163)))</f>
        <v>0</v>
      </c>
      <c r="O163" s="23">
        <f>IF(OR($I163="Vencido",$I163="Vencido (parcial)"),"Olá, "&amp;$A163&amp;"! Consta em aberto '"&amp;$B163&amp;"' com vencimento em "&amp;DAY($D163)&amp;"/"&amp;MONTH($D163)&amp;"/"&amp;YEAR($D163)&amp;", no valor de R$ "&amp;FIXED($N163,2)&amp;" (com multa e juros). Podemos ajudar a regularizar hoje? Obrigado!",IF($I163="Vence hoje","Olá, "&amp;$A163&amp;"! Lembrete: '"&amp;$B163&amp;"' vence hoje, no valor de R$ "&amp;FIXED($L163,2)&amp;". Obrigado!",""))</f>
        <v>0</v>
      </c>
    </row>
    <row r="164" spans="1:15">
      <c r="A164" s="13"/>
      <c r="B164" s="13"/>
      <c r="C164" s="17"/>
      <c r="D164" s="17"/>
      <c r="E164" s="18"/>
      <c r="F164" s="17"/>
      <c r="G164" s="18"/>
      <c r="H164" s="13"/>
      <c r="I164" s="19">
        <f>IF($E164="","",IF($L164&lt;=0.005,"Pago",IF($D164="","Sem vencimento",IF($D164&lt;Hoje,IF(N($G164)&gt;0,"Vencido (parcial)","Vencido"),IF($D164=Hoje,"Vence hoje","A vencer")))))</f>
        <v>0</v>
      </c>
      <c r="J164" s="20">
        <f>IF(OR($E164="",$D164=""),"",IF(AND($L164&gt;0.005,$D164&lt;Hoje),Hoje-$D164,0))</f>
        <v>0</v>
      </c>
      <c r="K164" s="20">
        <f>IF($J164="","",IF($L164&lt;=0.005,"Pago",IF($J164&lt;=0,"A vencer",IF($J164&lt;=15,"1-15 dias",IF($J164&lt;=30,"16-30 dias",IF($J164&lt;=60,"31-60 dias","Mais de 60 dias"))))))</f>
        <v>0</v>
      </c>
      <c r="L164" s="21">
        <f>IF($E164="","",MAX(0,$E164-N($G164)))</f>
        <v>0</v>
      </c>
      <c r="M164" s="21">
        <f>IF(OR($L164="",$J164=""),"",IF($J164&gt;0,ROUND($L164*Multa+$L164*Juros/30*$J164,2),0))</f>
        <v>0</v>
      </c>
      <c r="N164" s="22">
        <f>IF($L164="","",IF($L164&lt;=0.005,0,$L164+N($M164)))</f>
        <v>0</v>
      </c>
      <c r="O164" s="23">
        <f>IF(OR($I164="Vencido",$I164="Vencido (parcial)"),"Olá, "&amp;$A164&amp;"! Consta em aberto '"&amp;$B164&amp;"' com vencimento em "&amp;DAY($D164)&amp;"/"&amp;MONTH($D164)&amp;"/"&amp;YEAR($D164)&amp;", no valor de R$ "&amp;FIXED($N164,2)&amp;" (com multa e juros). Podemos ajudar a regularizar hoje? Obrigado!",IF($I164="Vence hoje","Olá, "&amp;$A164&amp;"! Lembrete: '"&amp;$B164&amp;"' vence hoje, no valor de R$ "&amp;FIXED($L164,2)&amp;". Obrigado!",""))</f>
        <v>0</v>
      </c>
    </row>
    <row r="165" spans="1:15">
      <c r="A165" s="13"/>
      <c r="B165" s="13"/>
      <c r="C165" s="17"/>
      <c r="D165" s="17"/>
      <c r="E165" s="18"/>
      <c r="F165" s="17"/>
      <c r="G165" s="18"/>
      <c r="H165" s="13"/>
      <c r="I165" s="19">
        <f>IF($E165="","",IF($L165&lt;=0.005,"Pago",IF($D165="","Sem vencimento",IF($D165&lt;Hoje,IF(N($G165)&gt;0,"Vencido (parcial)","Vencido"),IF($D165=Hoje,"Vence hoje","A vencer")))))</f>
        <v>0</v>
      </c>
      <c r="J165" s="20">
        <f>IF(OR($E165="",$D165=""),"",IF(AND($L165&gt;0.005,$D165&lt;Hoje),Hoje-$D165,0))</f>
        <v>0</v>
      </c>
      <c r="K165" s="20">
        <f>IF($J165="","",IF($L165&lt;=0.005,"Pago",IF($J165&lt;=0,"A vencer",IF($J165&lt;=15,"1-15 dias",IF($J165&lt;=30,"16-30 dias",IF($J165&lt;=60,"31-60 dias","Mais de 60 dias"))))))</f>
        <v>0</v>
      </c>
      <c r="L165" s="21">
        <f>IF($E165="","",MAX(0,$E165-N($G165)))</f>
        <v>0</v>
      </c>
      <c r="M165" s="21">
        <f>IF(OR($L165="",$J165=""),"",IF($J165&gt;0,ROUND($L165*Multa+$L165*Juros/30*$J165,2),0))</f>
        <v>0</v>
      </c>
      <c r="N165" s="22">
        <f>IF($L165="","",IF($L165&lt;=0.005,0,$L165+N($M165)))</f>
        <v>0</v>
      </c>
      <c r="O165" s="23">
        <f>IF(OR($I165="Vencido",$I165="Vencido (parcial)"),"Olá, "&amp;$A165&amp;"! Consta em aberto '"&amp;$B165&amp;"' com vencimento em "&amp;DAY($D165)&amp;"/"&amp;MONTH($D165)&amp;"/"&amp;YEAR($D165)&amp;", no valor de R$ "&amp;FIXED($N165,2)&amp;" (com multa e juros). Podemos ajudar a regularizar hoje? Obrigado!",IF($I165="Vence hoje","Olá, "&amp;$A165&amp;"! Lembrete: '"&amp;$B165&amp;"' vence hoje, no valor de R$ "&amp;FIXED($L165,2)&amp;". Obrigado!",""))</f>
        <v>0</v>
      </c>
    </row>
    <row r="166" spans="1:15">
      <c r="A166" s="13"/>
      <c r="B166" s="13"/>
      <c r="C166" s="17"/>
      <c r="D166" s="17"/>
      <c r="E166" s="18"/>
      <c r="F166" s="17"/>
      <c r="G166" s="18"/>
      <c r="H166" s="13"/>
      <c r="I166" s="19">
        <f>IF($E166="","",IF($L166&lt;=0.005,"Pago",IF($D166="","Sem vencimento",IF($D166&lt;Hoje,IF(N($G166)&gt;0,"Vencido (parcial)","Vencido"),IF($D166=Hoje,"Vence hoje","A vencer")))))</f>
        <v>0</v>
      </c>
      <c r="J166" s="20">
        <f>IF(OR($E166="",$D166=""),"",IF(AND($L166&gt;0.005,$D166&lt;Hoje),Hoje-$D166,0))</f>
        <v>0</v>
      </c>
      <c r="K166" s="20">
        <f>IF($J166="","",IF($L166&lt;=0.005,"Pago",IF($J166&lt;=0,"A vencer",IF($J166&lt;=15,"1-15 dias",IF($J166&lt;=30,"16-30 dias",IF($J166&lt;=60,"31-60 dias","Mais de 60 dias"))))))</f>
        <v>0</v>
      </c>
      <c r="L166" s="21">
        <f>IF($E166="","",MAX(0,$E166-N($G166)))</f>
        <v>0</v>
      </c>
      <c r="M166" s="21">
        <f>IF(OR($L166="",$J166=""),"",IF($J166&gt;0,ROUND($L166*Multa+$L166*Juros/30*$J166,2),0))</f>
        <v>0</v>
      </c>
      <c r="N166" s="22">
        <f>IF($L166="","",IF($L166&lt;=0.005,0,$L166+N($M166)))</f>
        <v>0</v>
      </c>
      <c r="O166" s="23">
        <f>IF(OR($I166="Vencido",$I166="Vencido (parcial)"),"Olá, "&amp;$A166&amp;"! Consta em aberto '"&amp;$B166&amp;"' com vencimento em "&amp;DAY($D166)&amp;"/"&amp;MONTH($D166)&amp;"/"&amp;YEAR($D166)&amp;", no valor de R$ "&amp;FIXED($N166,2)&amp;" (com multa e juros). Podemos ajudar a regularizar hoje? Obrigado!",IF($I166="Vence hoje","Olá, "&amp;$A166&amp;"! Lembrete: '"&amp;$B166&amp;"' vence hoje, no valor de R$ "&amp;FIXED($L166,2)&amp;". Obrigado!",""))</f>
        <v>0</v>
      </c>
    </row>
    <row r="167" spans="1:15">
      <c r="A167" s="13"/>
      <c r="B167" s="13"/>
      <c r="C167" s="17"/>
      <c r="D167" s="17"/>
      <c r="E167" s="18"/>
      <c r="F167" s="17"/>
      <c r="G167" s="18"/>
      <c r="H167" s="13"/>
      <c r="I167" s="19">
        <f>IF($E167="","",IF($L167&lt;=0.005,"Pago",IF($D167="","Sem vencimento",IF($D167&lt;Hoje,IF(N($G167)&gt;0,"Vencido (parcial)","Vencido"),IF($D167=Hoje,"Vence hoje","A vencer")))))</f>
        <v>0</v>
      </c>
      <c r="J167" s="20">
        <f>IF(OR($E167="",$D167=""),"",IF(AND($L167&gt;0.005,$D167&lt;Hoje),Hoje-$D167,0))</f>
        <v>0</v>
      </c>
      <c r="K167" s="20">
        <f>IF($J167="","",IF($L167&lt;=0.005,"Pago",IF($J167&lt;=0,"A vencer",IF($J167&lt;=15,"1-15 dias",IF($J167&lt;=30,"16-30 dias",IF($J167&lt;=60,"31-60 dias","Mais de 60 dias"))))))</f>
        <v>0</v>
      </c>
      <c r="L167" s="21">
        <f>IF($E167="","",MAX(0,$E167-N($G167)))</f>
        <v>0</v>
      </c>
      <c r="M167" s="21">
        <f>IF(OR($L167="",$J167=""),"",IF($J167&gt;0,ROUND($L167*Multa+$L167*Juros/30*$J167,2),0))</f>
        <v>0</v>
      </c>
      <c r="N167" s="22">
        <f>IF($L167="","",IF($L167&lt;=0.005,0,$L167+N($M167)))</f>
        <v>0</v>
      </c>
      <c r="O167" s="23">
        <f>IF(OR($I167="Vencido",$I167="Vencido (parcial)"),"Olá, "&amp;$A167&amp;"! Consta em aberto '"&amp;$B167&amp;"' com vencimento em "&amp;DAY($D167)&amp;"/"&amp;MONTH($D167)&amp;"/"&amp;YEAR($D167)&amp;", no valor de R$ "&amp;FIXED($N167,2)&amp;" (com multa e juros). Podemos ajudar a regularizar hoje? Obrigado!",IF($I167="Vence hoje","Olá, "&amp;$A167&amp;"! Lembrete: '"&amp;$B167&amp;"' vence hoje, no valor de R$ "&amp;FIXED($L167,2)&amp;". Obrigado!",""))</f>
        <v>0</v>
      </c>
    </row>
    <row r="168" spans="1:15">
      <c r="A168" s="13"/>
      <c r="B168" s="13"/>
      <c r="C168" s="17"/>
      <c r="D168" s="17"/>
      <c r="E168" s="18"/>
      <c r="F168" s="17"/>
      <c r="G168" s="18"/>
      <c r="H168" s="13"/>
      <c r="I168" s="19">
        <f>IF($E168="","",IF($L168&lt;=0.005,"Pago",IF($D168="","Sem vencimento",IF($D168&lt;Hoje,IF(N($G168)&gt;0,"Vencido (parcial)","Vencido"),IF($D168=Hoje,"Vence hoje","A vencer")))))</f>
        <v>0</v>
      </c>
      <c r="J168" s="20">
        <f>IF(OR($E168="",$D168=""),"",IF(AND($L168&gt;0.005,$D168&lt;Hoje),Hoje-$D168,0))</f>
        <v>0</v>
      </c>
      <c r="K168" s="20">
        <f>IF($J168="","",IF($L168&lt;=0.005,"Pago",IF($J168&lt;=0,"A vencer",IF($J168&lt;=15,"1-15 dias",IF($J168&lt;=30,"16-30 dias",IF($J168&lt;=60,"31-60 dias","Mais de 60 dias"))))))</f>
        <v>0</v>
      </c>
      <c r="L168" s="21">
        <f>IF($E168="","",MAX(0,$E168-N($G168)))</f>
        <v>0</v>
      </c>
      <c r="M168" s="21">
        <f>IF(OR($L168="",$J168=""),"",IF($J168&gt;0,ROUND($L168*Multa+$L168*Juros/30*$J168,2),0))</f>
        <v>0</v>
      </c>
      <c r="N168" s="22">
        <f>IF($L168="","",IF($L168&lt;=0.005,0,$L168+N($M168)))</f>
        <v>0</v>
      </c>
      <c r="O168" s="23">
        <f>IF(OR($I168="Vencido",$I168="Vencido (parcial)"),"Olá, "&amp;$A168&amp;"! Consta em aberto '"&amp;$B168&amp;"' com vencimento em "&amp;DAY($D168)&amp;"/"&amp;MONTH($D168)&amp;"/"&amp;YEAR($D168)&amp;", no valor de R$ "&amp;FIXED($N168,2)&amp;" (com multa e juros). Podemos ajudar a regularizar hoje? Obrigado!",IF($I168="Vence hoje","Olá, "&amp;$A168&amp;"! Lembrete: '"&amp;$B168&amp;"' vence hoje, no valor de R$ "&amp;FIXED($L168,2)&amp;". Obrigado!",""))</f>
        <v>0</v>
      </c>
    </row>
    <row r="169" spans="1:15">
      <c r="A169" s="13"/>
      <c r="B169" s="13"/>
      <c r="C169" s="17"/>
      <c r="D169" s="17"/>
      <c r="E169" s="18"/>
      <c r="F169" s="17"/>
      <c r="G169" s="18"/>
      <c r="H169" s="13"/>
      <c r="I169" s="19">
        <f>IF($E169="","",IF($L169&lt;=0.005,"Pago",IF($D169="","Sem vencimento",IF($D169&lt;Hoje,IF(N($G169)&gt;0,"Vencido (parcial)","Vencido"),IF($D169=Hoje,"Vence hoje","A vencer")))))</f>
        <v>0</v>
      </c>
      <c r="J169" s="20">
        <f>IF(OR($E169="",$D169=""),"",IF(AND($L169&gt;0.005,$D169&lt;Hoje),Hoje-$D169,0))</f>
        <v>0</v>
      </c>
      <c r="K169" s="20">
        <f>IF($J169="","",IF($L169&lt;=0.005,"Pago",IF($J169&lt;=0,"A vencer",IF($J169&lt;=15,"1-15 dias",IF($J169&lt;=30,"16-30 dias",IF($J169&lt;=60,"31-60 dias","Mais de 60 dias"))))))</f>
        <v>0</v>
      </c>
      <c r="L169" s="21">
        <f>IF($E169="","",MAX(0,$E169-N($G169)))</f>
        <v>0</v>
      </c>
      <c r="M169" s="21">
        <f>IF(OR($L169="",$J169=""),"",IF($J169&gt;0,ROUND($L169*Multa+$L169*Juros/30*$J169,2),0))</f>
        <v>0</v>
      </c>
      <c r="N169" s="22">
        <f>IF($L169="","",IF($L169&lt;=0.005,0,$L169+N($M169)))</f>
        <v>0</v>
      </c>
      <c r="O169" s="23">
        <f>IF(OR($I169="Vencido",$I169="Vencido (parcial)"),"Olá, "&amp;$A169&amp;"! Consta em aberto '"&amp;$B169&amp;"' com vencimento em "&amp;DAY($D169)&amp;"/"&amp;MONTH($D169)&amp;"/"&amp;YEAR($D169)&amp;", no valor de R$ "&amp;FIXED($N169,2)&amp;" (com multa e juros). Podemos ajudar a regularizar hoje? Obrigado!",IF($I169="Vence hoje","Olá, "&amp;$A169&amp;"! Lembrete: '"&amp;$B169&amp;"' vence hoje, no valor de R$ "&amp;FIXED($L169,2)&amp;". Obrigado!",""))</f>
        <v>0</v>
      </c>
    </row>
    <row r="170" spans="1:15">
      <c r="A170" s="13"/>
      <c r="B170" s="13"/>
      <c r="C170" s="17"/>
      <c r="D170" s="17"/>
      <c r="E170" s="18"/>
      <c r="F170" s="17"/>
      <c r="G170" s="18"/>
      <c r="H170" s="13"/>
      <c r="I170" s="19">
        <f>IF($E170="","",IF($L170&lt;=0.005,"Pago",IF($D170="","Sem vencimento",IF($D170&lt;Hoje,IF(N($G170)&gt;0,"Vencido (parcial)","Vencido"),IF($D170=Hoje,"Vence hoje","A vencer")))))</f>
        <v>0</v>
      </c>
      <c r="J170" s="20">
        <f>IF(OR($E170="",$D170=""),"",IF(AND($L170&gt;0.005,$D170&lt;Hoje),Hoje-$D170,0))</f>
        <v>0</v>
      </c>
      <c r="K170" s="20">
        <f>IF($J170="","",IF($L170&lt;=0.005,"Pago",IF($J170&lt;=0,"A vencer",IF($J170&lt;=15,"1-15 dias",IF($J170&lt;=30,"16-30 dias",IF($J170&lt;=60,"31-60 dias","Mais de 60 dias"))))))</f>
        <v>0</v>
      </c>
      <c r="L170" s="21">
        <f>IF($E170="","",MAX(0,$E170-N($G170)))</f>
        <v>0</v>
      </c>
      <c r="M170" s="21">
        <f>IF(OR($L170="",$J170=""),"",IF($J170&gt;0,ROUND($L170*Multa+$L170*Juros/30*$J170,2),0))</f>
        <v>0</v>
      </c>
      <c r="N170" s="22">
        <f>IF($L170="","",IF($L170&lt;=0.005,0,$L170+N($M170)))</f>
        <v>0</v>
      </c>
      <c r="O170" s="23">
        <f>IF(OR($I170="Vencido",$I170="Vencido (parcial)"),"Olá, "&amp;$A170&amp;"! Consta em aberto '"&amp;$B170&amp;"' com vencimento em "&amp;DAY($D170)&amp;"/"&amp;MONTH($D170)&amp;"/"&amp;YEAR($D170)&amp;", no valor de R$ "&amp;FIXED($N170,2)&amp;" (com multa e juros). Podemos ajudar a regularizar hoje? Obrigado!",IF($I170="Vence hoje","Olá, "&amp;$A170&amp;"! Lembrete: '"&amp;$B170&amp;"' vence hoje, no valor de R$ "&amp;FIXED($L170,2)&amp;". Obrigado!",""))</f>
        <v>0</v>
      </c>
    </row>
    <row r="171" spans="1:15">
      <c r="A171" s="13"/>
      <c r="B171" s="13"/>
      <c r="C171" s="17"/>
      <c r="D171" s="17"/>
      <c r="E171" s="18"/>
      <c r="F171" s="17"/>
      <c r="G171" s="18"/>
      <c r="H171" s="13"/>
      <c r="I171" s="19">
        <f>IF($E171="","",IF($L171&lt;=0.005,"Pago",IF($D171="","Sem vencimento",IF($D171&lt;Hoje,IF(N($G171)&gt;0,"Vencido (parcial)","Vencido"),IF($D171=Hoje,"Vence hoje","A vencer")))))</f>
        <v>0</v>
      </c>
      <c r="J171" s="20">
        <f>IF(OR($E171="",$D171=""),"",IF(AND($L171&gt;0.005,$D171&lt;Hoje),Hoje-$D171,0))</f>
        <v>0</v>
      </c>
      <c r="K171" s="20">
        <f>IF($J171="","",IF($L171&lt;=0.005,"Pago",IF($J171&lt;=0,"A vencer",IF($J171&lt;=15,"1-15 dias",IF($J171&lt;=30,"16-30 dias",IF($J171&lt;=60,"31-60 dias","Mais de 60 dias"))))))</f>
        <v>0</v>
      </c>
      <c r="L171" s="21">
        <f>IF($E171="","",MAX(0,$E171-N($G171)))</f>
        <v>0</v>
      </c>
      <c r="M171" s="21">
        <f>IF(OR($L171="",$J171=""),"",IF($J171&gt;0,ROUND($L171*Multa+$L171*Juros/30*$J171,2),0))</f>
        <v>0</v>
      </c>
      <c r="N171" s="22">
        <f>IF($L171="","",IF($L171&lt;=0.005,0,$L171+N($M171)))</f>
        <v>0</v>
      </c>
      <c r="O171" s="23">
        <f>IF(OR($I171="Vencido",$I171="Vencido (parcial)"),"Olá, "&amp;$A171&amp;"! Consta em aberto '"&amp;$B171&amp;"' com vencimento em "&amp;DAY($D171)&amp;"/"&amp;MONTH($D171)&amp;"/"&amp;YEAR($D171)&amp;", no valor de R$ "&amp;FIXED($N171,2)&amp;" (com multa e juros). Podemos ajudar a regularizar hoje? Obrigado!",IF($I171="Vence hoje","Olá, "&amp;$A171&amp;"! Lembrete: '"&amp;$B171&amp;"' vence hoje, no valor de R$ "&amp;FIXED($L171,2)&amp;". Obrigado!",""))</f>
        <v>0</v>
      </c>
    </row>
    <row r="172" spans="1:15">
      <c r="A172" s="13"/>
      <c r="B172" s="13"/>
      <c r="C172" s="17"/>
      <c r="D172" s="17"/>
      <c r="E172" s="18"/>
      <c r="F172" s="17"/>
      <c r="G172" s="18"/>
      <c r="H172" s="13"/>
      <c r="I172" s="19">
        <f>IF($E172="","",IF($L172&lt;=0.005,"Pago",IF($D172="","Sem vencimento",IF($D172&lt;Hoje,IF(N($G172)&gt;0,"Vencido (parcial)","Vencido"),IF($D172=Hoje,"Vence hoje","A vencer")))))</f>
        <v>0</v>
      </c>
      <c r="J172" s="20">
        <f>IF(OR($E172="",$D172=""),"",IF(AND($L172&gt;0.005,$D172&lt;Hoje),Hoje-$D172,0))</f>
        <v>0</v>
      </c>
      <c r="K172" s="20">
        <f>IF($J172="","",IF($L172&lt;=0.005,"Pago",IF($J172&lt;=0,"A vencer",IF($J172&lt;=15,"1-15 dias",IF($J172&lt;=30,"16-30 dias",IF($J172&lt;=60,"31-60 dias","Mais de 60 dias"))))))</f>
        <v>0</v>
      </c>
      <c r="L172" s="21">
        <f>IF($E172="","",MAX(0,$E172-N($G172)))</f>
        <v>0</v>
      </c>
      <c r="M172" s="21">
        <f>IF(OR($L172="",$J172=""),"",IF($J172&gt;0,ROUND($L172*Multa+$L172*Juros/30*$J172,2),0))</f>
        <v>0</v>
      </c>
      <c r="N172" s="22">
        <f>IF($L172="","",IF($L172&lt;=0.005,0,$L172+N($M172)))</f>
        <v>0</v>
      </c>
      <c r="O172" s="23">
        <f>IF(OR($I172="Vencido",$I172="Vencido (parcial)"),"Olá, "&amp;$A172&amp;"! Consta em aberto '"&amp;$B172&amp;"' com vencimento em "&amp;DAY($D172)&amp;"/"&amp;MONTH($D172)&amp;"/"&amp;YEAR($D172)&amp;", no valor de R$ "&amp;FIXED($N172,2)&amp;" (com multa e juros). Podemos ajudar a regularizar hoje? Obrigado!",IF($I172="Vence hoje","Olá, "&amp;$A172&amp;"! Lembrete: '"&amp;$B172&amp;"' vence hoje, no valor de R$ "&amp;FIXED($L172,2)&amp;". Obrigado!",""))</f>
        <v>0</v>
      </c>
    </row>
    <row r="173" spans="1:15">
      <c r="A173" s="13"/>
      <c r="B173" s="13"/>
      <c r="C173" s="17"/>
      <c r="D173" s="17"/>
      <c r="E173" s="18"/>
      <c r="F173" s="17"/>
      <c r="G173" s="18"/>
      <c r="H173" s="13"/>
      <c r="I173" s="19">
        <f>IF($E173="","",IF($L173&lt;=0.005,"Pago",IF($D173="","Sem vencimento",IF($D173&lt;Hoje,IF(N($G173)&gt;0,"Vencido (parcial)","Vencido"),IF($D173=Hoje,"Vence hoje","A vencer")))))</f>
        <v>0</v>
      </c>
      <c r="J173" s="20">
        <f>IF(OR($E173="",$D173=""),"",IF(AND($L173&gt;0.005,$D173&lt;Hoje),Hoje-$D173,0))</f>
        <v>0</v>
      </c>
      <c r="K173" s="20">
        <f>IF($J173="","",IF($L173&lt;=0.005,"Pago",IF($J173&lt;=0,"A vencer",IF($J173&lt;=15,"1-15 dias",IF($J173&lt;=30,"16-30 dias",IF($J173&lt;=60,"31-60 dias","Mais de 60 dias"))))))</f>
        <v>0</v>
      </c>
      <c r="L173" s="21">
        <f>IF($E173="","",MAX(0,$E173-N($G173)))</f>
        <v>0</v>
      </c>
      <c r="M173" s="21">
        <f>IF(OR($L173="",$J173=""),"",IF($J173&gt;0,ROUND($L173*Multa+$L173*Juros/30*$J173,2),0))</f>
        <v>0</v>
      </c>
      <c r="N173" s="22">
        <f>IF($L173="","",IF($L173&lt;=0.005,0,$L173+N($M173)))</f>
        <v>0</v>
      </c>
      <c r="O173" s="23">
        <f>IF(OR($I173="Vencido",$I173="Vencido (parcial)"),"Olá, "&amp;$A173&amp;"! Consta em aberto '"&amp;$B173&amp;"' com vencimento em "&amp;DAY($D173)&amp;"/"&amp;MONTH($D173)&amp;"/"&amp;YEAR($D173)&amp;", no valor de R$ "&amp;FIXED($N173,2)&amp;" (com multa e juros). Podemos ajudar a regularizar hoje? Obrigado!",IF($I173="Vence hoje","Olá, "&amp;$A173&amp;"! Lembrete: '"&amp;$B173&amp;"' vence hoje, no valor de R$ "&amp;FIXED($L173,2)&amp;". Obrigado!",""))</f>
        <v>0</v>
      </c>
    </row>
    <row r="174" spans="1:15">
      <c r="A174" s="13"/>
      <c r="B174" s="13"/>
      <c r="C174" s="17"/>
      <c r="D174" s="17"/>
      <c r="E174" s="18"/>
      <c r="F174" s="17"/>
      <c r="G174" s="18"/>
      <c r="H174" s="13"/>
      <c r="I174" s="19">
        <f>IF($E174="","",IF($L174&lt;=0.005,"Pago",IF($D174="","Sem vencimento",IF($D174&lt;Hoje,IF(N($G174)&gt;0,"Vencido (parcial)","Vencido"),IF($D174=Hoje,"Vence hoje","A vencer")))))</f>
        <v>0</v>
      </c>
      <c r="J174" s="20">
        <f>IF(OR($E174="",$D174=""),"",IF(AND($L174&gt;0.005,$D174&lt;Hoje),Hoje-$D174,0))</f>
        <v>0</v>
      </c>
      <c r="K174" s="20">
        <f>IF($J174="","",IF($L174&lt;=0.005,"Pago",IF($J174&lt;=0,"A vencer",IF($J174&lt;=15,"1-15 dias",IF($J174&lt;=30,"16-30 dias",IF($J174&lt;=60,"31-60 dias","Mais de 60 dias"))))))</f>
        <v>0</v>
      </c>
      <c r="L174" s="21">
        <f>IF($E174="","",MAX(0,$E174-N($G174)))</f>
        <v>0</v>
      </c>
      <c r="M174" s="21">
        <f>IF(OR($L174="",$J174=""),"",IF($J174&gt;0,ROUND($L174*Multa+$L174*Juros/30*$J174,2),0))</f>
        <v>0</v>
      </c>
      <c r="N174" s="22">
        <f>IF($L174="","",IF($L174&lt;=0.005,0,$L174+N($M174)))</f>
        <v>0</v>
      </c>
      <c r="O174" s="23">
        <f>IF(OR($I174="Vencido",$I174="Vencido (parcial)"),"Olá, "&amp;$A174&amp;"! Consta em aberto '"&amp;$B174&amp;"' com vencimento em "&amp;DAY($D174)&amp;"/"&amp;MONTH($D174)&amp;"/"&amp;YEAR($D174)&amp;", no valor de R$ "&amp;FIXED($N174,2)&amp;" (com multa e juros). Podemos ajudar a regularizar hoje? Obrigado!",IF($I174="Vence hoje","Olá, "&amp;$A174&amp;"! Lembrete: '"&amp;$B174&amp;"' vence hoje, no valor de R$ "&amp;FIXED($L174,2)&amp;". Obrigado!",""))</f>
        <v>0</v>
      </c>
    </row>
    <row r="175" spans="1:15">
      <c r="A175" s="13"/>
      <c r="B175" s="13"/>
      <c r="C175" s="17"/>
      <c r="D175" s="17"/>
      <c r="E175" s="18"/>
      <c r="F175" s="17"/>
      <c r="G175" s="18"/>
      <c r="H175" s="13"/>
      <c r="I175" s="19">
        <f>IF($E175="","",IF($L175&lt;=0.005,"Pago",IF($D175="","Sem vencimento",IF($D175&lt;Hoje,IF(N($G175)&gt;0,"Vencido (parcial)","Vencido"),IF($D175=Hoje,"Vence hoje","A vencer")))))</f>
        <v>0</v>
      </c>
      <c r="J175" s="20">
        <f>IF(OR($E175="",$D175=""),"",IF(AND($L175&gt;0.005,$D175&lt;Hoje),Hoje-$D175,0))</f>
        <v>0</v>
      </c>
      <c r="K175" s="20">
        <f>IF($J175="","",IF($L175&lt;=0.005,"Pago",IF($J175&lt;=0,"A vencer",IF($J175&lt;=15,"1-15 dias",IF($J175&lt;=30,"16-30 dias",IF($J175&lt;=60,"31-60 dias","Mais de 60 dias"))))))</f>
        <v>0</v>
      </c>
      <c r="L175" s="21">
        <f>IF($E175="","",MAX(0,$E175-N($G175)))</f>
        <v>0</v>
      </c>
      <c r="M175" s="21">
        <f>IF(OR($L175="",$J175=""),"",IF($J175&gt;0,ROUND($L175*Multa+$L175*Juros/30*$J175,2),0))</f>
        <v>0</v>
      </c>
      <c r="N175" s="22">
        <f>IF($L175="","",IF($L175&lt;=0.005,0,$L175+N($M175)))</f>
        <v>0</v>
      </c>
      <c r="O175" s="23">
        <f>IF(OR($I175="Vencido",$I175="Vencido (parcial)"),"Olá, "&amp;$A175&amp;"! Consta em aberto '"&amp;$B175&amp;"' com vencimento em "&amp;DAY($D175)&amp;"/"&amp;MONTH($D175)&amp;"/"&amp;YEAR($D175)&amp;", no valor de R$ "&amp;FIXED($N175,2)&amp;" (com multa e juros). Podemos ajudar a regularizar hoje? Obrigado!",IF($I175="Vence hoje","Olá, "&amp;$A175&amp;"! Lembrete: '"&amp;$B175&amp;"' vence hoje, no valor de R$ "&amp;FIXED($L175,2)&amp;". Obrigado!",""))</f>
        <v>0</v>
      </c>
    </row>
    <row r="176" spans="1:15">
      <c r="A176" s="13"/>
      <c r="B176" s="13"/>
      <c r="C176" s="17"/>
      <c r="D176" s="17"/>
      <c r="E176" s="18"/>
      <c r="F176" s="17"/>
      <c r="G176" s="18"/>
      <c r="H176" s="13"/>
      <c r="I176" s="19">
        <f>IF($E176="","",IF($L176&lt;=0.005,"Pago",IF($D176="","Sem vencimento",IF($D176&lt;Hoje,IF(N($G176)&gt;0,"Vencido (parcial)","Vencido"),IF($D176=Hoje,"Vence hoje","A vencer")))))</f>
        <v>0</v>
      </c>
      <c r="J176" s="20">
        <f>IF(OR($E176="",$D176=""),"",IF(AND($L176&gt;0.005,$D176&lt;Hoje),Hoje-$D176,0))</f>
        <v>0</v>
      </c>
      <c r="K176" s="20">
        <f>IF($J176="","",IF($L176&lt;=0.005,"Pago",IF($J176&lt;=0,"A vencer",IF($J176&lt;=15,"1-15 dias",IF($J176&lt;=30,"16-30 dias",IF($J176&lt;=60,"31-60 dias","Mais de 60 dias"))))))</f>
        <v>0</v>
      </c>
      <c r="L176" s="21">
        <f>IF($E176="","",MAX(0,$E176-N($G176)))</f>
        <v>0</v>
      </c>
      <c r="M176" s="21">
        <f>IF(OR($L176="",$J176=""),"",IF($J176&gt;0,ROUND($L176*Multa+$L176*Juros/30*$J176,2),0))</f>
        <v>0</v>
      </c>
      <c r="N176" s="22">
        <f>IF($L176="","",IF($L176&lt;=0.005,0,$L176+N($M176)))</f>
        <v>0</v>
      </c>
      <c r="O176" s="23">
        <f>IF(OR($I176="Vencido",$I176="Vencido (parcial)"),"Olá, "&amp;$A176&amp;"! Consta em aberto '"&amp;$B176&amp;"' com vencimento em "&amp;DAY($D176)&amp;"/"&amp;MONTH($D176)&amp;"/"&amp;YEAR($D176)&amp;", no valor de R$ "&amp;FIXED($N176,2)&amp;" (com multa e juros). Podemos ajudar a regularizar hoje? Obrigado!",IF($I176="Vence hoje","Olá, "&amp;$A176&amp;"! Lembrete: '"&amp;$B176&amp;"' vence hoje, no valor de R$ "&amp;FIXED($L176,2)&amp;". Obrigado!",""))</f>
        <v>0</v>
      </c>
    </row>
    <row r="177" spans="1:15">
      <c r="A177" s="13"/>
      <c r="B177" s="13"/>
      <c r="C177" s="17"/>
      <c r="D177" s="17"/>
      <c r="E177" s="18"/>
      <c r="F177" s="17"/>
      <c r="G177" s="18"/>
      <c r="H177" s="13"/>
      <c r="I177" s="19">
        <f>IF($E177="","",IF($L177&lt;=0.005,"Pago",IF($D177="","Sem vencimento",IF($D177&lt;Hoje,IF(N($G177)&gt;0,"Vencido (parcial)","Vencido"),IF($D177=Hoje,"Vence hoje","A vencer")))))</f>
        <v>0</v>
      </c>
      <c r="J177" s="20">
        <f>IF(OR($E177="",$D177=""),"",IF(AND($L177&gt;0.005,$D177&lt;Hoje),Hoje-$D177,0))</f>
        <v>0</v>
      </c>
      <c r="K177" s="20">
        <f>IF($J177="","",IF($L177&lt;=0.005,"Pago",IF($J177&lt;=0,"A vencer",IF($J177&lt;=15,"1-15 dias",IF($J177&lt;=30,"16-30 dias",IF($J177&lt;=60,"31-60 dias","Mais de 60 dias"))))))</f>
        <v>0</v>
      </c>
      <c r="L177" s="21">
        <f>IF($E177="","",MAX(0,$E177-N($G177)))</f>
        <v>0</v>
      </c>
      <c r="M177" s="21">
        <f>IF(OR($L177="",$J177=""),"",IF($J177&gt;0,ROUND($L177*Multa+$L177*Juros/30*$J177,2),0))</f>
        <v>0</v>
      </c>
      <c r="N177" s="22">
        <f>IF($L177="","",IF($L177&lt;=0.005,0,$L177+N($M177)))</f>
        <v>0</v>
      </c>
      <c r="O177" s="23">
        <f>IF(OR($I177="Vencido",$I177="Vencido (parcial)"),"Olá, "&amp;$A177&amp;"! Consta em aberto '"&amp;$B177&amp;"' com vencimento em "&amp;DAY($D177)&amp;"/"&amp;MONTH($D177)&amp;"/"&amp;YEAR($D177)&amp;", no valor de R$ "&amp;FIXED($N177,2)&amp;" (com multa e juros). Podemos ajudar a regularizar hoje? Obrigado!",IF($I177="Vence hoje","Olá, "&amp;$A177&amp;"! Lembrete: '"&amp;$B177&amp;"' vence hoje, no valor de R$ "&amp;FIXED($L177,2)&amp;". Obrigado!",""))</f>
        <v>0</v>
      </c>
    </row>
    <row r="178" spans="1:15">
      <c r="A178" s="13"/>
      <c r="B178" s="13"/>
      <c r="C178" s="17"/>
      <c r="D178" s="17"/>
      <c r="E178" s="18"/>
      <c r="F178" s="17"/>
      <c r="G178" s="18"/>
      <c r="H178" s="13"/>
      <c r="I178" s="19">
        <f>IF($E178="","",IF($L178&lt;=0.005,"Pago",IF($D178="","Sem vencimento",IF($D178&lt;Hoje,IF(N($G178)&gt;0,"Vencido (parcial)","Vencido"),IF($D178=Hoje,"Vence hoje","A vencer")))))</f>
        <v>0</v>
      </c>
      <c r="J178" s="20">
        <f>IF(OR($E178="",$D178=""),"",IF(AND($L178&gt;0.005,$D178&lt;Hoje),Hoje-$D178,0))</f>
        <v>0</v>
      </c>
      <c r="K178" s="20">
        <f>IF($J178="","",IF($L178&lt;=0.005,"Pago",IF($J178&lt;=0,"A vencer",IF($J178&lt;=15,"1-15 dias",IF($J178&lt;=30,"16-30 dias",IF($J178&lt;=60,"31-60 dias","Mais de 60 dias"))))))</f>
        <v>0</v>
      </c>
      <c r="L178" s="21">
        <f>IF($E178="","",MAX(0,$E178-N($G178)))</f>
        <v>0</v>
      </c>
      <c r="M178" s="21">
        <f>IF(OR($L178="",$J178=""),"",IF($J178&gt;0,ROUND($L178*Multa+$L178*Juros/30*$J178,2),0))</f>
        <v>0</v>
      </c>
      <c r="N178" s="22">
        <f>IF($L178="","",IF($L178&lt;=0.005,0,$L178+N($M178)))</f>
        <v>0</v>
      </c>
      <c r="O178" s="23">
        <f>IF(OR($I178="Vencido",$I178="Vencido (parcial)"),"Olá, "&amp;$A178&amp;"! Consta em aberto '"&amp;$B178&amp;"' com vencimento em "&amp;DAY($D178)&amp;"/"&amp;MONTH($D178)&amp;"/"&amp;YEAR($D178)&amp;", no valor de R$ "&amp;FIXED($N178,2)&amp;" (com multa e juros). Podemos ajudar a regularizar hoje? Obrigado!",IF($I178="Vence hoje","Olá, "&amp;$A178&amp;"! Lembrete: '"&amp;$B178&amp;"' vence hoje, no valor de R$ "&amp;FIXED($L178,2)&amp;". Obrigado!",""))</f>
        <v>0</v>
      </c>
    </row>
    <row r="179" spans="1:15">
      <c r="A179" s="13"/>
      <c r="B179" s="13"/>
      <c r="C179" s="17"/>
      <c r="D179" s="17"/>
      <c r="E179" s="18"/>
      <c r="F179" s="17"/>
      <c r="G179" s="18"/>
      <c r="H179" s="13"/>
      <c r="I179" s="19">
        <f>IF($E179="","",IF($L179&lt;=0.005,"Pago",IF($D179="","Sem vencimento",IF($D179&lt;Hoje,IF(N($G179)&gt;0,"Vencido (parcial)","Vencido"),IF($D179=Hoje,"Vence hoje","A vencer")))))</f>
        <v>0</v>
      </c>
      <c r="J179" s="20">
        <f>IF(OR($E179="",$D179=""),"",IF(AND($L179&gt;0.005,$D179&lt;Hoje),Hoje-$D179,0))</f>
        <v>0</v>
      </c>
      <c r="K179" s="20">
        <f>IF($J179="","",IF($L179&lt;=0.005,"Pago",IF($J179&lt;=0,"A vencer",IF($J179&lt;=15,"1-15 dias",IF($J179&lt;=30,"16-30 dias",IF($J179&lt;=60,"31-60 dias","Mais de 60 dias"))))))</f>
        <v>0</v>
      </c>
      <c r="L179" s="21">
        <f>IF($E179="","",MAX(0,$E179-N($G179)))</f>
        <v>0</v>
      </c>
      <c r="M179" s="21">
        <f>IF(OR($L179="",$J179=""),"",IF($J179&gt;0,ROUND($L179*Multa+$L179*Juros/30*$J179,2),0))</f>
        <v>0</v>
      </c>
      <c r="N179" s="22">
        <f>IF($L179="","",IF($L179&lt;=0.005,0,$L179+N($M179)))</f>
        <v>0</v>
      </c>
      <c r="O179" s="23">
        <f>IF(OR($I179="Vencido",$I179="Vencido (parcial)"),"Olá, "&amp;$A179&amp;"! Consta em aberto '"&amp;$B179&amp;"' com vencimento em "&amp;DAY($D179)&amp;"/"&amp;MONTH($D179)&amp;"/"&amp;YEAR($D179)&amp;", no valor de R$ "&amp;FIXED($N179,2)&amp;" (com multa e juros). Podemos ajudar a regularizar hoje? Obrigado!",IF($I179="Vence hoje","Olá, "&amp;$A179&amp;"! Lembrete: '"&amp;$B179&amp;"' vence hoje, no valor de R$ "&amp;FIXED($L179,2)&amp;". Obrigado!",""))</f>
        <v>0</v>
      </c>
    </row>
    <row r="180" spans="1:15">
      <c r="A180" s="13"/>
      <c r="B180" s="13"/>
      <c r="C180" s="17"/>
      <c r="D180" s="17"/>
      <c r="E180" s="18"/>
      <c r="F180" s="17"/>
      <c r="G180" s="18"/>
      <c r="H180" s="13"/>
      <c r="I180" s="19">
        <f>IF($E180="","",IF($L180&lt;=0.005,"Pago",IF($D180="","Sem vencimento",IF($D180&lt;Hoje,IF(N($G180)&gt;0,"Vencido (parcial)","Vencido"),IF($D180=Hoje,"Vence hoje","A vencer")))))</f>
        <v>0</v>
      </c>
      <c r="J180" s="20">
        <f>IF(OR($E180="",$D180=""),"",IF(AND($L180&gt;0.005,$D180&lt;Hoje),Hoje-$D180,0))</f>
        <v>0</v>
      </c>
      <c r="K180" s="20">
        <f>IF($J180="","",IF($L180&lt;=0.005,"Pago",IF($J180&lt;=0,"A vencer",IF($J180&lt;=15,"1-15 dias",IF($J180&lt;=30,"16-30 dias",IF($J180&lt;=60,"31-60 dias","Mais de 60 dias"))))))</f>
        <v>0</v>
      </c>
      <c r="L180" s="21">
        <f>IF($E180="","",MAX(0,$E180-N($G180)))</f>
        <v>0</v>
      </c>
      <c r="M180" s="21">
        <f>IF(OR($L180="",$J180=""),"",IF($J180&gt;0,ROUND($L180*Multa+$L180*Juros/30*$J180,2),0))</f>
        <v>0</v>
      </c>
      <c r="N180" s="22">
        <f>IF($L180="","",IF($L180&lt;=0.005,0,$L180+N($M180)))</f>
        <v>0</v>
      </c>
      <c r="O180" s="23">
        <f>IF(OR($I180="Vencido",$I180="Vencido (parcial)"),"Olá, "&amp;$A180&amp;"! Consta em aberto '"&amp;$B180&amp;"' com vencimento em "&amp;DAY($D180)&amp;"/"&amp;MONTH($D180)&amp;"/"&amp;YEAR($D180)&amp;", no valor de R$ "&amp;FIXED($N180,2)&amp;" (com multa e juros). Podemos ajudar a regularizar hoje? Obrigado!",IF($I180="Vence hoje","Olá, "&amp;$A180&amp;"! Lembrete: '"&amp;$B180&amp;"' vence hoje, no valor de R$ "&amp;FIXED($L180,2)&amp;". Obrigado!",""))</f>
        <v>0</v>
      </c>
    </row>
    <row r="181" spans="1:15">
      <c r="A181" s="13"/>
      <c r="B181" s="13"/>
      <c r="C181" s="17"/>
      <c r="D181" s="17"/>
      <c r="E181" s="18"/>
      <c r="F181" s="17"/>
      <c r="G181" s="18"/>
      <c r="H181" s="13"/>
      <c r="I181" s="19">
        <f>IF($E181="","",IF($L181&lt;=0.005,"Pago",IF($D181="","Sem vencimento",IF($D181&lt;Hoje,IF(N($G181)&gt;0,"Vencido (parcial)","Vencido"),IF($D181=Hoje,"Vence hoje","A vencer")))))</f>
        <v>0</v>
      </c>
      <c r="J181" s="20">
        <f>IF(OR($E181="",$D181=""),"",IF(AND($L181&gt;0.005,$D181&lt;Hoje),Hoje-$D181,0))</f>
        <v>0</v>
      </c>
      <c r="K181" s="20">
        <f>IF($J181="","",IF($L181&lt;=0.005,"Pago",IF($J181&lt;=0,"A vencer",IF($J181&lt;=15,"1-15 dias",IF($J181&lt;=30,"16-30 dias",IF($J181&lt;=60,"31-60 dias","Mais de 60 dias"))))))</f>
        <v>0</v>
      </c>
      <c r="L181" s="21">
        <f>IF($E181="","",MAX(0,$E181-N($G181)))</f>
        <v>0</v>
      </c>
      <c r="M181" s="21">
        <f>IF(OR($L181="",$J181=""),"",IF($J181&gt;0,ROUND($L181*Multa+$L181*Juros/30*$J181,2),0))</f>
        <v>0</v>
      </c>
      <c r="N181" s="22">
        <f>IF($L181="","",IF($L181&lt;=0.005,0,$L181+N($M181)))</f>
        <v>0</v>
      </c>
      <c r="O181" s="23">
        <f>IF(OR($I181="Vencido",$I181="Vencido (parcial)"),"Olá, "&amp;$A181&amp;"! Consta em aberto '"&amp;$B181&amp;"' com vencimento em "&amp;DAY($D181)&amp;"/"&amp;MONTH($D181)&amp;"/"&amp;YEAR($D181)&amp;", no valor de R$ "&amp;FIXED($N181,2)&amp;" (com multa e juros). Podemos ajudar a regularizar hoje? Obrigado!",IF($I181="Vence hoje","Olá, "&amp;$A181&amp;"! Lembrete: '"&amp;$B181&amp;"' vence hoje, no valor de R$ "&amp;FIXED($L181,2)&amp;". Obrigado!",""))</f>
        <v>0</v>
      </c>
    </row>
    <row r="182" spans="1:15">
      <c r="A182" s="13"/>
      <c r="B182" s="13"/>
      <c r="C182" s="17"/>
      <c r="D182" s="17"/>
      <c r="E182" s="18"/>
      <c r="F182" s="17"/>
      <c r="G182" s="18"/>
      <c r="H182" s="13"/>
      <c r="I182" s="19">
        <f>IF($E182="","",IF($L182&lt;=0.005,"Pago",IF($D182="","Sem vencimento",IF($D182&lt;Hoje,IF(N($G182)&gt;0,"Vencido (parcial)","Vencido"),IF($D182=Hoje,"Vence hoje","A vencer")))))</f>
        <v>0</v>
      </c>
      <c r="J182" s="20">
        <f>IF(OR($E182="",$D182=""),"",IF(AND($L182&gt;0.005,$D182&lt;Hoje),Hoje-$D182,0))</f>
        <v>0</v>
      </c>
      <c r="K182" s="20">
        <f>IF($J182="","",IF($L182&lt;=0.005,"Pago",IF($J182&lt;=0,"A vencer",IF($J182&lt;=15,"1-15 dias",IF($J182&lt;=30,"16-30 dias",IF($J182&lt;=60,"31-60 dias","Mais de 60 dias"))))))</f>
        <v>0</v>
      </c>
      <c r="L182" s="21">
        <f>IF($E182="","",MAX(0,$E182-N($G182)))</f>
        <v>0</v>
      </c>
      <c r="M182" s="21">
        <f>IF(OR($L182="",$J182=""),"",IF($J182&gt;0,ROUND($L182*Multa+$L182*Juros/30*$J182,2),0))</f>
        <v>0</v>
      </c>
      <c r="N182" s="22">
        <f>IF($L182="","",IF($L182&lt;=0.005,0,$L182+N($M182)))</f>
        <v>0</v>
      </c>
      <c r="O182" s="23">
        <f>IF(OR($I182="Vencido",$I182="Vencido (parcial)"),"Olá, "&amp;$A182&amp;"! Consta em aberto '"&amp;$B182&amp;"' com vencimento em "&amp;DAY($D182)&amp;"/"&amp;MONTH($D182)&amp;"/"&amp;YEAR($D182)&amp;", no valor de R$ "&amp;FIXED($N182,2)&amp;" (com multa e juros). Podemos ajudar a regularizar hoje? Obrigado!",IF($I182="Vence hoje","Olá, "&amp;$A182&amp;"! Lembrete: '"&amp;$B182&amp;"' vence hoje, no valor de R$ "&amp;FIXED($L182,2)&amp;". Obrigado!",""))</f>
        <v>0</v>
      </c>
    </row>
    <row r="183" spans="1:15">
      <c r="A183" s="13"/>
      <c r="B183" s="13"/>
      <c r="C183" s="17"/>
      <c r="D183" s="17"/>
      <c r="E183" s="18"/>
      <c r="F183" s="17"/>
      <c r="G183" s="18"/>
      <c r="H183" s="13"/>
      <c r="I183" s="19">
        <f>IF($E183="","",IF($L183&lt;=0.005,"Pago",IF($D183="","Sem vencimento",IF($D183&lt;Hoje,IF(N($G183)&gt;0,"Vencido (parcial)","Vencido"),IF($D183=Hoje,"Vence hoje","A vencer")))))</f>
        <v>0</v>
      </c>
      <c r="J183" s="20">
        <f>IF(OR($E183="",$D183=""),"",IF(AND($L183&gt;0.005,$D183&lt;Hoje),Hoje-$D183,0))</f>
        <v>0</v>
      </c>
      <c r="K183" s="20">
        <f>IF($J183="","",IF($L183&lt;=0.005,"Pago",IF($J183&lt;=0,"A vencer",IF($J183&lt;=15,"1-15 dias",IF($J183&lt;=30,"16-30 dias",IF($J183&lt;=60,"31-60 dias","Mais de 60 dias"))))))</f>
        <v>0</v>
      </c>
      <c r="L183" s="21">
        <f>IF($E183="","",MAX(0,$E183-N($G183)))</f>
        <v>0</v>
      </c>
      <c r="M183" s="21">
        <f>IF(OR($L183="",$J183=""),"",IF($J183&gt;0,ROUND($L183*Multa+$L183*Juros/30*$J183,2),0))</f>
        <v>0</v>
      </c>
      <c r="N183" s="22">
        <f>IF($L183="","",IF($L183&lt;=0.005,0,$L183+N($M183)))</f>
        <v>0</v>
      </c>
      <c r="O183" s="23">
        <f>IF(OR($I183="Vencido",$I183="Vencido (parcial)"),"Olá, "&amp;$A183&amp;"! Consta em aberto '"&amp;$B183&amp;"' com vencimento em "&amp;DAY($D183)&amp;"/"&amp;MONTH($D183)&amp;"/"&amp;YEAR($D183)&amp;", no valor de R$ "&amp;FIXED($N183,2)&amp;" (com multa e juros). Podemos ajudar a regularizar hoje? Obrigado!",IF($I183="Vence hoje","Olá, "&amp;$A183&amp;"! Lembrete: '"&amp;$B183&amp;"' vence hoje, no valor de R$ "&amp;FIXED($L183,2)&amp;". Obrigado!",""))</f>
        <v>0</v>
      </c>
    </row>
    <row r="184" spans="1:15">
      <c r="A184" s="13"/>
      <c r="B184" s="13"/>
      <c r="C184" s="17"/>
      <c r="D184" s="17"/>
      <c r="E184" s="18"/>
      <c r="F184" s="17"/>
      <c r="G184" s="18"/>
      <c r="H184" s="13"/>
      <c r="I184" s="19">
        <f>IF($E184="","",IF($L184&lt;=0.005,"Pago",IF($D184="","Sem vencimento",IF($D184&lt;Hoje,IF(N($G184)&gt;0,"Vencido (parcial)","Vencido"),IF($D184=Hoje,"Vence hoje","A vencer")))))</f>
        <v>0</v>
      </c>
      <c r="J184" s="20">
        <f>IF(OR($E184="",$D184=""),"",IF(AND($L184&gt;0.005,$D184&lt;Hoje),Hoje-$D184,0))</f>
        <v>0</v>
      </c>
      <c r="K184" s="20">
        <f>IF($J184="","",IF($L184&lt;=0.005,"Pago",IF($J184&lt;=0,"A vencer",IF($J184&lt;=15,"1-15 dias",IF($J184&lt;=30,"16-30 dias",IF($J184&lt;=60,"31-60 dias","Mais de 60 dias"))))))</f>
        <v>0</v>
      </c>
      <c r="L184" s="21">
        <f>IF($E184="","",MAX(0,$E184-N($G184)))</f>
        <v>0</v>
      </c>
      <c r="M184" s="21">
        <f>IF(OR($L184="",$J184=""),"",IF($J184&gt;0,ROUND($L184*Multa+$L184*Juros/30*$J184,2),0))</f>
        <v>0</v>
      </c>
      <c r="N184" s="22">
        <f>IF($L184="","",IF($L184&lt;=0.005,0,$L184+N($M184)))</f>
        <v>0</v>
      </c>
      <c r="O184" s="23">
        <f>IF(OR($I184="Vencido",$I184="Vencido (parcial)"),"Olá, "&amp;$A184&amp;"! Consta em aberto '"&amp;$B184&amp;"' com vencimento em "&amp;DAY($D184)&amp;"/"&amp;MONTH($D184)&amp;"/"&amp;YEAR($D184)&amp;", no valor de R$ "&amp;FIXED($N184,2)&amp;" (com multa e juros). Podemos ajudar a regularizar hoje? Obrigado!",IF($I184="Vence hoje","Olá, "&amp;$A184&amp;"! Lembrete: '"&amp;$B184&amp;"' vence hoje, no valor de R$ "&amp;FIXED($L184,2)&amp;". Obrigado!",""))</f>
        <v>0</v>
      </c>
    </row>
    <row r="185" spans="1:15">
      <c r="A185" s="13"/>
      <c r="B185" s="13"/>
      <c r="C185" s="17"/>
      <c r="D185" s="17"/>
      <c r="E185" s="18"/>
      <c r="F185" s="17"/>
      <c r="G185" s="18"/>
      <c r="H185" s="13"/>
      <c r="I185" s="19">
        <f>IF($E185="","",IF($L185&lt;=0.005,"Pago",IF($D185="","Sem vencimento",IF($D185&lt;Hoje,IF(N($G185)&gt;0,"Vencido (parcial)","Vencido"),IF($D185=Hoje,"Vence hoje","A vencer")))))</f>
        <v>0</v>
      </c>
      <c r="J185" s="20">
        <f>IF(OR($E185="",$D185=""),"",IF(AND($L185&gt;0.005,$D185&lt;Hoje),Hoje-$D185,0))</f>
        <v>0</v>
      </c>
      <c r="K185" s="20">
        <f>IF($J185="","",IF($L185&lt;=0.005,"Pago",IF($J185&lt;=0,"A vencer",IF($J185&lt;=15,"1-15 dias",IF($J185&lt;=30,"16-30 dias",IF($J185&lt;=60,"31-60 dias","Mais de 60 dias"))))))</f>
        <v>0</v>
      </c>
      <c r="L185" s="21">
        <f>IF($E185="","",MAX(0,$E185-N($G185)))</f>
        <v>0</v>
      </c>
      <c r="M185" s="21">
        <f>IF(OR($L185="",$J185=""),"",IF($J185&gt;0,ROUND($L185*Multa+$L185*Juros/30*$J185,2),0))</f>
        <v>0</v>
      </c>
      <c r="N185" s="22">
        <f>IF($L185="","",IF($L185&lt;=0.005,0,$L185+N($M185)))</f>
        <v>0</v>
      </c>
      <c r="O185" s="23">
        <f>IF(OR($I185="Vencido",$I185="Vencido (parcial)"),"Olá, "&amp;$A185&amp;"! Consta em aberto '"&amp;$B185&amp;"' com vencimento em "&amp;DAY($D185)&amp;"/"&amp;MONTH($D185)&amp;"/"&amp;YEAR($D185)&amp;", no valor de R$ "&amp;FIXED($N185,2)&amp;" (com multa e juros). Podemos ajudar a regularizar hoje? Obrigado!",IF($I185="Vence hoje","Olá, "&amp;$A185&amp;"! Lembrete: '"&amp;$B185&amp;"' vence hoje, no valor de R$ "&amp;FIXED($L185,2)&amp;". Obrigado!",""))</f>
        <v>0</v>
      </c>
    </row>
    <row r="186" spans="1:15">
      <c r="A186" s="13"/>
      <c r="B186" s="13"/>
      <c r="C186" s="17"/>
      <c r="D186" s="17"/>
      <c r="E186" s="18"/>
      <c r="F186" s="17"/>
      <c r="G186" s="18"/>
      <c r="H186" s="13"/>
      <c r="I186" s="19">
        <f>IF($E186="","",IF($L186&lt;=0.005,"Pago",IF($D186="","Sem vencimento",IF($D186&lt;Hoje,IF(N($G186)&gt;0,"Vencido (parcial)","Vencido"),IF($D186=Hoje,"Vence hoje","A vencer")))))</f>
        <v>0</v>
      </c>
      <c r="J186" s="20">
        <f>IF(OR($E186="",$D186=""),"",IF(AND($L186&gt;0.005,$D186&lt;Hoje),Hoje-$D186,0))</f>
        <v>0</v>
      </c>
      <c r="K186" s="20">
        <f>IF($J186="","",IF($L186&lt;=0.005,"Pago",IF($J186&lt;=0,"A vencer",IF($J186&lt;=15,"1-15 dias",IF($J186&lt;=30,"16-30 dias",IF($J186&lt;=60,"31-60 dias","Mais de 60 dias"))))))</f>
        <v>0</v>
      </c>
      <c r="L186" s="21">
        <f>IF($E186="","",MAX(0,$E186-N($G186)))</f>
        <v>0</v>
      </c>
      <c r="M186" s="21">
        <f>IF(OR($L186="",$J186=""),"",IF($J186&gt;0,ROUND($L186*Multa+$L186*Juros/30*$J186,2),0))</f>
        <v>0</v>
      </c>
      <c r="N186" s="22">
        <f>IF($L186="","",IF($L186&lt;=0.005,0,$L186+N($M186)))</f>
        <v>0</v>
      </c>
      <c r="O186" s="23">
        <f>IF(OR($I186="Vencido",$I186="Vencido (parcial)"),"Olá, "&amp;$A186&amp;"! Consta em aberto '"&amp;$B186&amp;"' com vencimento em "&amp;DAY($D186)&amp;"/"&amp;MONTH($D186)&amp;"/"&amp;YEAR($D186)&amp;", no valor de R$ "&amp;FIXED($N186,2)&amp;" (com multa e juros). Podemos ajudar a regularizar hoje? Obrigado!",IF($I186="Vence hoje","Olá, "&amp;$A186&amp;"! Lembrete: '"&amp;$B186&amp;"' vence hoje, no valor de R$ "&amp;FIXED($L186,2)&amp;". Obrigado!",""))</f>
        <v>0</v>
      </c>
    </row>
    <row r="187" spans="1:15">
      <c r="A187" s="13"/>
      <c r="B187" s="13"/>
      <c r="C187" s="17"/>
      <c r="D187" s="17"/>
      <c r="E187" s="18"/>
      <c r="F187" s="17"/>
      <c r="G187" s="18"/>
      <c r="H187" s="13"/>
      <c r="I187" s="19">
        <f>IF($E187="","",IF($L187&lt;=0.005,"Pago",IF($D187="","Sem vencimento",IF($D187&lt;Hoje,IF(N($G187)&gt;0,"Vencido (parcial)","Vencido"),IF($D187=Hoje,"Vence hoje","A vencer")))))</f>
        <v>0</v>
      </c>
      <c r="J187" s="20">
        <f>IF(OR($E187="",$D187=""),"",IF(AND($L187&gt;0.005,$D187&lt;Hoje),Hoje-$D187,0))</f>
        <v>0</v>
      </c>
      <c r="K187" s="20">
        <f>IF($J187="","",IF($L187&lt;=0.005,"Pago",IF($J187&lt;=0,"A vencer",IF($J187&lt;=15,"1-15 dias",IF($J187&lt;=30,"16-30 dias",IF($J187&lt;=60,"31-60 dias","Mais de 60 dias"))))))</f>
        <v>0</v>
      </c>
      <c r="L187" s="21">
        <f>IF($E187="","",MAX(0,$E187-N($G187)))</f>
        <v>0</v>
      </c>
      <c r="M187" s="21">
        <f>IF(OR($L187="",$J187=""),"",IF($J187&gt;0,ROUND($L187*Multa+$L187*Juros/30*$J187,2),0))</f>
        <v>0</v>
      </c>
      <c r="N187" s="22">
        <f>IF($L187="","",IF($L187&lt;=0.005,0,$L187+N($M187)))</f>
        <v>0</v>
      </c>
      <c r="O187" s="23">
        <f>IF(OR($I187="Vencido",$I187="Vencido (parcial)"),"Olá, "&amp;$A187&amp;"! Consta em aberto '"&amp;$B187&amp;"' com vencimento em "&amp;DAY($D187)&amp;"/"&amp;MONTH($D187)&amp;"/"&amp;YEAR($D187)&amp;", no valor de R$ "&amp;FIXED($N187,2)&amp;" (com multa e juros). Podemos ajudar a regularizar hoje? Obrigado!",IF($I187="Vence hoje","Olá, "&amp;$A187&amp;"! Lembrete: '"&amp;$B187&amp;"' vence hoje, no valor de R$ "&amp;FIXED($L187,2)&amp;". Obrigado!",""))</f>
        <v>0</v>
      </c>
    </row>
    <row r="188" spans="1:15">
      <c r="A188" s="13"/>
      <c r="B188" s="13"/>
      <c r="C188" s="17"/>
      <c r="D188" s="17"/>
      <c r="E188" s="18"/>
      <c r="F188" s="17"/>
      <c r="G188" s="18"/>
      <c r="H188" s="13"/>
      <c r="I188" s="19">
        <f>IF($E188="","",IF($L188&lt;=0.005,"Pago",IF($D188="","Sem vencimento",IF($D188&lt;Hoje,IF(N($G188)&gt;0,"Vencido (parcial)","Vencido"),IF($D188=Hoje,"Vence hoje","A vencer")))))</f>
        <v>0</v>
      </c>
      <c r="J188" s="20">
        <f>IF(OR($E188="",$D188=""),"",IF(AND($L188&gt;0.005,$D188&lt;Hoje),Hoje-$D188,0))</f>
        <v>0</v>
      </c>
      <c r="K188" s="20">
        <f>IF($J188="","",IF($L188&lt;=0.005,"Pago",IF($J188&lt;=0,"A vencer",IF($J188&lt;=15,"1-15 dias",IF($J188&lt;=30,"16-30 dias",IF($J188&lt;=60,"31-60 dias","Mais de 60 dias"))))))</f>
        <v>0</v>
      </c>
      <c r="L188" s="21">
        <f>IF($E188="","",MAX(0,$E188-N($G188)))</f>
        <v>0</v>
      </c>
      <c r="M188" s="21">
        <f>IF(OR($L188="",$J188=""),"",IF($J188&gt;0,ROUND($L188*Multa+$L188*Juros/30*$J188,2),0))</f>
        <v>0</v>
      </c>
      <c r="N188" s="22">
        <f>IF($L188="","",IF($L188&lt;=0.005,0,$L188+N($M188)))</f>
        <v>0</v>
      </c>
      <c r="O188" s="23">
        <f>IF(OR($I188="Vencido",$I188="Vencido (parcial)"),"Olá, "&amp;$A188&amp;"! Consta em aberto '"&amp;$B188&amp;"' com vencimento em "&amp;DAY($D188)&amp;"/"&amp;MONTH($D188)&amp;"/"&amp;YEAR($D188)&amp;", no valor de R$ "&amp;FIXED($N188,2)&amp;" (com multa e juros). Podemos ajudar a regularizar hoje? Obrigado!",IF($I188="Vence hoje","Olá, "&amp;$A188&amp;"! Lembrete: '"&amp;$B188&amp;"' vence hoje, no valor de R$ "&amp;FIXED($L188,2)&amp;". Obrigado!",""))</f>
        <v>0</v>
      </c>
    </row>
    <row r="189" spans="1:15">
      <c r="A189" s="13"/>
      <c r="B189" s="13"/>
      <c r="C189" s="17"/>
      <c r="D189" s="17"/>
      <c r="E189" s="18"/>
      <c r="F189" s="17"/>
      <c r="G189" s="18"/>
      <c r="H189" s="13"/>
      <c r="I189" s="19">
        <f>IF($E189="","",IF($L189&lt;=0.005,"Pago",IF($D189="","Sem vencimento",IF($D189&lt;Hoje,IF(N($G189)&gt;0,"Vencido (parcial)","Vencido"),IF($D189=Hoje,"Vence hoje","A vencer")))))</f>
        <v>0</v>
      </c>
      <c r="J189" s="20">
        <f>IF(OR($E189="",$D189=""),"",IF(AND($L189&gt;0.005,$D189&lt;Hoje),Hoje-$D189,0))</f>
        <v>0</v>
      </c>
      <c r="K189" s="20">
        <f>IF($J189="","",IF($L189&lt;=0.005,"Pago",IF($J189&lt;=0,"A vencer",IF($J189&lt;=15,"1-15 dias",IF($J189&lt;=30,"16-30 dias",IF($J189&lt;=60,"31-60 dias","Mais de 60 dias"))))))</f>
        <v>0</v>
      </c>
      <c r="L189" s="21">
        <f>IF($E189="","",MAX(0,$E189-N($G189)))</f>
        <v>0</v>
      </c>
      <c r="M189" s="21">
        <f>IF(OR($L189="",$J189=""),"",IF($J189&gt;0,ROUND($L189*Multa+$L189*Juros/30*$J189,2),0))</f>
        <v>0</v>
      </c>
      <c r="N189" s="22">
        <f>IF($L189="","",IF($L189&lt;=0.005,0,$L189+N($M189)))</f>
        <v>0</v>
      </c>
      <c r="O189" s="23">
        <f>IF(OR($I189="Vencido",$I189="Vencido (parcial)"),"Olá, "&amp;$A189&amp;"! Consta em aberto '"&amp;$B189&amp;"' com vencimento em "&amp;DAY($D189)&amp;"/"&amp;MONTH($D189)&amp;"/"&amp;YEAR($D189)&amp;", no valor de R$ "&amp;FIXED($N189,2)&amp;" (com multa e juros). Podemos ajudar a regularizar hoje? Obrigado!",IF($I189="Vence hoje","Olá, "&amp;$A189&amp;"! Lembrete: '"&amp;$B189&amp;"' vence hoje, no valor de R$ "&amp;FIXED($L189,2)&amp;". Obrigado!",""))</f>
        <v>0</v>
      </c>
    </row>
    <row r="190" spans="1:15">
      <c r="A190" s="13"/>
      <c r="B190" s="13"/>
      <c r="C190" s="17"/>
      <c r="D190" s="17"/>
      <c r="E190" s="18"/>
      <c r="F190" s="17"/>
      <c r="G190" s="18"/>
      <c r="H190" s="13"/>
      <c r="I190" s="19">
        <f>IF($E190="","",IF($L190&lt;=0.005,"Pago",IF($D190="","Sem vencimento",IF($D190&lt;Hoje,IF(N($G190)&gt;0,"Vencido (parcial)","Vencido"),IF($D190=Hoje,"Vence hoje","A vencer")))))</f>
        <v>0</v>
      </c>
      <c r="J190" s="20">
        <f>IF(OR($E190="",$D190=""),"",IF(AND($L190&gt;0.005,$D190&lt;Hoje),Hoje-$D190,0))</f>
        <v>0</v>
      </c>
      <c r="K190" s="20">
        <f>IF($J190="","",IF($L190&lt;=0.005,"Pago",IF($J190&lt;=0,"A vencer",IF($J190&lt;=15,"1-15 dias",IF($J190&lt;=30,"16-30 dias",IF($J190&lt;=60,"31-60 dias","Mais de 60 dias"))))))</f>
        <v>0</v>
      </c>
      <c r="L190" s="21">
        <f>IF($E190="","",MAX(0,$E190-N($G190)))</f>
        <v>0</v>
      </c>
      <c r="M190" s="21">
        <f>IF(OR($L190="",$J190=""),"",IF($J190&gt;0,ROUND($L190*Multa+$L190*Juros/30*$J190,2),0))</f>
        <v>0</v>
      </c>
      <c r="N190" s="22">
        <f>IF($L190="","",IF($L190&lt;=0.005,0,$L190+N($M190)))</f>
        <v>0</v>
      </c>
      <c r="O190" s="23">
        <f>IF(OR($I190="Vencido",$I190="Vencido (parcial)"),"Olá, "&amp;$A190&amp;"! Consta em aberto '"&amp;$B190&amp;"' com vencimento em "&amp;DAY($D190)&amp;"/"&amp;MONTH($D190)&amp;"/"&amp;YEAR($D190)&amp;", no valor de R$ "&amp;FIXED($N190,2)&amp;" (com multa e juros). Podemos ajudar a regularizar hoje? Obrigado!",IF($I190="Vence hoje","Olá, "&amp;$A190&amp;"! Lembrete: '"&amp;$B190&amp;"' vence hoje, no valor de R$ "&amp;FIXED($L190,2)&amp;". Obrigado!",""))</f>
        <v>0</v>
      </c>
    </row>
    <row r="191" spans="1:15">
      <c r="A191" s="13"/>
      <c r="B191" s="13"/>
      <c r="C191" s="17"/>
      <c r="D191" s="17"/>
      <c r="E191" s="18"/>
      <c r="F191" s="17"/>
      <c r="G191" s="18"/>
      <c r="H191" s="13"/>
      <c r="I191" s="19">
        <f>IF($E191="","",IF($L191&lt;=0.005,"Pago",IF($D191="","Sem vencimento",IF($D191&lt;Hoje,IF(N($G191)&gt;0,"Vencido (parcial)","Vencido"),IF($D191=Hoje,"Vence hoje","A vencer")))))</f>
        <v>0</v>
      </c>
      <c r="J191" s="20">
        <f>IF(OR($E191="",$D191=""),"",IF(AND($L191&gt;0.005,$D191&lt;Hoje),Hoje-$D191,0))</f>
        <v>0</v>
      </c>
      <c r="K191" s="20">
        <f>IF($J191="","",IF($L191&lt;=0.005,"Pago",IF($J191&lt;=0,"A vencer",IF($J191&lt;=15,"1-15 dias",IF($J191&lt;=30,"16-30 dias",IF($J191&lt;=60,"31-60 dias","Mais de 60 dias"))))))</f>
        <v>0</v>
      </c>
      <c r="L191" s="21">
        <f>IF($E191="","",MAX(0,$E191-N($G191)))</f>
        <v>0</v>
      </c>
      <c r="M191" s="21">
        <f>IF(OR($L191="",$J191=""),"",IF($J191&gt;0,ROUND($L191*Multa+$L191*Juros/30*$J191,2),0))</f>
        <v>0</v>
      </c>
      <c r="N191" s="22">
        <f>IF($L191="","",IF($L191&lt;=0.005,0,$L191+N($M191)))</f>
        <v>0</v>
      </c>
      <c r="O191" s="23">
        <f>IF(OR($I191="Vencido",$I191="Vencido (parcial)"),"Olá, "&amp;$A191&amp;"! Consta em aberto '"&amp;$B191&amp;"' com vencimento em "&amp;DAY($D191)&amp;"/"&amp;MONTH($D191)&amp;"/"&amp;YEAR($D191)&amp;", no valor de R$ "&amp;FIXED($N191,2)&amp;" (com multa e juros). Podemos ajudar a regularizar hoje? Obrigado!",IF($I191="Vence hoje","Olá, "&amp;$A191&amp;"! Lembrete: '"&amp;$B191&amp;"' vence hoje, no valor de R$ "&amp;FIXED($L191,2)&amp;". Obrigado!",""))</f>
        <v>0</v>
      </c>
    </row>
    <row r="192" spans="1:15">
      <c r="A192" s="13"/>
      <c r="B192" s="13"/>
      <c r="C192" s="17"/>
      <c r="D192" s="17"/>
      <c r="E192" s="18"/>
      <c r="F192" s="17"/>
      <c r="G192" s="18"/>
      <c r="H192" s="13"/>
      <c r="I192" s="19">
        <f>IF($E192="","",IF($L192&lt;=0.005,"Pago",IF($D192="","Sem vencimento",IF($D192&lt;Hoje,IF(N($G192)&gt;0,"Vencido (parcial)","Vencido"),IF($D192=Hoje,"Vence hoje","A vencer")))))</f>
        <v>0</v>
      </c>
      <c r="J192" s="20">
        <f>IF(OR($E192="",$D192=""),"",IF(AND($L192&gt;0.005,$D192&lt;Hoje),Hoje-$D192,0))</f>
        <v>0</v>
      </c>
      <c r="K192" s="20">
        <f>IF($J192="","",IF($L192&lt;=0.005,"Pago",IF($J192&lt;=0,"A vencer",IF($J192&lt;=15,"1-15 dias",IF($J192&lt;=30,"16-30 dias",IF($J192&lt;=60,"31-60 dias","Mais de 60 dias"))))))</f>
        <v>0</v>
      </c>
      <c r="L192" s="21">
        <f>IF($E192="","",MAX(0,$E192-N($G192)))</f>
        <v>0</v>
      </c>
      <c r="M192" s="21">
        <f>IF(OR($L192="",$J192=""),"",IF($J192&gt;0,ROUND($L192*Multa+$L192*Juros/30*$J192,2),0))</f>
        <v>0</v>
      </c>
      <c r="N192" s="22">
        <f>IF($L192="","",IF($L192&lt;=0.005,0,$L192+N($M192)))</f>
        <v>0</v>
      </c>
      <c r="O192" s="23">
        <f>IF(OR($I192="Vencido",$I192="Vencido (parcial)"),"Olá, "&amp;$A192&amp;"! Consta em aberto '"&amp;$B192&amp;"' com vencimento em "&amp;DAY($D192)&amp;"/"&amp;MONTH($D192)&amp;"/"&amp;YEAR($D192)&amp;", no valor de R$ "&amp;FIXED($N192,2)&amp;" (com multa e juros). Podemos ajudar a regularizar hoje? Obrigado!",IF($I192="Vence hoje","Olá, "&amp;$A192&amp;"! Lembrete: '"&amp;$B192&amp;"' vence hoje, no valor de R$ "&amp;FIXED($L192,2)&amp;". Obrigado!",""))</f>
        <v>0</v>
      </c>
    </row>
    <row r="193" spans="1:15">
      <c r="A193" s="13"/>
      <c r="B193" s="13"/>
      <c r="C193" s="17"/>
      <c r="D193" s="17"/>
      <c r="E193" s="18"/>
      <c r="F193" s="17"/>
      <c r="G193" s="18"/>
      <c r="H193" s="13"/>
      <c r="I193" s="19">
        <f>IF($E193="","",IF($L193&lt;=0.005,"Pago",IF($D193="","Sem vencimento",IF($D193&lt;Hoje,IF(N($G193)&gt;0,"Vencido (parcial)","Vencido"),IF($D193=Hoje,"Vence hoje","A vencer")))))</f>
        <v>0</v>
      </c>
      <c r="J193" s="20">
        <f>IF(OR($E193="",$D193=""),"",IF(AND($L193&gt;0.005,$D193&lt;Hoje),Hoje-$D193,0))</f>
        <v>0</v>
      </c>
      <c r="K193" s="20">
        <f>IF($J193="","",IF($L193&lt;=0.005,"Pago",IF($J193&lt;=0,"A vencer",IF($J193&lt;=15,"1-15 dias",IF($J193&lt;=30,"16-30 dias",IF($J193&lt;=60,"31-60 dias","Mais de 60 dias"))))))</f>
        <v>0</v>
      </c>
      <c r="L193" s="21">
        <f>IF($E193="","",MAX(0,$E193-N($G193)))</f>
        <v>0</v>
      </c>
      <c r="M193" s="21">
        <f>IF(OR($L193="",$J193=""),"",IF($J193&gt;0,ROUND($L193*Multa+$L193*Juros/30*$J193,2),0))</f>
        <v>0</v>
      </c>
      <c r="N193" s="22">
        <f>IF($L193="","",IF($L193&lt;=0.005,0,$L193+N($M193)))</f>
        <v>0</v>
      </c>
      <c r="O193" s="23">
        <f>IF(OR($I193="Vencido",$I193="Vencido (parcial)"),"Olá, "&amp;$A193&amp;"! Consta em aberto '"&amp;$B193&amp;"' com vencimento em "&amp;DAY($D193)&amp;"/"&amp;MONTH($D193)&amp;"/"&amp;YEAR($D193)&amp;", no valor de R$ "&amp;FIXED($N193,2)&amp;" (com multa e juros). Podemos ajudar a regularizar hoje? Obrigado!",IF($I193="Vence hoje","Olá, "&amp;$A193&amp;"! Lembrete: '"&amp;$B193&amp;"' vence hoje, no valor de R$ "&amp;FIXED($L193,2)&amp;". Obrigado!",""))</f>
        <v>0</v>
      </c>
    </row>
    <row r="194" spans="1:15">
      <c r="A194" s="13"/>
      <c r="B194" s="13"/>
      <c r="C194" s="17"/>
      <c r="D194" s="17"/>
      <c r="E194" s="18"/>
      <c r="F194" s="17"/>
      <c r="G194" s="18"/>
      <c r="H194" s="13"/>
      <c r="I194" s="19">
        <f>IF($E194="","",IF($L194&lt;=0.005,"Pago",IF($D194="","Sem vencimento",IF($D194&lt;Hoje,IF(N($G194)&gt;0,"Vencido (parcial)","Vencido"),IF($D194=Hoje,"Vence hoje","A vencer")))))</f>
        <v>0</v>
      </c>
      <c r="J194" s="20">
        <f>IF(OR($E194="",$D194=""),"",IF(AND($L194&gt;0.005,$D194&lt;Hoje),Hoje-$D194,0))</f>
        <v>0</v>
      </c>
      <c r="K194" s="20">
        <f>IF($J194="","",IF($L194&lt;=0.005,"Pago",IF($J194&lt;=0,"A vencer",IF($J194&lt;=15,"1-15 dias",IF($J194&lt;=30,"16-30 dias",IF($J194&lt;=60,"31-60 dias","Mais de 60 dias"))))))</f>
        <v>0</v>
      </c>
      <c r="L194" s="21">
        <f>IF($E194="","",MAX(0,$E194-N($G194)))</f>
        <v>0</v>
      </c>
      <c r="M194" s="21">
        <f>IF(OR($L194="",$J194=""),"",IF($J194&gt;0,ROUND($L194*Multa+$L194*Juros/30*$J194,2),0))</f>
        <v>0</v>
      </c>
      <c r="N194" s="22">
        <f>IF($L194="","",IF($L194&lt;=0.005,0,$L194+N($M194)))</f>
        <v>0</v>
      </c>
      <c r="O194" s="23">
        <f>IF(OR($I194="Vencido",$I194="Vencido (parcial)"),"Olá, "&amp;$A194&amp;"! Consta em aberto '"&amp;$B194&amp;"' com vencimento em "&amp;DAY($D194)&amp;"/"&amp;MONTH($D194)&amp;"/"&amp;YEAR($D194)&amp;", no valor de R$ "&amp;FIXED($N194,2)&amp;" (com multa e juros). Podemos ajudar a regularizar hoje? Obrigado!",IF($I194="Vence hoje","Olá, "&amp;$A194&amp;"! Lembrete: '"&amp;$B194&amp;"' vence hoje, no valor de R$ "&amp;FIXED($L194,2)&amp;". Obrigado!",""))</f>
        <v>0</v>
      </c>
    </row>
    <row r="195" spans="1:15">
      <c r="A195" s="13"/>
      <c r="B195" s="13"/>
      <c r="C195" s="17"/>
      <c r="D195" s="17"/>
      <c r="E195" s="18"/>
      <c r="F195" s="17"/>
      <c r="G195" s="18"/>
      <c r="H195" s="13"/>
      <c r="I195" s="19">
        <f>IF($E195="","",IF($L195&lt;=0.005,"Pago",IF($D195="","Sem vencimento",IF($D195&lt;Hoje,IF(N($G195)&gt;0,"Vencido (parcial)","Vencido"),IF($D195=Hoje,"Vence hoje","A vencer")))))</f>
        <v>0</v>
      </c>
      <c r="J195" s="20">
        <f>IF(OR($E195="",$D195=""),"",IF(AND($L195&gt;0.005,$D195&lt;Hoje),Hoje-$D195,0))</f>
        <v>0</v>
      </c>
      <c r="K195" s="20">
        <f>IF($J195="","",IF($L195&lt;=0.005,"Pago",IF($J195&lt;=0,"A vencer",IF($J195&lt;=15,"1-15 dias",IF($J195&lt;=30,"16-30 dias",IF($J195&lt;=60,"31-60 dias","Mais de 60 dias"))))))</f>
        <v>0</v>
      </c>
      <c r="L195" s="21">
        <f>IF($E195="","",MAX(0,$E195-N($G195)))</f>
        <v>0</v>
      </c>
      <c r="M195" s="21">
        <f>IF(OR($L195="",$J195=""),"",IF($J195&gt;0,ROUND($L195*Multa+$L195*Juros/30*$J195,2),0))</f>
        <v>0</v>
      </c>
      <c r="N195" s="22">
        <f>IF($L195="","",IF($L195&lt;=0.005,0,$L195+N($M195)))</f>
        <v>0</v>
      </c>
      <c r="O195" s="23">
        <f>IF(OR($I195="Vencido",$I195="Vencido (parcial)"),"Olá, "&amp;$A195&amp;"! Consta em aberto '"&amp;$B195&amp;"' com vencimento em "&amp;DAY($D195)&amp;"/"&amp;MONTH($D195)&amp;"/"&amp;YEAR($D195)&amp;", no valor de R$ "&amp;FIXED($N195,2)&amp;" (com multa e juros). Podemos ajudar a regularizar hoje? Obrigado!",IF($I195="Vence hoje","Olá, "&amp;$A195&amp;"! Lembrete: '"&amp;$B195&amp;"' vence hoje, no valor de R$ "&amp;FIXED($L195,2)&amp;". Obrigado!",""))</f>
        <v>0</v>
      </c>
    </row>
    <row r="196" spans="1:15">
      <c r="A196" s="13"/>
      <c r="B196" s="13"/>
      <c r="C196" s="17"/>
      <c r="D196" s="17"/>
      <c r="E196" s="18"/>
      <c r="F196" s="17"/>
      <c r="G196" s="18"/>
      <c r="H196" s="13"/>
      <c r="I196" s="19">
        <f>IF($E196="","",IF($L196&lt;=0.005,"Pago",IF($D196="","Sem vencimento",IF($D196&lt;Hoje,IF(N($G196)&gt;0,"Vencido (parcial)","Vencido"),IF($D196=Hoje,"Vence hoje","A vencer")))))</f>
        <v>0</v>
      </c>
      <c r="J196" s="20">
        <f>IF(OR($E196="",$D196=""),"",IF(AND($L196&gt;0.005,$D196&lt;Hoje),Hoje-$D196,0))</f>
        <v>0</v>
      </c>
      <c r="K196" s="20">
        <f>IF($J196="","",IF($L196&lt;=0.005,"Pago",IF($J196&lt;=0,"A vencer",IF($J196&lt;=15,"1-15 dias",IF($J196&lt;=30,"16-30 dias",IF($J196&lt;=60,"31-60 dias","Mais de 60 dias"))))))</f>
        <v>0</v>
      </c>
      <c r="L196" s="21">
        <f>IF($E196="","",MAX(0,$E196-N($G196)))</f>
        <v>0</v>
      </c>
      <c r="M196" s="21">
        <f>IF(OR($L196="",$J196=""),"",IF($J196&gt;0,ROUND($L196*Multa+$L196*Juros/30*$J196,2),0))</f>
        <v>0</v>
      </c>
      <c r="N196" s="22">
        <f>IF($L196="","",IF($L196&lt;=0.005,0,$L196+N($M196)))</f>
        <v>0</v>
      </c>
      <c r="O196" s="23">
        <f>IF(OR($I196="Vencido",$I196="Vencido (parcial)"),"Olá, "&amp;$A196&amp;"! Consta em aberto '"&amp;$B196&amp;"' com vencimento em "&amp;DAY($D196)&amp;"/"&amp;MONTH($D196)&amp;"/"&amp;YEAR($D196)&amp;", no valor de R$ "&amp;FIXED($N196,2)&amp;" (com multa e juros). Podemos ajudar a regularizar hoje? Obrigado!",IF($I196="Vence hoje","Olá, "&amp;$A196&amp;"! Lembrete: '"&amp;$B196&amp;"' vence hoje, no valor de R$ "&amp;FIXED($L196,2)&amp;". Obrigado!",""))</f>
        <v>0</v>
      </c>
    </row>
    <row r="197" spans="1:15">
      <c r="A197" s="13"/>
      <c r="B197" s="13"/>
      <c r="C197" s="17"/>
      <c r="D197" s="17"/>
      <c r="E197" s="18"/>
      <c r="F197" s="17"/>
      <c r="G197" s="18"/>
      <c r="H197" s="13"/>
      <c r="I197" s="19">
        <f>IF($E197="","",IF($L197&lt;=0.005,"Pago",IF($D197="","Sem vencimento",IF($D197&lt;Hoje,IF(N($G197)&gt;0,"Vencido (parcial)","Vencido"),IF($D197=Hoje,"Vence hoje","A vencer")))))</f>
        <v>0</v>
      </c>
      <c r="J197" s="20">
        <f>IF(OR($E197="",$D197=""),"",IF(AND($L197&gt;0.005,$D197&lt;Hoje),Hoje-$D197,0))</f>
        <v>0</v>
      </c>
      <c r="K197" s="20">
        <f>IF($J197="","",IF($L197&lt;=0.005,"Pago",IF($J197&lt;=0,"A vencer",IF($J197&lt;=15,"1-15 dias",IF($J197&lt;=30,"16-30 dias",IF($J197&lt;=60,"31-60 dias","Mais de 60 dias"))))))</f>
        <v>0</v>
      </c>
      <c r="L197" s="21">
        <f>IF($E197="","",MAX(0,$E197-N($G197)))</f>
        <v>0</v>
      </c>
      <c r="M197" s="21">
        <f>IF(OR($L197="",$J197=""),"",IF($J197&gt;0,ROUND($L197*Multa+$L197*Juros/30*$J197,2),0))</f>
        <v>0</v>
      </c>
      <c r="N197" s="22">
        <f>IF($L197="","",IF($L197&lt;=0.005,0,$L197+N($M197)))</f>
        <v>0</v>
      </c>
      <c r="O197" s="23">
        <f>IF(OR($I197="Vencido",$I197="Vencido (parcial)"),"Olá, "&amp;$A197&amp;"! Consta em aberto '"&amp;$B197&amp;"' com vencimento em "&amp;DAY($D197)&amp;"/"&amp;MONTH($D197)&amp;"/"&amp;YEAR($D197)&amp;", no valor de R$ "&amp;FIXED($N197,2)&amp;" (com multa e juros). Podemos ajudar a regularizar hoje? Obrigado!",IF($I197="Vence hoje","Olá, "&amp;$A197&amp;"! Lembrete: '"&amp;$B197&amp;"' vence hoje, no valor de R$ "&amp;FIXED($L197,2)&amp;". Obrigado!",""))</f>
        <v>0</v>
      </c>
    </row>
    <row r="198" spans="1:15">
      <c r="A198" s="13"/>
      <c r="B198" s="13"/>
      <c r="C198" s="17"/>
      <c r="D198" s="17"/>
      <c r="E198" s="18"/>
      <c r="F198" s="17"/>
      <c r="G198" s="18"/>
      <c r="H198" s="13"/>
      <c r="I198" s="19">
        <f>IF($E198="","",IF($L198&lt;=0.005,"Pago",IF($D198="","Sem vencimento",IF($D198&lt;Hoje,IF(N($G198)&gt;0,"Vencido (parcial)","Vencido"),IF($D198=Hoje,"Vence hoje","A vencer")))))</f>
        <v>0</v>
      </c>
      <c r="J198" s="20">
        <f>IF(OR($E198="",$D198=""),"",IF(AND($L198&gt;0.005,$D198&lt;Hoje),Hoje-$D198,0))</f>
        <v>0</v>
      </c>
      <c r="K198" s="20">
        <f>IF($J198="","",IF($L198&lt;=0.005,"Pago",IF($J198&lt;=0,"A vencer",IF($J198&lt;=15,"1-15 dias",IF($J198&lt;=30,"16-30 dias",IF($J198&lt;=60,"31-60 dias","Mais de 60 dias"))))))</f>
        <v>0</v>
      </c>
      <c r="L198" s="21">
        <f>IF($E198="","",MAX(0,$E198-N($G198)))</f>
        <v>0</v>
      </c>
      <c r="M198" s="21">
        <f>IF(OR($L198="",$J198=""),"",IF($J198&gt;0,ROUND($L198*Multa+$L198*Juros/30*$J198,2),0))</f>
        <v>0</v>
      </c>
      <c r="N198" s="22">
        <f>IF($L198="","",IF($L198&lt;=0.005,0,$L198+N($M198)))</f>
        <v>0</v>
      </c>
      <c r="O198" s="23">
        <f>IF(OR($I198="Vencido",$I198="Vencido (parcial)"),"Olá, "&amp;$A198&amp;"! Consta em aberto '"&amp;$B198&amp;"' com vencimento em "&amp;DAY($D198)&amp;"/"&amp;MONTH($D198)&amp;"/"&amp;YEAR($D198)&amp;", no valor de R$ "&amp;FIXED($N198,2)&amp;" (com multa e juros). Podemos ajudar a regularizar hoje? Obrigado!",IF($I198="Vence hoje","Olá, "&amp;$A198&amp;"! Lembrete: '"&amp;$B198&amp;"' vence hoje, no valor de R$ "&amp;FIXED($L198,2)&amp;". Obrigado!",""))</f>
        <v>0</v>
      </c>
    </row>
    <row r="199" spans="1:15">
      <c r="A199" s="13"/>
      <c r="B199" s="13"/>
      <c r="C199" s="17"/>
      <c r="D199" s="17"/>
      <c r="E199" s="18"/>
      <c r="F199" s="17"/>
      <c r="G199" s="18"/>
      <c r="H199" s="13"/>
      <c r="I199" s="19">
        <f>IF($E199="","",IF($L199&lt;=0.005,"Pago",IF($D199="","Sem vencimento",IF($D199&lt;Hoje,IF(N($G199)&gt;0,"Vencido (parcial)","Vencido"),IF($D199=Hoje,"Vence hoje","A vencer")))))</f>
        <v>0</v>
      </c>
      <c r="J199" s="20">
        <f>IF(OR($E199="",$D199=""),"",IF(AND($L199&gt;0.005,$D199&lt;Hoje),Hoje-$D199,0))</f>
        <v>0</v>
      </c>
      <c r="K199" s="20">
        <f>IF($J199="","",IF($L199&lt;=0.005,"Pago",IF($J199&lt;=0,"A vencer",IF($J199&lt;=15,"1-15 dias",IF($J199&lt;=30,"16-30 dias",IF($J199&lt;=60,"31-60 dias","Mais de 60 dias"))))))</f>
        <v>0</v>
      </c>
      <c r="L199" s="21">
        <f>IF($E199="","",MAX(0,$E199-N($G199)))</f>
        <v>0</v>
      </c>
      <c r="M199" s="21">
        <f>IF(OR($L199="",$J199=""),"",IF($J199&gt;0,ROUND($L199*Multa+$L199*Juros/30*$J199,2),0))</f>
        <v>0</v>
      </c>
      <c r="N199" s="22">
        <f>IF($L199="","",IF($L199&lt;=0.005,0,$L199+N($M199)))</f>
        <v>0</v>
      </c>
      <c r="O199" s="23">
        <f>IF(OR($I199="Vencido",$I199="Vencido (parcial)"),"Olá, "&amp;$A199&amp;"! Consta em aberto '"&amp;$B199&amp;"' com vencimento em "&amp;DAY($D199)&amp;"/"&amp;MONTH($D199)&amp;"/"&amp;YEAR($D199)&amp;", no valor de R$ "&amp;FIXED($N199,2)&amp;" (com multa e juros). Podemos ajudar a regularizar hoje? Obrigado!",IF($I199="Vence hoje","Olá, "&amp;$A199&amp;"! Lembrete: '"&amp;$B199&amp;"' vence hoje, no valor de R$ "&amp;FIXED($L199,2)&amp;". Obrigado!",""))</f>
        <v>0</v>
      </c>
    </row>
    <row r="200" spans="1:15">
      <c r="A200" s="13"/>
      <c r="B200" s="13"/>
      <c r="C200" s="17"/>
      <c r="D200" s="17"/>
      <c r="E200" s="18"/>
      <c r="F200" s="17"/>
      <c r="G200" s="18"/>
      <c r="H200" s="13"/>
      <c r="I200" s="19">
        <f>IF($E200="","",IF($L200&lt;=0.005,"Pago",IF($D200="","Sem vencimento",IF($D200&lt;Hoje,IF(N($G200)&gt;0,"Vencido (parcial)","Vencido"),IF($D200=Hoje,"Vence hoje","A vencer")))))</f>
        <v>0</v>
      </c>
      <c r="J200" s="20">
        <f>IF(OR($E200="",$D200=""),"",IF(AND($L200&gt;0.005,$D200&lt;Hoje),Hoje-$D200,0))</f>
        <v>0</v>
      </c>
      <c r="K200" s="20">
        <f>IF($J200="","",IF($L200&lt;=0.005,"Pago",IF($J200&lt;=0,"A vencer",IF($J200&lt;=15,"1-15 dias",IF($J200&lt;=30,"16-30 dias",IF($J200&lt;=60,"31-60 dias","Mais de 60 dias"))))))</f>
        <v>0</v>
      </c>
      <c r="L200" s="21">
        <f>IF($E200="","",MAX(0,$E200-N($G200)))</f>
        <v>0</v>
      </c>
      <c r="M200" s="21">
        <f>IF(OR($L200="",$J200=""),"",IF($J200&gt;0,ROUND($L200*Multa+$L200*Juros/30*$J200,2),0))</f>
        <v>0</v>
      </c>
      <c r="N200" s="22">
        <f>IF($L200="","",IF($L200&lt;=0.005,0,$L200+N($M200)))</f>
        <v>0</v>
      </c>
      <c r="O200" s="23">
        <f>IF(OR($I200="Vencido",$I200="Vencido (parcial)"),"Olá, "&amp;$A200&amp;"! Consta em aberto '"&amp;$B200&amp;"' com vencimento em "&amp;DAY($D200)&amp;"/"&amp;MONTH($D200)&amp;"/"&amp;YEAR($D200)&amp;", no valor de R$ "&amp;FIXED($N200,2)&amp;" (com multa e juros). Podemos ajudar a regularizar hoje? Obrigado!",IF($I200="Vence hoje","Olá, "&amp;$A200&amp;"! Lembrete: '"&amp;$B200&amp;"' vence hoje, no valor de R$ "&amp;FIXED($L200,2)&amp;". Obrigado!",""))</f>
        <v>0</v>
      </c>
    </row>
    <row r="201" spans="1:15">
      <c r="A201" s="13"/>
      <c r="B201" s="13"/>
      <c r="C201" s="17"/>
      <c r="D201" s="17"/>
      <c r="E201" s="18"/>
      <c r="F201" s="17"/>
      <c r="G201" s="18"/>
      <c r="H201" s="13"/>
      <c r="I201" s="19">
        <f>IF($E201="","",IF($L201&lt;=0.005,"Pago",IF($D201="","Sem vencimento",IF($D201&lt;Hoje,IF(N($G201)&gt;0,"Vencido (parcial)","Vencido"),IF($D201=Hoje,"Vence hoje","A vencer")))))</f>
        <v>0</v>
      </c>
      <c r="J201" s="20">
        <f>IF(OR($E201="",$D201=""),"",IF(AND($L201&gt;0.005,$D201&lt;Hoje),Hoje-$D201,0))</f>
        <v>0</v>
      </c>
      <c r="K201" s="20">
        <f>IF($J201="","",IF($L201&lt;=0.005,"Pago",IF($J201&lt;=0,"A vencer",IF($J201&lt;=15,"1-15 dias",IF($J201&lt;=30,"16-30 dias",IF($J201&lt;=60,"31-60 dias","Mais de 60 dias"))))))</f>
        <v>0</v>
      </c>
      <c r="L201" s="21">
        <f>IF($E201="","",MAX(0,$E201-N($G201)))</f>
        <v>0</v>
      </c>
      <c r="M201" s="21">
        <f>IF(OR($L201="",$J201=""),"",IF($J201&gt;0,ROUND($L201*Multa+$L201*Juros/30*$J201,2),0))</f>
        <v>0</v>
      </c>
      <c r="N201" s="22">
        <f>IF($L201="","",IF($L201&lt;=0.005,0,$L201+N($M201)))</f>
        <v>0</v>
      </c>
      <c r="O201" s="23">
        <f>IF(OR($I201="Vencido",$I201="Vencido (parcial)"),"Olá, "&amp;$A201&amp;"! Consta em aberto '"&amp;$B201&amp;"' com vencimento em "&amp;DAY($D201)&amp;"/"&amp;MONTH($D201)&amp;"/"&amp;YEAR($D201)&amp;", no valor de R$ "&amp;FIXED($N201,2)&amp;" (com multa e juros). Podemos ajudar a regularizar hoje? Obrigado!",IF($I201="Vence hoje","Olá, "&amp;$A201&amp;"! Lembrete: '"&amp;$B201&amp;"' vence hoje, no valor de R$ "&amp;FIXED($L201,2)&amp;". Obrigado!",""))</f>
        <v>0</v>
      </c>
    </row>
    <row r="202" spans="1:15">
      <c r="A202" s="13"/>
      <c r="B202" s="13"/>
      <c r="C202" s="17"/>
      <c r="D202" s="17"/>
      <c r="E202" s="18"/>
      <c r="F202" s="17"/>
      <c r="G202" s="18"/>
      <c r="H202" s="13"/>
      <c r="I202" s="19">
        <f>IF($E202="","",IF($L202&lt;=0.005,"Pago",IF($D202="","Sem vencimento",IF($D202&lt;Hoje,IF(N($G202)&gt;0,"Vencido (parcial)","Vencido"),IF($D202=Hoje,"Vence hoje","A vencer")))))</f>
        <v>0</v>
      </c>
      <c r="J202" s="20">
        <f>IF(OR($E202="",$D202=""),"",IF(AND($L202&gt;0.005,$D202&lt;Hoje),Hoje-$D202,0))</f>
        <v>0</v>
      </c>
      <c r="K202" s="20">
        <f>IF($J202="","",IF($L202&lt;=0.005,"Pago",IF($J202&lt;=0,"A vencer",IF($J202&lt;=15,"1-15 dias",IF($J202&lt;=30,"16-30 dias",IF($J202&lt;=60,"31-60 dias","Mais de 60 dias"))))))</f>
        <v>0</v>
      </c>
      <c r="L202" s="21">
        <f>IF($E202="","",MAX(0,$E202-N($G202)))</f>
        <v>0</v>
      </c>
      <c r="M202" s="21">
        <f>IF(OR($L202="",$J202=""),"",IF($J202&gt;0,ROUND($L202*Multa+$L202*Juros/30*$J202,2),0))</f>
        <v>0</v>
      </c>
      <c r="N202" s="22">
        <f>IF($L202="","",IF($L202&lt;=0.005,0,$L202+N($M202)))</f>
        <v>0</v>
      </c>
      <c r="O202" s="23">
        <f>IF(OR($I202="Vencido",$I202="Vencido (parcial)"),"Olá, "&amp;$A202&amp;"! Consta em aberto '"&amp;$B202&amp;"' com vencimento em "&amp;DAY($D202)&amp;"/"&amp;MONTH($D202)&amp;"/"&amp;YEAR($D202)&amp;", no valor de R$ "&amp;FIXED($N202,2)&amp;" (com multa e juros). Podemos ajudar a regularizar hoje? Obrigado!",IF($I202="Vence hoje","Olá, "&amp;$A202&amp;"! Lembrete: '"&amp;$B202&amp;"' vence hoje, no valor de R$ "&amp;FIXED($L202,2)&amp;". Obrigado!",""))</f>
        <v>0</v>
      </c>
    </row>
    <row r="203" spans="1:15">
      <c r="A203" s="13"/>
      <c r="B203" s="13"/>
      <c r="C203" s="17"/>
      <c r="D203" s="17"/>
      <c r="E203" s="18"/>
      <c r="F203" s="17"/>
      <c r="G203" s="18"/>
      <c r="H203" s="13"/>
      <c r="I203" s="19">
        <f>IF($E203="","",IF($L203&lt;=0.005,"Pago",IF($D203="","Sem vencimento",IF($D203&lt;Hoje,IF(N($G203)&gt;0,"Vencido (parcial)","Vencido"),IF($D203=Hoje,"Vence hoje","A vencer")))))</f>
        <v>0</v>
      </c>
      <c r="J203" s="20">
        <f>IF(OR($E203="",$D203=""),"",IF(AND($L203&gt;0.005,$D203&lt;Hoje),Hoje-$D203,0))</f>
        <v>0</v>
      </c>
      <c r="K203" s="20">
        <f>IF($J203="","",IF($L203&lt;=0.005,"Pago",IF($J203&lt;=0,"A vencer",IF($J203&lt;=15,"1-15 dias",IF($J203&lt;=30,"16-30 dias",IF($J203&lt;=60,"31-60 dias","Mais de 60 dias"))))))</f>
        <v>0</v>
      </c>
      <c r="L203" s="21">
        <f>IF($E203="","",MAX(0,$E203-N($G203)))</f>
        <v>0</v>
      </c>
      <c r="M203" s="21">
        <f>IF(OR($L203="",$J203=""),"",IF($J203&gt;0,ROUND($L203*Multa+$L203*Juros/30*$J203,2),0))</f>
        <v>0</v>
      </c>
      <c r="N203" s="22">
        <f>IF($L203="","",IF($L203&lt;=0.005,0,$L203+N($M203)))</f>
        <v>0</v>
      </c>
      <c r="O203" s="23">
        <f>IF(OR($I203="Vencido",$I203="Vencido (parcial)"),"Olá, "&amp;$A203&amp;"! Consta em aberto '"&amp;$B203&amp;"' com vencimento em "&amp;DAY($D203)&amp;"/"&amp;MONTH($D203)&amp;"/"&amp;YEAR($D203)&amp;", no valor de R$ "&amp;FIXED($N203,2)&amp;" (com multa e juros). Podemos ajudar a regularizar hoje? Obrigado!",IF($I203="Vence hoje","Olá, "&amp;$A203&amp;"! Lembrete: '"&amp;$B203&amp;"' vence hoje, no valor de R$ "&amp;FIXED($L203,2)&amp;". Obrigado!",""))</f>
        <v>0</v>
      </c>
    </row>
    <row r="204" spans="1:15">
      <c r="A204" s="13"/>
      <c r="B204" s="13"/>
      <c r="C204" s="17"/>
      <c r="D204" s="17"/>
      <c r="E204" s="18"/>
      <c r="F204" s="17"/>
      <c r="G204" s="18"/>
      <c r="H204" s="13"/>
      <c r="I204" s="19">
        <f>IF($E204="","",IF($L204&lt;=0.005,"Pago",IF($D204="","Sem vencimento",IF($D204&lt;Hoje,IF(N($G204)&gt;0,"Vencido (parcial)","Vencido"),IF($D204=Hoje,"Vence hoje","A vencer")))))</f>
        <v>0</v>
      </c>
      <c r="J204" s="20">
        <f>IF(OR($E204="",$D204=""),"",IF(AND($L204&gt;0.005,$D204&lt;Hoje),Hoje-$D204,0))</f>
        <v>0</v>
      </c>
      <c r="K204" s="20">
        <f>IF($J204="","",IF($L204&lt;=0.005,"Pago",IF($J204&lt;=0,"A vencer",IF($J204&lt;=15,"1-15 dias",IF($J204&lt;=30,"16-30 dias",IF($J204&lt;=60,"31-60 dias","Mais de 60 dias"))))))</f>
        <v>0</v>
      </c>
      <c r="L204" s="21">
        <f>IF($E204="","",MAX(0,$E204-N($G204)))</f>
        <v>0</v>
      </c>
      <c r="M204" s="21">
        <f>IF(OR($L204="",$J204=""),"",IF($J204&gt;0,ROUND($L204*Multa+$L204*Juros/30*$J204,2),0))</f>
        <v>0</v>
      </c>
      <c r="N204" s="22">
        <f>IF($L204="","",IF($L204&lt;=0.005,0,$L204+N($M204)))</f>
        <v>0</v>
      </c>
      <c r="O204" s="23">
        <f>IF(OR($I204="Vencido",$I204="Vencido (parcial)"),"Olá, "&amp;$A204&amp;"! Consta em aberto '"&amp;$B204&amp;"' com vencimento em "&amp;DAY($D204)&amp;"/"&amp;MONTH($D204)&amp;"/"&amp;YEAR($D204)&amp;", no valor de R$ "&amp;FIXED($N204,2)&amp;" (com multa e juros). Podemos ajudar a regularizar hoje? Obrigado!",IF($I204="Vence hoje","Olá, "&amp;$A204&amp;"! Lembrete: '"&amp;$B204&amp;"' vence hoje, no valor de R$ "&amp;FIXED($L204,2)&amp;". Obrigado!",""))</f>
        <v>0</v>
      </c>
    </row>
    <row r="205" spans="1:15">
      <c r="A205" s="13"/>
      <c r="B205" s="13"/>
      <c r="C205" s="17"/>
      <c r="D205" s="17"/>
      <c r="E205" s="18"/>
      <c r="F205" s="17"/>
      <c r="G205" s="18"/>
      <c r="H205" s="13"/>
      <c r="I205" s="19">
        <f>IF($E205="","",IF($L205&lt;=0.005,"Pago",IF($D205="","Sem vencimento",IF($D205&lt;Hoje,IF(N($G205)&gt;0,"Vencido (parcial)","Vencido"),IF($D205=Hoje,"Vence hoje","A vencer")))))</f>
        <v>0</v>
      </c>
      <c r="J205" s="20">
        <f>IF(OR($E205="",$D205=""),"",IF(AND($L205&gt;0.005,$D205&lt;Hoje),Hoje-$D205,0))</f>
        <v>0</v>
      </c>
      <c r="K205" s="20">
        <f>IF($J205="","",IF($L205&lt;=0.005,"Pago",IF($J205&lt;=0,"A vencer",IF($J205&lt;=15,"1-15 dias",IF($J205&lt;=30,"16-30 dias",IF($J205&lt;=60,"31-60 dias","Mais de 60 dias"))))))</f>
        <v>0</v>
      </c>
      <c r="L205" s="21">
        <f>IF($E205="","",MAX(0,$E205-N($G205)))</f>
        <v>0</v>
      </c>
      <c r="M205" s="21">
        <f>IF(OR($L205="",$J205=""),"",IF($J205&gt;0,ROUND($L205*Multa+$L205*Juros/30*$J205,2),0))</f>
        <v>0</v>
      </c>
      <c r="N205" s="22">
        <f>IF($L205="","",IF($L205&lt;=0.005,0,$L205+N($M205)))</f>
        <v>0</v>
      </c>
      <c r="O205" s="23">
        <f>IF(OR($I205="Vencido",$I205="Vencido (parcial)"),"Olá, "&amp;$A205&amp;"! Consta em aberto '"&amp;$B205&amp;"' com vencimento em "&amp;DAY($D205)&amp;"/"&amp;MONTH($D205)&amp;"/"&amp;YEAR($D205)&amp;", no valor de R$ "&amp;FIXED($N205,2)&amp;" (com multa e juros). Podemos ajudar a regularizar hoje? Obrigado!",IF($I205="Vence hoje","Olá, "&amp;$A205&amp;"! Lembrete: '"&amp;$B205&amp;"' vence hoje, no valor de R$ "&amp;FIXED($L205,2)&amp;". Obrigado!",""))</f>
        <v>0</v>
      </c>
    </row>
    <row r="206" spans="1:15">
      <c r="A206" s="13"/>
      <c r="B206" s="13"/>
      <c r="C206" s="17"/>
      <c r="D206" s="17"/>
      <c r="E206" s="18"/>
      <c r="F206" s="17"/>
      <c r="G206" s="18"/>
      <c r="H206" s="13"/>
      <c r="I206" s="19">
        <f>IF($E206="","",IF($L206&lt;=0.005,"Pago",IF($D206="","Sem vencimento",IF($D206&lt;Hoje,IF(N($G206)&gt;0,"Vencido (parcial)","Vencido"),IF($D206=Hoje,"Vence hoje","A vencer")))))</f>
        <v>0</v>
      </c>
      <c r="J206" s="20">
        <f>IF(OR($E206="",$D206=""),"",IF(AND($L206&gt;0.005,$D206&lt;Hoje),Hoje-$D206,0))</f>
        <v>0</v>
      </c>
      <c r="K206" s="20">
        <f>IF($J206="","",IF($L206&lt;=0.005,"Pago",IF($J206&lt;=0,"A vencer",IF($J206&lt;=15,"1-15 dias",IF($J206&lt;=30,"16-30 dias",IF($J206&lt;=60,"31-60 dias","Mais de 60 dias"))))))</f>
        <v>0</v>
      </c>
      <c r="L206" s="21">
        <f>IF($E206="","",MAX(0,$E206-N($G206)))</f>
        <v>0</v>
      </c>
      <c r="M206" s="21">
        <f>IF(OR($L206="",$J206=""),"",IF($J206&gt;0,ROUND($L206*Multa+$L206*Juros/30*$J206,2),0))</f>
        <v>0</v>
      </c>
      <c r="N206" s="22">
        <f>IF($L206="","",IF($L206&lt;=0.005,0,$L206+N($M206)))</f>
        <v>0</v>
      </c>
      <c r="O206" s="23">
        <f>IF(OR($I206="Vencido",$I206="Vencido (parcial)"),"Olá, "&amp;$A206&amp;"! Consta em aberto '"&amp;$B206&amp;"' com vencimento em "&amp;DAY($D206)&amp;"/"&amp;MONTH($D206)&amp;"/"&amp;YEAR($D206)&amp;", no valor de R$ "&amp;FIXED($N206,2)&amp;" (com multa e juros). Podemos ajudar a regularizar hoje? Obrigado!",IF($I206="Vence hoje","Olá, "&amp;$A206&amp;"! Lembrete: '"&amp;$B206&amp;"' vence hoje, no valor de R$ "&amp;FIXED($L206,2)&amp;". Obrigado!",""))</f>
        <v>0</v>
      </c>
    </row>
    <row r="207" spans="1:15">
      <c r="A207" s="13"/>
      <c r="B207" s="13"/>
      <c r="C207" s="17"/>
      <c r="D207" s="17"/>
      <c r="E207" s="18"/>
      <c r="F207" s="17"/>
      <c r="G207" s="18"/>
      <c r="H207" s="13"/>
      <c r="I207" s="19">
        <f>IF($E207="","",IF($L207&lt;=0.005,"Pago",IF($D207="","Sem vencimento",IF($D207&lt;Hoje,IF(N($G207)&gt;0,"Vencido (parcial)","Vencido"),IF($D207=Hoje,"Vence hoje","A vencer")))))</f>
        <v>0</v>
      </c>
      <c r="J207" s="20">
        <f>IF(OR($E207="",$D207=""),"",IF(AND($L207&gt;0.005,$D207&lt;Hoje),Hoje-$D207,0))</f>
        <v>0</v>
      </c>
      <c r="K207" s="20">
        <f>IF($J207="","",IF($L207&lt;=0.005,"Pago",IF($J207&lt;=0,"A vencer",IF($J207&lt;=15,"1-15 dias",IF($J207&lt;=30,"16-30 dias",IF($J207&lt;=60,"31-60 dias","Mais de 60 dias"))))))</f>
        <v>0</v>
      </c>
      <c r="L207" s="21">
        <f>IF($E207="","",MAX(0,$E207-N($G207)))</f>
        <v>0</v>
      </c>
      <c r="M207" s="21">
        <f>IF(OR($L207="",$J207=""),"",IF($J207&gt;0,ROUND($L207*Multa+$L207*Juros/30*$J207,2),0))</f>
        <v>0</v>
      </c>
      <c r="N207" s="22">
        <f>IF($L207="","",IF($L207&lt;=0.005,0,$L207+N($M207)))</f>
        <v>0</v>
      </c>
      <c r="O207" s="23">
        <f>IF(OR($I207="Vencido",$I207="Vencido (parcial)"),"Olá, "&amp;$A207&amp;"! Consta em aberto '"&amp;$B207&amp;"' com vencimento em "&amp;DAY($D207)&amp;"/"&amp;MONTH($D207)&amp;"/"&amp;YEAR($D207)&amp;", no valor de R$ "&amp;FIXED($N207,2)&amp;" (com multa e juros). Podemos ajudar a regularizar hoje? Obrigado!",IF($I207="Vence hoje","Olá, "&amp;$A207&amp;"! Lembrete: '"&amp;$B207&amp;"' vence hoje, no valor de R$ "&amp;FIXED($L207,2)&amp;". Obrigado!",""))</f>
        <v>0</v>
      </c>
    </row>
    <row r="208" spans="1:15">
      <c r="A208" s="13"/>
      <c r="B208" s="13"/>
      <c r="C208" s="17"/>
      <c r="D208" s="17"/>
      <c r="E208" s="18"/>
      <c r="F208" s="17"/>
      <c r="G208" s="18"/>
      <c r="H208" s="13"/>
      <c r="I208" s="19">
        <f>IF($E208="","",IF($L208&lt;=0.005,"Pago",IF($D208="","Sem vencimento",IF($D208&lt;Hoje,IF(N($G208)&gt;0,"Vencido (parcial)","Vencido"),IF($D208=Hoje,"Vence hoje","A vencer")))))</f>
        <v>0</v>
      </c>
      <c r="J208" s="20">
        <f>IF(OR($E208="",$D208=""),"",IF(AND($L208&gt;0.005,$D208&lt;Hoje),Hoje-$D208,0))</f>
        <v>0</v>
      </c>
      <c r="K208" s="20">
        <f>IF($J208="","",IF($L208&lt;=0.005,"Pago",IF($J208&lt;=0,"A vencer",IF($J208&lt;=15,"1-15 dias",IF($J208&lt;=30,"16-30 dias",IF($J208&lt;=60,"31-60 dias","Mais de 60 dias"))))))</f>
        <v>0</v>
      </c>
      <c r="L208" s="21">
        <f>IF($E208="","",MAX(0,$E208-N($G208)))</f>
        <v>0</v>
      </c>
      <c r="M208" s="21">
        <f>IF(OR($L208="",$J208=""),"",IF($J208&gt;0,ROUND($L208*Multa+$L208*Juros/30*$J208,2),0))</f>
        <v>0</v>
      </c>
      <c r="N208" s="22">
        <f>IF($L208="","",IF($L208&lt;=0.005,0,$L208+N($M208)))</f>
        <v>0</v>
      </c>
      <c r="O208" s="23">
        <f>IF(OR($I208="Vencido",$I208="Vencido (parcial)"),"Olá, "&amp;$A208&amp;"! Consta em aberto '"&amp;$B208&amp;"' com vencimento em "&amp;DAY($D208)&amp;"/"&amp;MONTH($D208)&amp;"/"&amp;YEAR($D208)&amp;", no valor de R$ "&amp;FIXED($N208,2)&amp;" (com multa e juros). Podemos ajudar a regularizar hoje? Obrigado!",IF($I208="Vence hoje","Olá, "&amp;$A208&amp;"! Lembrete: '"&amp;$B208&amp;"' vence hoje, no valor de R$ "&amp;FIXED($L208,2)&amp;". Obrigado!",""))</f>
        <v>0</v>
      </c>
    </row>
    <row r="209" spans="1:15">
      <c r="A209" s="13"/>
      <c r="B209" s="13"/>
      <c r="C209" s="17"/>
      <c r="D209" s="17"/>
      <c r="E209" s="18"/>
      <c r="F209" s="17"/>
      <c r="G209" s="18"/>
      <c r="H209" s="13"/>
      <c r="I209" s="19">
        <f>IF($E209="","",IF($L209&lt;=0.005,"Pago",IF($D209="","Sem vencimento",IF($D209&lt;Hoje,IF(N($G209)&gt;0,"Vencido (parcial)","Vencido"),IF($D209=Hoje,"Vence hoje","A vencer")))))</f>
        <v>0</v>
      </c>
      <c r="J209" s="20">
        <f>IF(OR($E209="",$D209=""),"",IF(AND($L209&gt;0.005,$D209&lt;Hoje),Hoje-$D209,0))</f>
        <v>0</v>
      </c>
      <c r="K209" s="20">
        <f>IF($J209="","",IF($L209&lt;=0.005,"Pago",IF($J209&lt;=0,"A vencer",IF($J209&lt;=15,"1-15 dias",IF($J209&lt;=30,"16-30 dias",IF($J209&lt;=60,"31-60 dias","Mais de 60 dias"))))))</f>
        <v>0</v>
      </c>
      <c r="L209" s="21">
        <f>IF($E209="","",MAX(0,$E209-N($G209)))</f>
        <v>0</v>
      </c>
      <c r="M209" s="21">
        <f>IF(OR($L209="",$J209=""),"",IF($J209&gt;0,ROUND($L209*Multa+$L209*Juros/30*$J209,2),0))</f>
        <v>0</v>
      </c>
      <c r="N209" s="22">
        <f>IF($L209="","",IF($L209&lt;=0.005,0,$L209+N($M209)))</f>
        <v>0</v>
      </c>
      <c r="O209" s="23">
        <f>IF(OR($I209="Vencido",$I209="Vencido (parcial)"),"Olá, "&amp;$A209&amp;"! Consta em aberto '"&amp;$B209&amp;"' com vencimento em "&amp;DAY($D209)&amp;"/"&amp;MONTH($D209)&amp;"/"&amp;YEAR($D209)&amp;", no valor de R$ "&amp;FIXED($N209,2)&amp;" (com multa e juros). Podemos ajudar a regularizar hoje? Obrigado!",IF($I209="Vence hoje","Olá, "&amp;$A209&amp;"! Lembrete: '"&amp;$B209&amp;"' vence hoje, no valor de R$ "&amp;FIXED($L209,2)&amp;". Obrigado!",""))</f>
        <v>0</v>
      </c>
    </row>
    <row r="210" spans="1:15">
      <c r="A210" s="13"/>
      <c r="B210" s="13"/>
      <c r="C210" s="17"/>
      <c r="D210" s="17"/>
      <c r="E210" s="18"/>
      <c r="F210" s="17"/>
      <c r="G210" s="18"/>
      <c r="H210" s="13"/>
      <c r="I210" s="19">
        <f>IF($E210="","",IF($L210&lt;=0.005,"Pago",IF($D210="","Sem vencimento",IF($D210&lt;Hoje,IF(N($G210)&gt;0,"Vencido (parcial)","Vencido"),IF($D210=Hoje,"Vence hoje","A vencer")))))</f>
        <v>0</v>
      </c>
      <c r="J210" s="20">
        <f>IF(OR($E210="",$D210=""),"",IF(AND($L210&gt;0.005,$D210&lt;Hoje),Hoje-$D210,0))</f>
        <v>0</v>
      </c>
      <c r="K210" s="20">
        <f>IF($J210="","",IF($L210&lt;=0.005,"Pago",IF($J210&lt;=0,"A vencer",IF($J210&lt;=15,"1-15 dias",IF($J210&lt;=30,"16-30 dias",IF($J210&lt;=60,"31-60 dias","Mais de 60 dias"))))))</f>
        <v>0</v>
      </c>
      <c r="L210" s="21">
        <f>IF($E210="","",MAX(0,$E210-N($G210)))</f>
        <v>0</v>
      </c>
      <c r="M210" s="21">
        <f>IF(OR($L210="",$J210=""),"",IF($J210&gt;0,ROUND($L210*Multa+$L210*Juros/30*$J210,2),0))</f>
        <v>0</v>
      </c>
      <c r="N210" s="22">
        <f>IF($L210="","",IF($L210&lt;=0.005,0,$L210+N($M210)))</f>
        <v>0</v>
      </c>
      <c r="O210" s="23">
        <f>IF(OR($I210="Vencido",$I210="Vencido (parcial)"),"Olá, "&amp;$A210&amp;"! Consta em aberto '"&amp;$B210&amp;"' com vencimento em "&amp;DAY($D210)&amp;"/"&amp;MONTH($D210)&amp;"/"&amp;YEAR($D210)&amp;", no valor de R$ "&amp;FIXED($N210,2)&amp;" (com multa e juros). Podemos ajudar a regularizar hoje? Obrigado!",IF($I210="Vence hoje","Olá, "&amp;$A210&amp;"! Lembrete: '"&amp;$B210&amp;"' vence hoje, no valor de R$ "&amp;FIXED($L210,2)&amp;". Obrigado!",""))</f>
        <v>0</v>
      </c>
    </row>
    <row r="211" spans="1:15">
      <c r="A211" s="13"/>
      <c r="B211" s="13"/>
      <c r="C211" s="17"/>
      <c r="D211" s="17"/>
      <c r="E211" s="18"/>
      <c r="F211" s="17"/>
      <c r="G211" s="18"/>
      <c r="H211" s="13"/>
      <c r="I211" s="19">
        <f>IF($E211="","",IF($L211&lt;=0.005,"Pago",IF($D211="","Sem vencimento",IF($D211&lt;Hoje,IF(N($G211)&gt;0,"Vencido (parcial)","Vencido"),IF($D211=Hoje,"Vence hoje","A vencer")))))</f>
        <v>0</v>
      </c>
      <c r="J211" s="20">
        <f>IF(OR($E211="",$D211=""),"",IF(AND($L211&gt;0.005,$D211&lt;Hoje),Hoje-$D211,0))</f>
        <v>0</v>
      </c>
      <c r="K211" s="20">
        <f>IF($J211="","",IF($L211&lt;=0.005,"Pago",IF($J211&lt;=0,"A vencer",IF($J211&lt;=15,"1-15 dias",IF($J211&lt;=30,"16-30 dias",IF($J211&lt;=60,"31-60 dias","Mais de 60 dias"))))))</f>
        <v>0</v>
      </c>
      <c r="L211" s="21">
        <f>IF($E211="","",MAX(0,$E211-N($G211)))</f>
        <v>0</v>
      </c>
      <c r="M211" s="21">
        <f>IF(OR($L211="",$J211=""),"",IF($J211&gt;0,ROUND($L211*Multa+$L211*Juros/30*$J211,2),0))</f>
        <v>0</v>
      </c>
      <c r="N211" s="22">
        <f>IF($L211="","",IF($L211&lt;=0.005,0,$L211+N($M211)))</f>
        <v>0</v>
      </c>
      <c r="O211" s="23">
        <f>IF(OR($I211="Vencido",$I211="Vencido (parcial)"),"Olá, "&amp;$A211&amp;"! Consta em aberto '"&amp;$B211&amp;"' com vencimento em "&amp;DAY($D211)&amp;"/"&amp;MONTH($D211)&amp;"/"&amp;YEAR($D211)&amp;", no valor de R$ "&amp;FIXED($N211,2)&amp;" (com multa e juros). Podemos ajudar a regularizar hoje? Obrigado!",IF($I211="Vence hoje","Olá, "&amp;$A211&amp;"! Lembrete: '"&amp;$B211&amp;"' vence hoje, no valor de R$ "&amp;FIXED($L211,2)&amp;". Obrigado!",""))</f>
        <v>0</v>
      </c>
    </row>
    <row r="212" spans="1:15">
      <c r="A212" s="13"/>
      <c r="B212" s="13"/>
      <c r="C212" s="17"/>
      <c r="D212" s="17"/>
      <c r="E212" s="18"/>
      <c r="F212" s="17"/>
      <c r="G212" s="18"/>
      <c r="H212" s="13"/>
      <c r="I212" s="19">
        <f>IF($E212="","",IF($L212&lt;=0.005,"Pago",IF($D212="","Sem vencimento",IF($D212&lt;Hoje,IF(N($G212)&gt;0,"Vencido (parcial)","Vencido"),IF($D212=Hoje,"Vence hoje","A vencer")))))</f>
        <v>0</v>
      </c>
      <c r="J212" s="20">
        <f>IF(OR($E212="",$D212=""),"",IF(AND($L212&gt;0.005,$D212&lt;Hoje),Hoje-$D212,0))</f>
        <v>0</v>
      </c>
      <c r="K212" s="20">
        <f>IF($J212="","",IF($L212&lt;=0.005,"Pago",IF($J212&lt;=0,"A vencer",IF($J212&lt;=15,"1-15 dias",IF($J212&lt;=30,"16-30 dias",IF($J212&lt;=60,"31-60 dias","Mais de 60 dias"))))))</f>
        <v>0</v>
      </c>
      <c r="L212" s="21">
        <f>IF($E212="","",MAX(0,$E212-N($G212)))</f>
        <v>0</v>
      </c>
      <c r="M212" s="21">
        <f>IF(OR($L212="",$J212=""),"",IF($J212&gt;0,ROUND($L212*Multa+$L212*Juros/30*$J212,2),0))</f>
        <v>0</v>
      </c>
      <c r="N212" s="22">
        <f>IF($L212="","",IF($L212&lt;=0.005,0,$L212+N($M212)))</f>
        <v>0</v>
      </c>
      <c r="O212" s="23">
        <f>IF(OR($I212="Vencido",$I212="Vencido (parcial)"),"Olá, "&amp;$A212&amp;"! Consta em aberto '"&amp;$B212&amp;"' com vencimento em "&amp;DAY($D212)&amp;"/"&amp;MONTH($D212)&amp;"/"&amp;YEAR($D212)&amp;", no valor de R$ "&amp;FIXED($N212,2)&amp;" (com multa e juros). Podemos ajudar a regularizar hoje? Obrigado!",IF($I212="Vence hoje","Olá, "&amp;$A212&amp;"! Lembrete: '"&amp;$B212&amp;"' vence hoje, no valor de R$ "&amp;FIXED($L212,2)&amp;". Obrigado!",""))</f>
        <v>0</v>
      </c>
    </row>
    <row r="213" spans="1:15">
      <c r="A213" s="13"/>
      <c r="B213" s="13"/>
      <c r="C213" s="17"/>
      <c r="D213" s="17"/>
      <c r="E213" s="18"/>
      <c r="F213" s="17"/>
      <c r="G213" s="18"/>
      <c r="H213" s="13"/>
      <c r="I213" s="19">
        <f>IF($E213="","",IF($L213&lt;=0.005,"Pago",IF($D213="","Sem vencimento",IF($D213&lt;Hoje,IF(N($G213)&gt;0,"Vencido (parcial)","Vencido"),IF($D213=Hoje,"Vence hoje","A vencer")))))</f>
        <v>0</v>
      </c>
      <c r="J213" s="20">
        <f>IF(OR($E213="",$D213=""),"",IF(AND($L213&gt;0.005,$D213&lt;Hoje),Hoje-$D213,0))</f>
        <v>0</v>
      </c>
      <c r="K213" s="20">
        <f>IF($J213="","",IF($L213&lt;=0.005,"Pago",IF($J213&lt;=0,"A vencer",IF($J213&lt;=15,"1-15 dias",IF($J213&lt;=30,"16-30 dias",IF($J213&lt;=60,"31-60 dias","Mais de 60 dias"))))))</f>
        <v>0</v>
      </c>
      <c r="L213" s="21">
        <f>IF($E213="","",MAX(0,$E213-N($G213)))</f>
        <v>0</v>
      </c>
      <c r="M213" s="21">
        <f>IF(OR($L213="",$J213=""),"",IF($J213&gt;0,ROUND($L213*Multa+$L213*Juros/30*$J213,2),0))</f>
        <v>0</v>
      </c>
      <c r="N213" s="22">
        <f>IF($L213="","",IF($L213&lt;=0.005,0,$L213+N($M213)))</f>
        <v>0</v>
      </c>
      <c r="O213" s="23">
        <f>IF(OR($I213="Vencido",$I213="Vencido (parcial)"),"Olá, "&amp;$A213&amp;"! Consta em aberto '"&amp;$B213&amp;"' com vencimento em "&amp;DAY($D213)&amp;"/"&amp;MONTH($D213)&amp;"/"&amp;YEAR($D213)&amp;", no valor de R$ "&amp;FIXED($N213,2)&amp;" (com multa e juros). Podemos ajudar a regularizar hoje? Obrigado!",IF($I213="Vence hoje","Olá, "&amp;$A213&amp;"! Lembrete: '"&amp;$B213&amp;"' vence hoje, no valor de R$ "&amp;FIXED($L213,2)&amp;". Obrigado!",""))</f>
        <v>0</v>
      </c>
    </row>
    <row r="214" spans="1:15">
      <c r="A214" s="13"/>
      <c r="B214" s="13"/>
      <c r="C214" s="17"/>
      <c r="D214" s="17"/>
      <c r="E214" s="18"/>
      <c r="F214" s="17"/>
      <c r="G214" s="18"/>
      <c r="H214" s="13"/>
      <c r="I214" s="19">
        <f>IF($E214="","",IF($L214&lt;=0.005,"Pago",IF($D214="","Sem vencimento",IF($D214&lt;Hoje,IF(N($G214)&gt;0,"Vencido (parcial)","Vencido"),IF($D214=Hoje,"Vence hoje","A vencer")))))</f>
        <v>0</v>
      </c>
      <c r="J214" s="20">
        <f>IF(OR($E214="",$D214=""),"",IF(AND($L214&gt;0.005,$D214&lt;Hoje),Hoje-$D214,0))</f>
        <v>0</v>
      </c>
      <c r="K214" s="20">
        <f>IF($J214="","",IF($L214&lt;=0.005,"Pago",IF($J214&lt;=0,"A vencer",IF($J214&lt;=15,"1-15 dias",IF($J214&lt;=30,"16-30 dias",IF($J214&lt;=60,"31-60 dias","Mais de 60 dias"))))))</f>
        <v>0</v>
      </c>
      <c r="L214" s="21">
        <f>IF($E214="","",MAX(0,$E214-N($G214)))</f>
        <v>0</v>
      </c>
      <c r="M214" s="21">
        <f>IF(OR($L214="",$J214=""),"",IF($J214&gt;0,ROUND($L214*Multa+$L214*Juros/30*$J214,2),0))</f>
        <v>0</v>
      </c>
      <c r="N214" s="22">
        <f>IF($L214="","",IF($L214&lt;=0.005,0,$L214+N($M214)))</f>
        <v>0</v>
      </c>
      <c r="O214" s="23">
        <f>IF(OR($I214="Vencido",$I214="Vencido (parcial)"),"Olá, "&amp;$A214&amp;"! Consta em aberto '"&amp;$B214&amp;"' com vencimento em "&amp;DAY($D214)&amp;"/"&amp;MONTH($D214)&amp;"/"&amp;YEAR($D214)&amp;", no valor de R$ "&amp;FIXED($N214,2)&amp;" (com multa e juros). Podemos ajudar a regularizar hoje? Obrigado!",IF($I214="Vence hoje","Olá, "&amp;$A214&amp;"! Lembrete: '"&amp;$B214&amp;"' vence hoje, no valor de R$ "&amp;FIXED($L214,2)&amp;". Obrigado!",""))</f>
        <v>0</v>
      </c>
    </row>
    <row r="215" spans="1:15">
      <c r="A215" s="13"/>
      <c r="B215" s="13"/>
      <c r="C215" s="17"/>
      <c r="D215" s="17"/>
      <c r="E215" s="18"/>
      <c r="F215" s="17"/>
      <c r="G215" s="18"/>
      <c r="H215" s="13"/>
      <c r="I215" s="19">
        <f>IF($E215="","",IF($L215&lt;=0.005,"Pago",IF($D215="","Sem vencimento",IF($D215&lt;Hoje,IF(N($G215)&gt;0,"Vencido (parcial)","Vencido"),IF($D215=Hoje,"Vence hoje","A vencer")))))</f>
        <v>0</v>
      </c>
      <c r="J215" s="20">
        <f>IF(OR($E215="",$D215=""),"",IF(AND($L215&gt;0.005,$D215&lt;Hoje),Hoje-$D215,0))</f>
        <v>0</v>
      </c>
      <c r="K215" s="20">
        <f>IF($J215="","",IF($L215&lt;=0.005,"Pago",IF($J215&lt;=0,"A vencer",IF($J215&lt;=15,"1-15 dias",IF($J215&lt;=30,"16-30 dias",IF($J215&lt;=60,"31-60 dias","Mais de 60 dias"))))))</f>
        <v>0</v>
      </c>
      <c r="L215" s="21">
        <f>IF($E215="","",MAX(0,$E215-N($G215)))</f>
        <v>0</v>
      </c>
      <c r="M215" s="21">
        <f>IF(OR($L215="",$J215=""),"",IF($J215&gt;0,ROUND($L215*Multa+$L215*Juros/30*$J215,2),0))</f>
        <v>0</v>
      </c>
      <c r="N215" s="22">
        <f>IF($L215="","",IF($L215&lt;=0.005,0,$L215+N($M215)))</f>
        <v>0</v>
      </c>
      <c r="O215" s="23">
        <f>IF(OR($I215="Vencido",$I215="Vencido (parcial)"),"Olá, "&amp;$A215&amp;"! Consta em aberto '"&amp;$B215&amp;"' com vencimento em "&amp;DAY($D215)&amp;"/"&amp;MONTH($D215)&amp;"/"&amp;YEAR($D215)&amp;", no valor de R$ "&amp;FIXED($N215,2)&amp;" (com multa e juros). Podemos ajudar a regularizar hoje? Obrigado!",IF($I215="Vence hoje","Olá, "&amp;$A215&amp;"! Lembrete: '"&amp;$B215&amp;"' vence hoje, no valor de R$ "&amp;FIXED($L215,2)&amp;". Obrigado!",""))</f>
        <v>0</v>
      </c>
    </row>
    <row r="216" spans="1:15">
      <c r="A216" s="13"/>
      <c r="B216" s="13"/>
      <c r="C216" s="17"/>
      <c r="D216" s="17"/>
      <c r="E216" s="18"/>
      <c r="F216" s="17"/>
      <c r="G216" s="18"/>
      <c r="H216" s="13"/>
      <c r="I216" s="19">
        <f>IF($E216="","",IF($L216&lt;=0.005,"Pago",IF($D216="","Sem vencimento",IF($D216&lt;Hoje,IF(N($G216)&gt;0,"Vencido (parcial)","Vencido"),IF($D216=Hoje,"Vence hoje","A vencer")))))</f>
        <v>0</v>
      </c>
      <c r="J216" s="20">
        <f>IF(OR($E216="",$D216=""),"",IF(AND($L216&gt;0.005,$D216&lt;Hoje),Hoje-$D216,0))</f>
        <v>0</v>
      </c>
      <c r="K216" s="20">
        <f>IF($J216="","",IF($L216&lt;=0.005,"Pago",IF($J216&lt;=0,"A vencer",IF($J216&lt;=15,"1-15 dias",IF($J216&lt;=30,"16-30 dias",IF($J216&lt;=60,"31-60 dias","Mais de 60 dias"))))))</f>
        <v>0</v>
      </c>
      <c r="L216" s="21">
        <f>IF($E216="","",MAX(0,$E216-N($G216)))</f>
        <v>0</v>
      </c>
      <c r="M216" s="21">
        <f>IF(OR($L216="",$J216=""),"",IF($J216&gt;0,ROUND($L216*Multa+$L216*Juros/30*$J216,2),0))</f>
        <v>0</v>
      </c>
      <c r="N216" s="22">
        <f>IF($L216="","",IF($L216&lt;=0.005,0,$L216+N($M216)))</f>
        <v>0</v>
      </c>
      <c r="O216" s="23">
        <f>IF(OR($I216="Vencido",$I216="Vencido (parcial)"),"Olá, "&amp;$A216&amp;"! Consta em aberto '"&amp;$B216&amp;"' com vencimento em "&amp;DAY($D216)&amp;"/"&amp;MONTH($D216)&amp;"/"&amp;YEAR($D216)&amp;", no valor de R$ "&amp;FIXED($N216,2)&amp;" (com multa e juros). Podemos ajudar a regularizar hoje? Obrigado!",IF($I216="Vence hoje","Olá, "&amp;$A216&amp;"! Lembrete: '"&amp;$B216&amp;"' vence hoje, no valor de R$ "&amp;FIXED($L216,2)&amp;". Obrigado!",""))</f>
        <v>0</v>
      </c>
    </row>
    <row r="217" spans="1:15">
      <c r="A217" s="13"/>
      <c r="B217" s="13"/>
      <c r="C217" s="17"/>
      <c r="D217" s="17"/>
      <c r="E217" s="18"/>
      <c r="F217" s="17"/>
      <c r="G217" s="18"/>
      <c r="H217" s="13"/>
      <c r="I217" s="19">
        <f>IF($E217="","",IF($L217&lt;=0.005,"Pago",IF($D217="","Sem vencimento",IF($D217&lt;Hoje,IF(N($G217)&gt;0,"Vencido (parcial)","Vencido"),IF($D217=Hoje,"Vence hoje","A vencer")))))</f>
        <v>0</v>
      </c>
      <c r="J217" s="20">
        <f>IF(OR($E217="",$D217=""),"",IF(AND($L217&gt;0.005,$D217&lt;Hoje),Hoje-$D217,0))</f>
        <v>0</v>
      </c>
      <c r="K217" s="20">
        <f>IF($J217="","",IF($L217&lt;=0.005,"Pago",IF($J217&lt;=0,"A vencer",IF($J217&lt;=15,"1-15 dias",IF($J217&lt;=30,"16-30 dias",IF($J217&lt;=60,"31-60 dias","Mais de 60 dias"))))))</f>
        <v>0</v>
      </c>
      <c r="L217" s="21">
        <f>IF($E217="","",MAX(0,$E217-N($G217)))</f>
        <v>0</v>
      </c>
      <c r="M217" s="21">
        <f>IF(OR($L217="",$J217=""),"",IF($J217&gt;0,ROUND($L217*Multa+$L217*Juros/30*$J217,2),0))</f>
        <v>0</v>
      </c>
      <c r="N217" s="22">
        <f>IF($L217="","",IF($L217&lt;=0.005,0,$L217+N($M217)))</f>
        <v>0</v>
      </c>
      <c r="O217" s="23">
        <f>IF(OR($I217="Vencido",$I217="Vencido (parcial)"),"Olá, "&amp;$A217&amp;"! Consta em aberto '"&amp;$B217&amp;"' com vencimento em "&amp;DAY($D217)&amp;"/"&amp;MONTH($D217)&amp;"/"&amp;YEAR($D217)&amp;", no valor de R$ "&amp;FIXED($N217,2)&amp;" (com multa e juros). Podemos ajudar a regularizar hoje? Obrigado!",IF($I217="Vence hoje","Olá, "&amp;$A217&amp;"! Lembrete: '"&amp;$B217&amp;"' vence hoje, no valor de R$ "&amp;FIXED($L217,2)&amp;". Obrigado!",""))</f>
        <v>0</v>
      </c>
    </row>
    <row r="218" spans="1:15">
      <c r="A218" s="13"/>
      <c r="B218" s="13"/>
      <c r="C218" s="17"/>
      <c r="D218" s="17"/>
      <c r="E218" s="18"/>
      <c r="F218" s="17"/>
      <c r="G218" s="18"/>
      <c r="H218" s="13"/>
      <c r="I218" s="19">
        <f>IF($E218="","",IF($L218&lt;=0.005,"Pago",IF($D218="","Sem vencimento",IF($D218&lt;Hoje,IF(N($G218)&gt;0,"Vencido (parcial)","Vencido"),IF($D218=Hoje,"Vence hoje","A vencer")))))</f>
        <v>0</v>
      </c>
      <c r="J218" s="20">
        <f>IF(OR($E218="",$D218=""),"",IF(AND($L218&gt;0.005,$D218&lt;Hoje),Hoje-$D218,0))</f>
        <v>0</v>
      </c>
      <c r="K218" s="20">
        <f>IF($J218="","",IF($L218&lt;=0.005,"Pago",IF($J218&lt;=0,"A vencer",IF($J218&lt;=15,"1-15 dias",IF($J218&lt;=30,"16-30 dias",IF($J218&lt;=60,"31-60 dias","Mais de 60 dias"))))))</f>
        <v>0</v>
      </c>
      <c r="L218" s="21">
        <f>IF($E218="","",MAX(0,$E218-N($G218)))</f>
        <v>0</v>
      </c>
      <c r="M218" s="21">
        <f>IF(OR($L218="",$J218=""),"",IF($J218&gt;0,ROUND($L218*Multa+$L218*Juros/30*$J218,2),0))</f>
        <v>0</v>
      </c>
      <c r="N218" s="22">
        <f>IF($L218="","",IF($L218&lt;=0.005,0,$L218+N($M218)))</f>
        <v>0</v>
      </c>
      <c r="O218" s="23">
        <f>IF(OR($I218="Vencido",$I218="Vencido (parcial)"),"Olá, "&amp;$A218&amp;"! Consta em aberto '"&amp;$B218&amp;"' com vencimento em "&amp;DAY($D218)&amp;"/"&amp;MONTH($D218)&amp;"/"&amp;YEAR($D218)&amp;", no valor de R$ "&amp;FIXED($N218,2)&amp;" (com multa e juros). Podemos ajudar a regularizar hoje? Obrigado!",IF($I218="Vence hoje","Olá, "&amp;$A218&amp;"! Lembrete: '"&amp;$B218&amp;"' vence hoje, no valor de R$ "&amp;FIXED($L218,2)&amp;". Obrigado!",""))</f>
        <v>0</v>
      </c>
    </row>
    <row r="219" spans="1:15">
      <c r="A219" s="13"/>
      <c r="B219" s="13"/>
      <c r="C219" s="17"/>
      <c r="D219" s="17"/>
      <c r="E219" s="18"/>
      <c r="F219" s="17"/>
      <c r="G219" s="18"/>
      <c r="H219" s="13"/>
      <c r="I219" s="19">
        <f>IF($E219="","",IF($L219&lt;=0.005,"Pago",IF($D219="","Sem vencimento",IF($D219&lt;Hoje,IF(N($G219)&gt;0,"Vencido (parcial)","Vencido"),IF($D219=Hoje,"Vence hoje","A vencer")))))</f>
        <v>0</v>
      </c>
      <c r="J219" s="20">
        <f>IF(OR($E219="",$D219=""),"",IF(AND($L219&gt;0.005,$D219&lt;Hoje),Hoje-$D219,0))</f>
        <v>0</v>
      </c>
      <c r="K219" s="20">
        <f>IF($J219="","",IF($L219&lt;=0.005,"Pago",IF($J219&lt;=0,"A vencer",IF($J219&lt;=15,"1-15 dias",IF($J219&lt;=30,"16-30 dias",IF($J219&lt;=60,"31-60 dias","Mais de 60 dias"))))))</f>
        <v>0</v>
      </c>
      <c r="L219" s="21">
        <f>IF($E219="","",MAX(0,$E219-N($G219)))</f>
        <v>0</v>
      </c>
      <c r="M219" s="21">
        <f>IF(OR($L219="",$J219=""),"",IF($J219&gt;0,ROUND($L219*Multa+$L219*Juros/30*$J219,2),0))</f>
        <v>0</v>
      </c>
      <c r="N219" s="22">
        <f>IF($L219="","",IF($L219&lt;=0.005,0,$L219+N($M219)))</f>
        <v>0</v>
      </c>
      <c r="O219" s="23">
        <f>IF(OR($I219="Vencido",$I219="Vencido (parcial)"),"Olá, "&amp;$A219&amp;"! Consta em aberto '"&amp;$B219&amp;"' com vencimento em "&amp;DAY($D219)&amp;"/"&amp;MONTH($D219)&amp;"/"&amp;YEAR($D219)&amp;", no valor de R$ "&amp;FIXED($N219,2)&amp;" (com multa e juros). Podemos ajudar a regularizar hoje? Obrigado!",IF($I219="Vence hoje","Olá, "&amp;$A219&amp;"! Lembrete: '"&amp;$B219&amp;"' vence hoje, no valor de R$ "&amp;FIXED($L219,2)&amp;". Obrigado!",""))</f>
        <v>0</v>
      </c>
    </row>
    <row r="220" spans="1:15">
      <c r="A220" s="13"/>
      <c r="B220" s="13"/>
      <c r="C220" s="17"/>
      <c r="D220" s="17"/>
      <c r="E220" s="18"/>
      <c r="F220" s="17"/>
      <c r="G220" s="18"/>
      <c r="H220" s="13"/>
      <c r="I220" s="19">
        <f>IF($E220="","",IF($L220&lt;=0.005,"Pago",IF($D220="","Sem vencimento",IF($D220&lt;Hoje,IF(N($G220)&gt;0,"Vencido (parcial)","Vencido"),IF($D220=Hoje,"Vence hoje","A vencer")))))</f>
        <v>0</v>
      </c>
      <c r="J220" s="20">
        <f>IF(OR($E220="",$D220=""),"",IF(AND($L220&gt;0.005,$D220&lt;Hoje),Hoje-$D220,0))</f>
        <v>0</v>
      </c>
      <c r="K220" s="20">
        <f>IF($J220="","",IF($L220&lt;=0.005,"Pago",IF($J220&lt;=0,"A vencer",IF($J220&lt;=15,"1-15 dias",IF($J220&lt;=30,"16-30 dias",IF($J220&lt;=60,"31-60 dias","Mais de 60 dias"))))))</f>
        <v>0</v>
      </c>
      <c r="L220" s="21">
        <f>IF($E220="","",MAX(0,$E220-N($G220)))</f>
        <v>0</v>
      </c>
      <c r="M220" s="21">
        <f>IF(OR($L220="",$J220=""),"",IF($J220&gt;0,ROUND($L220*Multa+$L220*Juros/30*$J220,2),0))</f>
        <v>0</v>
      </c>
      <c r="N220" s="22">
        <f>IF($L220="","",IF($L220&lt;=0.005,0,$L220+N($M220)))</f>
        <v>0</v>
      </c>
      <c r="O220" s="23">
        <f>IF(OR($I220="Vencido",$I220="Vencido (parcial)"),"Olá, "&amp;$A220&amp;"! Consta em aberto '"&amp;$B220&amp;"' com vencimento em "&amp;DAY($D220)&amp;"/"&amp;MONTH($D220)&amp;"/"&amp;YEAR($D220)&amp;", no valor de R$ "&amp;FIXED($N220,2)&amp;" (com multa e juros). Podemos ajudar a regularizar hoje? Obrigado!",IF($I220="Vence hoje","Olá, "&amp;$A220&amp;"! Lembrete: '"&amp;$B220&amp;"' vence hoje, no valor de R$ "&amp;FIXED($L220,2)&amp;". Obrigado!",""))</f>
        <v>0</v>
      </c>
    </row>
    <row r="221" spans="1:15">
      <c r="A221" s="13"/>
      <c r="B221" s="13"/>
      <c r="C221" s="17"/>
      <c r="D221" s="17"/>
      <c r="E221" s="18"/>
      <c r="F221" s="17"/>
      <c r="G221" s="18"/>
      <c r="H221" s="13"/>
      <c r="I221" s="19">
        <f>IF($E221="","",IF($L221&lt;=0.005,"Pago",IF($D221="","Sem vencimento",IF($D221&lt;Hoje,IF(N($G221)&gt;0,"Vencido (parcial)","Vencido"),IF($D221=Hoje,"Vence hoje","A vencer")))))</f>
        <v>0</v>
      </c>
      <c r="J221" s="20">
        <f>IF(OR($E221="",$D221=""),"",IF(AND($L221&gt;0.005,$D221&lt;Hoje),Hoje-$D221,0))</f>
        <v>0</v>
      </c>
      <c r="K221" s="20">
        <f>IF($J221="","",IF($L221&lt;=0.005,"Pago",IF($J221&lt;=0,"A vencer",IF($J221&lt;=15,"1-15 dias",IF($J221&lt;=30,"16-30 dias",IF($J221&lt;=60,"31-60 dias","Mais de 60 dias"))))))</f>
        <v>0</v>
      </c>
      <c r="L221" s="21">
        <f>IF($E221="","",MAX(0,$E221-N($G221)))</f>
        <v>0</v>
      </c>
      <c r="M221" s="21">
        <f>IF(OR($L221="",$J221=""),"",IF($J221&gt;0,ROUND($L221*Multa+$L221*Juros/30*$J221,2),0))</f>
        <v>0</v>
      </c>
      <c r="N221" s="22">
        <f>IF($L221="","",IF($L221&lt;=0.005,0,$L221+N($M221)))</f>
        <v>0</v>
      </c>
      <c r="O221" s="23">
        <f>IF(OR($I221="Vencido",$I221="Vencido (parcial)"),"Olá, "&amp;$A221&amp;"! Consta em aberto '"&amp;$B221&amp;"' com vencimento em "&amp;DAY($D221)&amp;"/"&amp;MONTH($D221)&amp;"/"&amp;YEAR($D221)&amp;", no valor de R$ "&amp;FIXED($N221,2)&amp;" (com multa e juros). Podemos ajudar a regularizar hoje? Obrigado!",IF($I221="Vence hoje","Olá, "&amp;$A221&amp;"! Lembrete: '"&amp;$B221&amp;"' vence hoje, no valor de R$ "&amp;FIXED($L221,2)&amp;". Obrigado!",""))</f>
        <v>0</v>
      </c>
    </row>
    <row r="222" spans="1:15">
      <c r="A222" s="13"/>
      <c r="B222" s="13"/>
      <c r="C222" s="17"/>
      <c r="D222" s="17"/>
      <c r="E222" s="18"/>
      <c r="F222" s="17"/>
      <c r="G222" s="18"/>
      <c r="H222" s="13"/>
      <c r="I222" s="19">
        <f>IF($E222="","",IF($L222&lt;=0.005,"Pago",IF($D222="","Sem vencimento",IF($D222&lt;Hoje,IF(N($G222)&gt;0,"Vencido (parcial)","Vencido"),IF($D222=Hoje,"Vence hoje","A vencer")))))</f>
        <v>0</v>
      </c>
      <c r="J222" s="20">
        <f>IF(OR($E222="",$D222=""),"",IF(AND($L222&gt;0.005,$D222&lt;Hoje),Hoje-$D222,0))</f>
        <v>0</v>
      </c>
      <c r="K222" s="20">
        <f>IF($J222="","",IF($L222&lt;=0.005,"Pago",IF($J222&lt;=0,"A vencer",IF($J222&lt;=15,"1-15 dias",IF($J222&lt;=30,"16-30 dias",IF($J222&lt;=60,"31-60 dias","Mais de 60 dias"))))))</f>
        <v>0</v>
      </c>
      <c r="L222" s="21">
        <f>IF($E222="","",MAX(0,$E222-N($G222)))</f>
        <v>0</v>
      </c>
      <c r="M222" s="21">
        <f>IF(OR($L222="",$J222=""),"",IF($J222&gt;0,ROUND($L222*Multa+$L222*Juros/30*$J222,2),0))</f>
        <v>0</v>
      </c>
      <c r="N222" s="22">
        <f>IF($L222="","",IF($L222&lt;=0.005,0,$L222+N($M222)))</f>
        <v>0</v>
      </c>
      <c r="O222" s="23">
        <f>IF(OR($I222="Vencido",$I222="Vencido (parcial)"),"Olá, "&amp;$A222&amp;"! Consta em aberto '"&amp;$B222&amp;"' com vencimento em "&amp;DAY($D222)&amp;"/"&amp;MONTH($D222)&amp;"/"&amp;YEAR($D222)&amp;", no valor de R$ "&amp;FIXED($N222,2)&amp;" (com multa e juros). Podemos ajudar a regularizar hoje? Obrigado!",IF($I222="Vence hoje","Olá, "&amp;$A222&amp;"! Lembrete: '"&amp;$B222&amp;"' vence hoje, no valor de R$ "&amp;FIXED($L222,2)&amp;". Obrigado!",""))</f>
        <v>0</v>
      </c>
    </row>
    <row r="223" spans="1:15">
      <c r="A223" s="13"/>
      <c r="B223" s="13"/>
      <c r="C223" s="17"/>
      <c r="D223" s="17"/>
      <c r="E223" s="18"/>
      <c r="F223" s="17"/>
      <c r="G223" s="18"/>
      <c r="H223" s="13"/>
      <c r="I223" s="19">
        <f>IF($E223="","",IF($L223&lt;=0.005,"Pago",IF($D223="","Sem vencimento",IF($D223&lt;Hoje,IF(N($G223)&gt;0,"Vencido (parcial)","Vencido"),IF($D223=Hoje,"Vence hoje","A vencer")))))</f>
        <v>0</v>
      </c>
      <c r="J223" s="20">
        <f>IF(OR($E223="",$D223=""),"",IF(AND($L223&gt;0.005,$D223&lt;Hoje),Hoje-$D223,0))</f>
        <v>0</v>
      </c>
      <c r="K223" s="20">
        <f>IF($J223="","",IF($L223&lt;=0.005,"Pago",IF($J223&lt;=0,"A vencer",IF($J223&lt;=15,"1-15 dias",IF($J223&lt;=30,"16-30 dias",IF($J223&lt;=60,"31-60 dias","Mais de 60 dias"))))))</f>
        <v>0</v>
      </c>
      <c r="L223" s="21">
        <f>IF($E223="","",MAX(0,$E223-N($G223)))</f>
        <v>0</v>
      </c>
      <c r="M223" s="21">
        <f>IF(OR($L223="",$J223=""),"",IF($J223&gt;0,ROUND($L223*Multa+$L223*Juros/30*$J223,2),0))</f>
        <v>0</v>
      </c>
      <c r="N223" s="22">
        <f>IF($L223="","",IF($L223&lt;=0.005,0,$L223+N($M223)))</f>
        <v>0</v>
      </c>
      <c r="O223" s="23">
        <f>IF(OR($I223="Vencido",$I223="Vencido (parcial)"),"Olá, "&amp;$A223&amp;"! Consta em aberto '"&amp;$B223&amp;"' com vencimento em "&amp;DAY($D223)&amp;"/"&amp;MONTH($D223)&amp;"/"&amp;YEAR($D223)&amp;", no valor de R$ "&amp;FIXED($N223,2)&amp;" (com multa e juros). Podemos ajudar a regularizar hoje? Obrigado!",IF($I223="Vence hoje","Olá, "&amp;$A223&amp;"! Lembrete: '"&amp;$B223&amp;"' vence hoje, no valor de R$ "&amp;FIXED($L223,2)&amp;". Obrigado!",""))</f>
        <v>0</v>
      </c>
    </row>
    <row r="224" spans="1:15">
      <c r="A224" s="13"/>
      <c r="B224" s="13"/>
      <c r="C224" s="17"/>
      <c r="D224" s="17"/>
      <c r="E224" s="18"/>
      <c r="F224" s="17"/>
      <c r="G224" s="18"/>
      <c r="H224" s="13"/>
      <c r="I224" s="19">
        <f>IF($E224="","",IF($L224&lt;=0.005,"Pago",IF($D224="","Sem vencimento",IF($D224&lt;Hoje,IF(N($G224)&gt;0,"Vencido (parcial)","Vencido"),IF($D224=Hoje,"Vence hoje","A vencer")))))</f>
        <v>0</v>
      </c>
      <c r="J224" s="20">
        <f>IF(OR($E224="",$D224=""),"",IF(AND($L224&gt;0.005,$D224&lt;Hoje),Hoje-$D224,0))</f>
        <v>0</v>
      </c>
      <c r="K224" s="20">
        <f>IF($J224="","",IF($L224&lt;=0.005,"Pago",IF($J224&lt;=0,"A vencer",IF($J224&lt;=15,"1-15 dias",IF($J224&lt;=30,"16-30 dias",IF($J224&lt;=60,"31-60 dias","Mais de 60 dias"))))))</f>
        <v>0</v>
      </c>
      <c r="L224" s="21">
        <f>IF($E224="","",MAX(0,$E224-N($G224)))</f>
        <v>0</v>
      </c>
      <c r="M224" s="21">
        <f>IF(OR($L224="",$J224=""),"",IF($J224&gt;0,ROUND($L224*Multa+$L224*Juros/30*$J224,2),0))</f>
        <v>0</v>
      </c>
      <c r="N224" s="22">
        <f>IF($L224="","",IF($L224&lt;=0.005,0,$L224+N($M224)))</f>
        <v>0</v>
      </c>
      <c r="O224" s="23">
        <f>IF(OR($I224="Vencido",$I224="Vencido (parcial)"),"Olá, "&amp;$A224&amp;"! Consta em aberto '"&amp;$B224&amp;"' com vencimento em "&amp;DAY($D224)&amp;"/"&amp;MONTH($D224)&amp;"/"&amp;YEAR($D224)&amp;", no valor de R$ "&amp;FIXED($N224,2)&amp;" (com multa e juros). Podemos ajudar a regularizar hoje? Obrigado!",IF($I224="Vence hoje","Olá, "&amp;$A224&amp;"! Lembrete: '"&amp;$B224&amp;"' vence hoje, no valor de R$ "&amp;FIXED($L224,2)&amp;". Obrigado!",""))</f>
        <v>0</v>
      </c>
    </row>
    <row r="225" spans="1:15">
      <c r="A225" s="13"/>
      <c r="B225" s="13"/>
      <c r="C225" s="17"/>
      <c r="D225" s="17"/>
      <c r="E225" s="18"/>
      <c r="F225" s="17"/>
      <c r="G225" s="18"/>
      <c r="H225" s="13"/>
      <c r="I225" s="19">
        <f>IF($E225="","",IF($L225&lt;=0.005,"Pago",IF($D225="","Sem vencimento",IF($D225&lt;Hoje,IF(N($G225)&gt;0,"Vencido (parcial)","Vencido"),IF($D225=Hoje,"Vence hoje","A vencer")))))</f>
        <v>0</v>
      </c>
      <c r="J225" s="20">
        <f>IF(OR($E225="",$D225=""),"",IF(AND($L225&gt;0.005,$D225&lt;Hoje),Hoje-$D225,0))</f>
        <v>0</v>
      </c>
      <c r="K225" s="20">
        <f>IF($J225="","",IF($L225&lt;=0.005,"Pago",IF($J225&lt;=0,"A vencer",IF($J225&lt;=15,"1-15 dias",IF($J225&lt;=30,"16-30 dias",IF($J225&lt;=60,"31-60 dias","Mais de 60 dias"))))))</f>
        <v>0</v>
      </c>
      <c r="L225" s="21">
        <f>IF($E225="","",MAX(0,$E225-N($G225)))</f>
        <v>0</v>
      </c>
      <c r="M225" s="21">
        <f>IF(OR($L225="",$J225=""),"",IF($J225&gt;0,ROUND($L225*Multa+$L225*Juros/30*$J225,2),0))</f>
        <v>0</v>
      </c>
      <c r="N225" s="22">
        <f>IF($L225="","",IF($L225&lt;=0.005,0,$L225+N($M225)))</f>
        <v>0</v>
      </c>
      <c r="O225" s="23">
        <f>IF(OR($I225="Vencido",$I225="Vencido (parcial)"),"Olá, "&amp;$A225&amp;"! Consta em aberto '"&amp;$B225&amp;"' com vencimento em "&amp;DAY($D225)&amp;"/"&amp;MONTH($D225)&amp;"/"&amp;YEAR($D225)&amp;", no valor de R$ "&amp;FIXED($N225,2)&amp;" (com multa e juros). Podemos ajudar a regularizar hoje? Obrigado!",IF($I225="Vence hoje","Olá, "&amp;$A225&amp;"! Lembrete: '"&amp;$B225&amp;"' vence hoje, no valor de R$ "&amp;FIXED($L225,2)&amp;". Obrigado!",""))</f>
        <v>0</v>
      </c>
    </row>
    <row r="226" spans="1:15">
      <c r="A226" s="13"/>
      <c r="B226" s="13"/>
      <c r="C226" s="17"/>
      <c r="D226" s="17"/>
      <c r="E226" s="18"/>
      <c r="F226" s="17"/>
      <c r="G226" s="18"/>
      <c r="H226" s="13"/>
      <c r="I226" s="19">
        <f>IF($E226="","",IF($L226&lt;=0.005,"Pago",IF($D226="","Sem vencimento",IF($D226&lt;Hoje,IF(N($G226)&gt;0,"Vencido (parcial)","Vencido"),IF($D226=Hoje,"Vence hoje","A vencer")))))</f>
        <v>0</v>
      </c>
      <c r="J226" s="20">
        <f>IF(OR($E226="",$D226=""),"",IF(AND($L226&gt;0.005,$D226&lt;Hoje),Hoje-$D226,0))</f>
        <v>0</v>
      </c>
      <c r="K226" s="20">
        <f>IF($J226="","",IF($L226&lt;=0.005,"Pago",IF($J226&lt;=0,"A vencer",IF($J226&lt;=15,"1-15 dias",IF($J226&lt;=30,"16-30 dias",IF($J226&lt;=60,"31-60 dias","Mais de 60 dias"))))))</f>
        <v>0</v>
      </c>
      <c r="L226" s="21">
        <f>IF($E226="","",MAX(0,$E226-N($G226)))</f>
        <v>0</v>
      </c>
      <c r="M226" s="21">
        <f>IF(OR($L226="",$J226=""),"",IF($J226&gt;0,ROUND($L226*Multa+$L226*Juros/30*$J226,2),0))</f>
        <v>0</v>
      </c>
      <c r="N226" s="22">
        <f>IF($L226="","",IF($L226&lt;=0.005,0,$L226+N($M226)))</f>
        <v>0</v>
      </c>
      <c r="O226" s="23">
        <f>IF(OR($I226="Vencido",$I226="Vencido (parcial)"),"Olá, "&amp;$A226&amp;"! Consta em aberto '"&amp;$B226&amp;"' com vencimento em "&amp;DAY($D226)&amp;"/"&amp;MONTH($D226)&amp;"/"&amp;YEAR($D226)&amp;", no valor de R$ "&amp;FIXED($N226,2)&amp;" (com multa e juros). Podemos ajudar a regularizar hoje? Obrigado!",IF($I226="Vence hoje","Olá, "&amp;$A226&amp;"! Lembrete: '"&amp;$B226&amp;"' vence hoje, no valor de R$ "&amp;FIXED($L226,2)&amp;". Obrigado!",""))</f>
        <v>0</v>
      </c>
    </row>
    <row r="227" spans="1:15">
      <c r="A227" s="13"/>
      <c r="B227" s="13"/>
      <c r="C227" s="17"/>
      <c r="D227" s="17"/>
      <c r="E227" s="18"/>
      <c r="F227" s="17"/>
      <c r="G227" s="18"/>
      <c r="H227" s="13"/>
      <c r="I227" s="19">
        <f>IF($E227="","",IF($L227&lt;=0.005,"Pago",IF($D227="","Sem vencimento",IF($D227&lt;Hoje,IF(N($G227)&gt;0,"Vencido (parcial)","Vencido"),IF($D227=Hoje,"Vence hoje","A vencer")))))</f>
        <v>0</v>
      </c>
      <c r="J227" s="20">
        <f>IF(OR($E227="",$D227=""),"",IF(AND($L227&gt;0.005,$D227&lt;Hoje),Hoje-$D227,0))</f>
        <v>0</v>
      </c>
      <c r="K227" s="20">
        <f>IF($J227="","",IF($L227&lt;=0.005,"Pago",IF($J227&lt;=0,"A vencer",IF($J227&lt;=15,"1-15 dias",IF($J227&lt;=30,"16-30 dias",IF($J227&lt;=60,"31-60 dias","Mais de 60 dias"))))))</f>
        <v>0</v>
      </c>
      <c r="L227" s="21">
        <f>IF($E227="","",MAX(0,$E227-N($G227)))</f>
        <v>0</v>
      </c>
      <c r="M227" s="21">
        <f>IF(OR($L227="",$J227=""),"",IF($J227&gt;0,ROUND($L227*Multa+$L227*Juros/30*$J227,2),0))</f>
        <v>0</v>
      </c>
      <c r="N227" s="22">
        <f>IF($L227="","",IF($L227&lt;=0.005,0,$L227+N($M227)))</f>
        <v>0</v>
      </c>
      <c r="O227" s="23">
        <f>IF(OR($I227="Vencido",$I227="Vencido (parcial)"),"Olá, "&amp;$A227&amp;"! Consta em aberto '"&amp;$B227&amp;"' com vencimento em "&amp;DAY($D227)&amp;"/"&amp;MONTH($D227)&amp;"/"&amp;YEAR($D227)&amp;", no valor de R$ "&amp;FIXED($N227,2)&amp;" (com multa e juros). Podemos ajudar a regularizar hoje? Obrigado!",IF($I227="Vence hoje","Olá, "&amp;$A227&amp;"! Lembrete: '"&amp;$B227&amp;"' vence hoje, no valor de R$ "&amp;FIXED($L227,2)&amp;". Obrigado!",""))</f>
        <v>0</v>
      </c>
    </row>
    <row r="228" spans="1:15">
      <c r="A228" s="13"/>
      <c r="B228" s="13"/>
      <c r="C228" s="17"/>
      <c r="D228" s="17"/>
      <c r="E228" s="18"/>
      <c r="F228" s="17"/>
      <c r="G228" s="18"/>
      <c r="H228" s="13"/>
      <c r="I228" s="19">
        <f>IF($E228="","",IF($L228&lt;=0.005,"Pago",IF($D228="","Sem vencimento",IF($D228&lt;Hoje,IF(N($G228)&gt;0,"Vencido (parcial)","Vencido"),IF($D228=Hoje,"Vence hoje","A vencer")))))</f>
        <v>0</v>
      </c>
      <c r="J228" s="20">
        <f>IF(OR($E228="",$D228=""),"",IF(AND($L228&gt;0.005,$D228&lt;Hoje),Hoje-$D228,0))</f>
        <v>0</v>
      </c>
      <c r="K228" s="20">
        <f>IF($J228="","",IF($L228&lt;=0.005,"Pago",IF($J228&lt;=0,"A vencer",IF($J228&lt;=15,"1-15 dias",IF($J228&lt;=30,"16-30 dias",IF($J228&lt;=60,"31-60 dias","Mais de 60 dias"))))))</f>
        <v>0</v>
      </c>
      <c r="L228" s="21">
        <f>IF($E228="","",MAX(0,$E228-N($G228)))</f>
        <v>0</v>
      </c>
      <c r="M228" s="21">
        <f>IF(OR($L228="",$J228=""),"",IF($J228&gt;0,ROUND($L228*Multa+$L228*Juros/30*$J228,2),0))</f>
        <v>0</v>
      </c>
      <c r="N228" s="22">
        <f>IF($L228="","",IF($L228&lt;=0.005,0,$L228+N($M228)))</f>
        <v>0</v>
      </c>
      <c r="O228" s="23">
        <f>IF(OR($I228="Vencido",$I228="Vencido (parcial)"),"Olá, "&amp;$A228&amp;"! Consta em aberto '"&amp;$B228&amp;"' com vencimento em "&amp;DAY($D228)&amp;"/"&amp;MONTH($D228)&amp;"/"&amp;YEAR($D228)&amp;", no valor de R$ "&amp;FIXED($N228,2)&amp;" (com multa e juros). Podemos ajudar a regularizar hoje? Obrigado!",IF($I228="Vence hoje","Olá, "&amp;$A228&amp;"! Lembrete: '"&amp;$B228&amp;"' vence hoje, no valor de R$ "&amp;FIXED($L228,2)&amp;". Obrigado!",""))</f>
        <v>0</v>
      </c>
    </row>
    <row r="229" spans="1:15">
      <c r="A229" s="13"/>
      <c r="B229" s="13"/>
      <c r="C229" s="17"/>
      <c r="D229" s="17"/>
      <c r="E229" s="18"/>
      <c r="F229" s="17"/>
      <c r="G229" s="18"/>
      <c r="H229" s="13"/>
      <c r="I229" s="19">
        <f>IF($E229="","",IF($L229&lt;=0.005,"Pago",IF($D229="","Sem vencimento",IF($D229&lt;Hoje,IF(N($G229)&gt;0,"Vencido (parcial)","Vencido"),IF($D229=Hoje,"Vence hoje","A vencer")))))</f>
        <v>0</v>
      </c>
      <c r="J229" s="20">
        <f>IF(OR($E229="",$D229=""),"",IF(AND($L229&gt;0.005,$D229&lt;Hoje),Hoje-$D229,0))</f>
        <v>0</v>
      </c>
      <c r="K229" s="20">
        <f>IF($J229="","",IF($L229&lt;=0.005,"Pago",IF($J229&lt;=0,"A vencer",IF($J229&lt;=15,"1-15 dias",IF($J229&lt;=30,"16-30 dias",IF($J229&lt;=60,"31-60 dias","Mais de 60 dias"))))))</f>
        <v>0</v>
      </c>
      <c r="L229" s="21">
        <f>IF($E229="","",MAX(0,$E229-N($G229)))</f>
        <v>0</v>
      </c>
      <c r="M229" s="21">
        <f>IF(OR($L229="",$J229=""),"",IF($J229&gt;0,ROUND($L229*Multa+$L229*Juros/30*$J229,2),0))</f>
        <v>0</v>
      </c>
      <c r="N229" s="22">
        <f>IF($L229="","",IF($L229&lt;=0.005,0,$L229+N($M229)))</f>
        <v>0</v>
      </c>
      <c r="O229" s="23">
        <f>IF(OR($I229="Vencido",$I229="Vencido (parcial)"),"Olá, "&amp;$A229&amp;"! Consta em aberto '"&amp;$B229&amp;"' com vencimento em "&amp;DAY($D229)&amp;"/"&amp;MONTH($D229)&amp;"/"&amp;YEAR($D229)&amp;", no valor de R$ "&amp;FIXED($N229,2)&amp;" (com multa e juros). Podemos ajudar a regularizar hoje? Obrigado!",IF($I229="Vence hoje","Olá, "&amp;$A229&amp;"! Lembrete: '"&amp;$B229&amp;"' vence hoje, no valor de R$ "&amp;FIXED($L229,2)&amp;". Obrigado!",""))</f>
        <v>0</v>
      </c>
    </row>
    <row r="230" spans="1:15">
      <c r="A230" s="13"/>
      <c r="B230" s="13"/>
      <c r="C230" s="17"/>
      <c r="D230" s="17"/>
      <c r="E230" s="18"/>
      <c r="F230" s="17"/>
      <c r="G230" s="18"/>
      <c r="H230" s="13"/>
      <c r="I230" s="19">
        <f>IF($E230="","",IF($L230&lt;=0.005,"Pago",IF($D230="","Sem vencimento",IF($D230&lt;Hoje,IF(N($G230)&gt;0,"Vencido (parcial)","Vencido"),IF($D230=Hoje,"Vence hoje","A vencer")))))</f>
        <v>0</v>
      </c>
      <c r="J230" s="20">
        <f>IF(OR($E230="",$D230=""),"",IF(AND($L230&gt;0.005,$D230&lt;Hoje),Hoje-$D230,0))</f>
        <v>0</v>
      </c>
      <c r="K230" s="20">
        <f>IF($J230="","",IF($L230&lt;=0.005,"Pago",IF($J230&lt;=0,"A vencer",IF($J230&lt;=15,"1-15 dias",IF($J230&lt;=30,"16-30 dias",IF($J230&lt;=60,"31-60 dias","Mais de 60 dias"))))))</f>
        <v>0</v>
      </c>
      <c r="L230" s="21">
        <f>IF($E230="","",MAX(0,$E230-N($G230)))</f>
        <v>0</v>
      </c>
      <c r="M230" s="21">
        <f>IF(OR($L230="",$J230=""),"",IF($J230&gt;0,ROUND($L230*Multa+$L230*Juros/30*$J230,2),0))</f>
        <v>0</v>
      </c>
      <c r="N230" s="22">
        <f>IF($L230="","",IF($L230&lt;=0.005,0,$L230+N($M230)))</f>
        <v>0</v>
      </c>
      <c r="O230" s="23">
        <f>IF(OR($I230="Vencido",$I230="Vencido (parcial)"),"Olá, "&amp;$A230&amp;"! Consta em aberto '"&amp;$B230&amp;"' com vencimento em "&amp;DAY($D230)&amp;"/"&amp;MONTH($D230)&amp;"/"&amp;YEAR($D230)&amp;", no valor de R$ "&amp;FIXED($N230,2)&amp;" (com multa e juros). Podemos ajudar a regularizar hoje? Obrigado!",IF($I230="Vence hoje","Olá, "&amp;$A230&amp;"! Lembrete: '"&amp;$B230&amp;"' vence hoje, no valor de R$ "&amp;FIXED($L230,2)&amp;". Obrigado!",""))</f>
        <v>0</v>
      </c>
    </row>
    <row r="231" spans="1:15">
      <c r="A231" s="13"/>
      <c r="B231" s="13"/>
      <c r="C231" s="17"/>
      <c r="D231" s="17"/>
      <c r="E231" s="18"/>
      <c r="F231" s="17"/>
      <c r="G231" s="18"/>
      <c r="H231" s="13"/>
      <c r="I231" s="19">
        <f>IF($E231="","",IF($L231&lt;=0.005,"Pago",IF($D231="","Sem vencimento",IF($D231&lt;Hoje,IF(N($G231)&gt;0,"Vencido (parcial)","Vencido"),IF($D231=Hoje,"Vence hoje","A vencer")))))</f>
        <v>0</v>
      </c>
      <c r="J231" s="20">
        <f>IF(OR($E231="",$D231=""),"",IF(AND($L231&gt;0.005,$D231&lt;Hoje),Hoje-$D231,0))</f>
        <v>0</v>
      </c>
      <c r="K231" s="20">
        <f>IF($J231="","",IF($L231&lt;=0.005,"Pago",IF($J231&lt;=0,"A vencer",IF($J231&lt;=15,"1-15 dias",IF($J231&lt;=30,"16-30 dias",IF($J231&lt;=60,"31-60 dias","Mais de 60 dias"))))))</f>
        <v>0</v>
      </c>
      <c r="L231" s="21">
        <f>IF($E231="","",MAX(0,$E231-N($G231)))</f>
        <v>0</v>
      </c>
      <c r="M231" s="21">
        <f>IF(OR($L231="",$J231=""),"",IF($J231&gt;0,ROUND($L231*Multa+$L231*Juros/30*$J231,2),0))</f>
        <v>0</v>
      </c>
      <c r="N231" s="22">
        <f>IF($L231="","",IF($L231&lt;=0.005,0,$L231+N($M231)))</f>
        <v>0</v>
      </c>
      <c r="O231" s="23">
        <f>IF(OR($I231="Vencido",$I231="Vencido (parcial)"),"Olá, "&amp;$A231&amp;"! Consta em aberto '"&amp;$B231&amp;"' com vencimento em "&amp;DAY($D231)&amp;"/"&amp;MONTH($D231)&amp;"/"&amp;YEAR($D231)&amp;", no valor de R$ "&amp;FIXED($N231,2)&amp;" (com multa e juros). Podemos ajudar a regularizar hoje? Obrigado!",IF($I231="Vence hoje","Olá, "&amp;$A231&amp;"! Lembrete: '"&amp;$B231&amp;"' vence hoje, no valor de R$ "&amp;FIXED($L231,2)&amp;". Obrigado!",""))</f>
        <v>0</v>
      </c>
    </row>
    <row r="232" spans="1:15">
      <c r="A232" s="13"/>
      <c r="B232" s="13"/>
      <c r="C232" s="17"/>
      <c r="D232" s="17"/>
      <c r="E232" s="18"/>
      <c r="F232" s="17"/>
      <c r="G232" s="18"/>
      <c r="H232" s="13"/>
      <c r="I232" s="19">
        <f>IF($E232="","",IF($L232&lt;=0.005,"Pago",IF($D232="","Sem vencimento",IF($D232&lt;Hoje,IF(N($G232)&gt;0,"Vencido (parcial)","Vencido"),IF($D232=Hoje,"Vence hoje","A vencer")))))</f>
        <v>0</v>
      </c>
      <c r="J232" s="20">
        <f>IF(OR($E232="",$D232=""),"",IF(AND($L232&gt;0.005,$D232&lt;Hoje),Hoje-$D232,0))</f>
        <v>0</v>
      </c>
      <c r="K232" s="20">
        <f>IF($J232="","",IF($L232&lt;=0.005,"Pago",IF($J232&lt;=0,"A vencer",IF($J232&lt;=15,"1-15 dias",IF($J232&lt;=30,"16-30 dias",IF($J232&lt;=60,"31-60 dias","Mais de 60 dias"))))))</f>
        <v>0</v>
      </c>
      <c r="L232" s="21">
        <f>IF($E232="","",MAX(0,$E232-N($G232)))</f>
        <v>0</v>
      </c>
      <c r="M232" s="21">
        <f>IF(OR($L232="",$J232=""),"",IF($J232&gt;0,ROUND($L232*Multa+$L232*Juros/30*$J232,2),0))</f>
        <v>0</v>
      </c>
      <c r="N232" s="22">
        <f>IF($L232="","",IF($L232&lt;=0.005,0,$L232+N($M232)))</f>
        <v>0</v>
      </c>
      <c r="O232" s="23">
        <f>IF(OR($I232="Vencido",$I232="Vencido (parcial)"),"Olá, "&amp;$A232&amp;"! Consta em aberto '"&amp;$B232&amp;"' com vencimento em "&amp;DAY($D232)&amp;"/"&amp;MONTH($D232)&amp;"/"&amp;YEAR($D232)&amp;", no valor de R$ "&amp;FIXED($N232,2)&amp;" (com multa e juros). Podemos ajudar a regularizar hoje? Obrigado!",IF($I232="Vence hoje","Olá, "&amp;$A232&amp;"! Lembrete: '"&amp;$B232&amp;"' vence hoje, no valor de R$ "&amp;FIXED($L232,2)&amp;". Obrigado!",""))</f>
        <v>0</v>
      </c>
    </row>
    <row r="233" spans="1:15">
      <c r="A233" s="13"/>
      <c r="B233" s="13"/>
      <c r="C233" s="17"/>
      <c r="D233" s="17"/>
      <c r="E233" s="18"/>
      <c r="F233" s="17"/>
      <c r="G233" s="18"/>
      <c r="H233" s="13"/>
      <c r="I233" s="19">
        <f>IF($E233="","",IF($L233&lt;=0.005,"Pago",IF($D233="","Sem vencimento",IF($D233&lt;Hoje,IF(N($G233)&gt;0,"Vencido (parcial)","Vencido"),IF($D233=Hoje,"Vence hoje","A vencer")))))</f>
        <v>0</v>
      </c>
      <c r="J233" s="20">
        <f>IF(OR($E233="",$D233=""),"",IF(AND($L233&gt;0.005,$D233&lt;Hoje),Hoje-$D233,0))</f>
        <v>0</v>
      </c>
      <c r="K233" s="20">
        <f>IF($J233="","",IF($L233&lt;=0.005,"Pago",IF($J233&lt;=0,"A vencer",IF($J233&lt;=15,"1-15 dias",IF($J233&lt;=30,"16-30 dias",IF($J233&lt;=60,"31-60 dias","Mais de 60 dias"))))))</f>
        <v>0</v>
      </c>
      <c r="L233" s="21">
        <f>IF($E233="","",MAX(0,$E233-N($G233)))</f>
        <v>0</v>
      </c>
      <c r="M233" s="21">
        <f>IF(OR($L233="",$J233=""),"",IF($J233&gt;0,ROUND($L233*Multa+$L233*Juros/30*$J233,2),0))</f>
        <v>0</v>
      </c>
      <c r="N233" s="22">
        <f>IF($L233="","",IF($L233&lt;=0.005,0,$L233+N($M233)))</f>
        <v>0</v>
      </c>
      <c r="O233" s="23">
        <f>IF(OR($I233="Vencido",$I233="Vencido (parcial)"),"Olá, "&amp;$A233&amp;"! Consta em aberto '"&amp;$B233&amp;"' com vencimento em "&amp;DAY($D233)&amp;"/"&amp;MONTH($D233)&amp;"/"&amp;YEAR($D233)&amp;", no valor de R$ "&amp;FIXED($N233,2)&amp;" (com multa e juros). Podemos ajudar a regularizar hoje? Obrigado!",IF($I233="Vence hoje","Olá, "&amp;$A233&amp;"! Lembrete: '"&amp;$B233&amp;"' vence hoje, no valor de R$ "&amp;FIXED($L233,2)&amp;". Obrigado!",""))</f>
        <v>0</v>
      </c>
    </row>
    <row r="234" spans="1:15">
      <c r="A234" s="13"/>
      <c r="B234" s="13"/>
      <c r="C234" s="17"/>
      <c r="D234" s="17"/>
      <c r="E234" s="18"/>
      <c r="F234" s="17"/>
      <c r="G234" s="18"/>
      <c r="H234" s="13"/>
      <c r="I234" s="19">
        <f>IF($E234="","",IF($L234&lt;=0.005,"Pago",IF($D234="","Sem vencimento",IF($D234&lt;Hoje,IF(N($G234)&gt;0,"Vencido (parcial)","Vencido"),IF($D234=Hoje,"Vence hoje","A vencer")))))</f>
        <v>0</v>
      </c>
      <c r="J234" s="20">
        <f>IF(OR($E234="",$D234=""),"",IF(AND($L234&gt;0.005,$D234&lt;Hoje),Hoje-$D234,0))</f>
        <v>0</v>
      </c>
      <c r="K234" s="20">
        <f>IF($J234="","",IF($L234&lt;=0.005,"Pago",IF($J234&lt;=0,"A vencer",IF($J234&lt;=15,"1-15 dias",IF($J234&lt;=30,"16-30 dias",IF($J234&lt;=60,"31-60 dias","Mais de 60 dias"))))))</f>
        <v>0</v>
      </c>
      <c r="L234" s="21">
        <f>IF($E234="","",MAX(0,$E234-N($G234)))</f>
        <v>0</v>
      </c>
      <c r="M234" s="21">
        <f>IF(OR($L234="",$J234=""),"",IF($J234&gt;0,ROUND($L234*Multa+$L234*Juros/30*$J234,2),0))</f>
        <v>0</v>
      </c>
      <c r="N234" s="22">
        <f>IF($L234="","",IF($L234&lt;=0.005,0,$L234+N($M234)))</f>
        <v>0</v>
      </c>
      <c r="O234" s="23">
        <f>IF(OR($I234="Vencido",$I234="Vencido (parcial)"),"Olá, "&amp;$A234&amp;"! Consta em aberto '"&amp;$B234&amp;"' com vencimento em "&amp;DAY($D234)&amp;"/"&amp;MONTH($D234)&amp;"/"&amp;YEAR($D234)&amp;", no valor de R$ "&amp;FIXED($N234,2)&amp;" (com multa e juros). Podemos ajudar a regularizar hoje? Obrigado!",IF($I234="Vence hoje","Olá, "&amp;$A234&amp;"! Lembrete: '"&amp;$B234&amp;"' vence hoje, no valor de R$ "&amp;FIXED($L234,2)&amp;". Obrigado!",""))</f>
        <v>0</v>
      </c>
    </row>
    <row r="235" spans="1:15">
      <c r="A235" s="13"/>
      <c r="B235" s="13"/>
      <c r="C235" s="17"/>
      <c r="D235" s="17"/>
      <c r="E235" s="18"/>
      <c r="F235" s="17"/>
      <c r="G235" s="18"/>
      <c r="H235" s="13"/>
      <c r="I235" s="19">
        <f>IF($E235="","",IF($L235&lt;=0.005,"Pago",IF($D235="","Sem vencimento",IF($D235&lt;Hoje,IF(N($G235)&gt;0,"Vencido (parcial)","Vencido"),IF($D235=Hoje,"Vence hoje","A vencer")))))</f>
        <v>0</v>
      </c>
      <c r="J235" s="20">
        <f>IF(OR($E235="",$D235=""),"",IF(AND($L235&gt;0.005,$D235&lt;Hoje),Hoje-$D235,0))</f>
        <v>0</v>
      </c>
      <c r="K235" s="20">
        <f>IF($J235="","",IF($L235&lt;=0.005,"Pago",IF($J235&lt;=0,"A vencer",IF($J235&lt;=15,"1-15 dias",IF($J235&lt;=30,"16-30 dias",IF($J235&lt;=60,"31-60 dias","Mais de 60 dias"))))))</f>
        <v>0</v>
      </c>
      <c r="L235" s="21">
        <f>IF($E235="","",MAX(0,$E235-N($G235)))</f>
        <v>0</v>
      </c>
      <c r="M235" s="21">
        <f>IF(OR($L235="",$J235=""),"",IF($J235&gt;0,ROUND($L235*Multa+$L235*Juros/30*$J235,2),0))</f>
        <v>0</v>
      </c>
      <c r="N235" s="22">
        <f>IF($L235="","",IF($L235&lt;=0.005,0,$L235+N($M235)))</f>
        <v>0</v>
      </c>
      <c r="O235" s="23">
        <f>IF(OR($I235="Vencido",$I235="Vencido (parcial)"),"Olá, "&amp;$A235&amp;"! Consta em aberto '"&amp;$B235&amp;"' com vencimento em "&amp;DAY($D235)&amp;"/"&amp;MONTH($D235)&amp;"/"&amp;YEAR($D235)&amp;", no valor de R$ "&amp;FIXED($N235,2)&amp;" (com multa e juros). Podemos ajudar a regularizar hoje? Obrigado!",IF($I235="Vence hoje","Olá, "&amp;$A235&amp;"! Lembrete: '"&amp;$B235&amp;"' vence hoje, no valor de R$ "&amp;FIXED($L235,2)&amp;". Obrigado!",""))</f>
        <v>0</v>
      </c>
    </row>
    <row r="236" spans="1:15">
      <c r="A236" s="13"/>
      <c r="B236" s="13"/>
      <c r="C236" s="17"/>
      <c r="D236" s="17"/>
      <c r="E236" s="18"/>
      <c r="F236" s="17"/>
      <c r="G236" s="18"/>
      <c r="H236" s="13"/>
      <c r="I236" s="19">
        <f>IF($E236="","",IF($L236&lt;=0.005,"Pago",IF($D236="","Sem vencimento",IF($D236&lt;Hoje,IF(N($G236)&gt;0,"Vencido (parcial)","Vencido"),IF($D236=Hoje,"Vence hoje","A vencer")))))</f>
        <v>0</v>
      </c>
      <c r="J236" s="20">
        <f>IF(OR($E236="",$D236=""),"",IF(AND($L236&gt;0.005,$D236&lt;Hoje),Hoje-$D236,0))</f>
        <v>0</v>
      </c>
      <c r="K236" s="20">
        <f>IF($J236="","",IF($L236&lt;=0.005,"Pago",IF($J236&lt;=0,"A vencer",IF($J236&lt;=15,"1-15 dias",IF($J236&lt;=30,"16-30 dias",IF($J236&lt;=60,"31-60 dias","Mais de 60 dias"))))))</f>
        <v>0</v>
      </c>
      <c r="L236" s="21">
        <f>IF($E236="","",MAX(0,$E236-N($G236)))</f>
        <v>0</v>
      </c>
      <c r="M236" s="21">
        <f>IF(OR($L236="",$J236=""),"",IF($J236&gt;0,ROUND($L236*Multa+$L236*Juros/30*$J236,2),0))</f>
        <v>0</v>
      </c>
      <c r="N236" s="22">
        <f>IF($L236="","",IF($L236&lt;=0.005,0,$L236+N($M236)))</f>
        <v>0</v>
      </c>
      <c r="O236" s="23">
        <f>IF(OR($I236="Vencido",$I236="Vencido (parcial)"),"Olá, "&amp;$A236&amp;"! Consta em aberto '"&amp;$B236&amp;"' com vencimento em "&amp;DAY($D236)&amp;"/"&amp;MONTH($D236)&amp;"/"&amp;YEAR($D236)&amp;", no valor de R$ "&amp;FIXED($N236,2)&amp;" (com multa e juros). Podemos ajudar a regularizar hoje? Obrigado!",IF($I236="Vence hoje","Olá, "&amp;$A236&amp;"! Lembrete: '"&amp;$B236&amp;"' vence hoje, no valor de R$ "&amp;FIXED($L236,2)&amp;". Obrigado!",""))</f>
        <v>0</v>
      </c>
    </row>
    <row r="237" spans="1:15">
      <c r="A237" s="13"/>
      <c r="B237" s="13"/>
      <c r="C237" s="17"/>
      <c r="D237" s="17"/>
      <c r="E237" s="18"/>
      <c r="F237" s="17"/>
      <c r="G237" s="18"/>
      <c r="H237" s="13"/>
      <c r="I237" s="19">
        <f>IF($E237="","",IF($L237&lt;=0.005,"Pago",IF($D237="","Sem vencimento",IF($D237&lt;Hoje,IF(N($G237)&gt;0,"Vencido (parcial)","Vencido"),IF($D237=Hoje,"Vence hoje","A vencer")))))</f>
        <v>0</v>
      </c>
      <c r="J237" s="20">
        <f>IF(OR($E237="",$D237=""),"",IF(AND($L237&gt;0.005,$D237&lt;Hoje),Hoje-$D237,0))</f>
        <v>0</v>
      </c>
      <c r="K237" s="20">
        <f>IF($J237="","",IF($L237&lt;=0.005,"Pago",IF($J237&lt;=0,"A vencer",IF($J237&lt;=15,"1-15 dias",IF($J237&lt;=30,"16-30 dias",IF($J237&lt;=60,"31-60 dias","Mais de 60 dias"))))))</f>
        <v>0</v>
      </c>
      <c r="L237" s="21">
        <f>IF($E237="","",MAX(0,$E237-N($G237)))</f>
        <v>0</v>
      </c>
      <c r="M237" s="21">
        <f>IF(OR($L237="",$J237=""),"",IF($J237&gt;0,ROUND($L237*Multa+$L237*Juros/30*$J237,2),0))</f>
        <v>0</v>
      </c>
      <c r="N237" s="22">
        <f>IF($L237="","",IF($L237&lt;=0.005,0,$L237+N($M237)))</f>
        <v>0</v>
      </c>
      <c r="O237" s="23">
        <f>IF(OR($I237="Vencido",$I237="Vencido (parcial)"),"Olá, "&amp;$A237&amp;"! Consta em aberto '"&amp;$B237&amp;"' com vencimento em "&amp;DAY($D237)&amp;"/"&amp;MONTH($D237)&amp;"/"&amp;YEAR($D237)&amp;", no valor de R$ "&amp;FIXED($N237,2)&amp;" (com multa e juros). Podemos ajudar a regularizar hoje? Obrigado!",IF($I237="Vence hoje","Olá, "&amp;$A237&amp;"! Lembrete: '"&amp;$B237&amp;"' vence hoje, no valor de R$ "&amp;FIXED($L237,2)&amp;". Obrigado!",""))</f>
        <v>0</v>
      </c>
    </row>
    <row r="238" spans="1:15">
      <c r="A238" s="13"/>
      <c r="B238" s="13"/>
      <c r="C238" s="17"/>
      <c r="D238" s="17"/>
      <c r="E238" s="18"/>
      <c r="F238" s="17"/>
      <c r="G238" s="18"/>
      <c r="H238" s="13"/>
      <c r="I238" s="19">
        <f>IF($E238="","",IF($L238&lt;=0.005,"Pago",IF($D238="","Sem vencimento",IF($D238&lt;Hoje,IF(N($G238)&gt;0,"Vencido (parcial)","Vencido"),IF($D238=Hoje,"Vence hoje","A vencer")))))</f>
        <v>0</v>
      </c>
      <c r="J238" s="20">
        <f>IF(OR($E238="",$D238=""),"",IF(AND($L238&gt;0.005,$D238&lt;Hoje),Hoje-$D238,0))</f>
        <v>0</v>
      </c>
      <c r="K238" s="20">
        <f>IF($J238="","",IF($L238&lt;=0.005,"Pago",IF($J238&lt;=0,"A vencer",IF($J238&lt;=15,"1-15 dias",IF($J238&lt;=30,"16-30 dias",IF($J238&lt;=60,"31-60 dias","Mais de 60 dias"))))))</f>
        <v>0</v>
      </c>
      <c r="L238" s="21">
        <f>IF($E238="","",MAX(0,$E238-N($G238)))</f>
        <v>0</v>
      </c>
      <c r="M238" s="21">
        <f>IF(OR($L238="",$J238=""),"",IF($J238&gt;0,ROUND($L238*Multa+$L238*Juros/30*$J238,2),0))</f>
        <v>0</v>
      </c>
      <c r="N238" s="22">
        <f>IF($L238="","",IF($L238&lt;=0.005,0,$L238+N($M238)))</f>
        <v>0</v>
      </c>
      <c r="O238" s="23">
        <f>IF(OR($I238="Vencido",$I238="Vencido (parcial)"),"Olá, "&amp;$A238&amp;"! Consta em aberto '"&amp;$B238&amp;"' com vencimento em "&amp;DAY($D238)&amp;"/"&amp;MONTH($D238)&amp;"/"&amp;YEAR($D238)&amp;", no valor de R$ "&amp;FIXED($N238,2)&amp;" (com multa e juros). Podemos ajudar a regularizar hoje? Obrigado!",IF($I238="Vence hoje","Olá, "&amp;$A238&amp;"! Lembrete: '"&amp;$B238&amp;"' vence hoje, no valor de R$ "&amp;FIXED($L238,2)&amp;". Obrigado!",""))</f>
        <v>0</v>
      </c>
    </row>
    <row r="239" spans="1:15">
      <c r="A239" s="13"/>
      <c r="B239" s="13"/>
      <c r="C239" s="17"/>
      <c r="D239" s="17"/>
      <c r="E239" s="18"/>
      <c r="F239" s="17"/>
      <c r="G239" s="18"/>
      <c r="H239" s="13"/>
      <c r="I239" s="19">
        <f>IF($E239="","",IF($L239&lt;=0.005,"Pago",IF($D239="","Sem vencimento",IF($D239&lt;Hoje,IF(N($G239)&gt;0,"Vencido (parcial)","Vencido"),IF($D239=Hoje,"Vence hoje","A vencer")))))</f>
        <v>0</v>
      </c>
      <c r="J239" s="20">
        <f>IF(OR($E239="",$D239=""),"",IF(AND($L239&gt;0.005,$D239&lt;Hoje),Hoje-$D239,0))</f>
        <v>0</v>
      </c>
      <c r="K239" s="20">
        <f>IF($J239="","",IF($L239&lt;=0.005,"Pago",IF($J239&lt;=0,"A vencer",IF($J239&lt;=15,"1-15 dias",IF($J239&lt;=30,"16-30 dias",IF($J239&lt;=60,"31-60 dias","Mais de 60 dias"))))))</f>
        <v>0</v>
      </c>
      <c r="L239" s="21">
        <f>IF($E239="","",MAX(0,$E239-N($G239)))</f>
        <v>0</v>
      </c>
      <c r="M239" s="21">
        <f>IF(OR($L239="",$J239=""),"",IF($J239&gt;0,ROUND($L239*Multa+$L239*Juros/30*$J239,2),0))</f>
        <v>0</v>
      </c>
      <c r="N239" s="22">
        <f>IF($L239="","",IF($L239&lt;=0.005,0,$L239+N($M239)))</f>
        <v>0</v>
      </c>
      <c r="O239" s="23">
        <f>IF(OR($I239="Vencido",$I239="Vencido (parcial)"),"Olá, "&amp;$A239&amp;"! Consta em aberto '"&amp;$B239&amp;"' com vencimento em "&amp;DAY($D239)&amp;"/"&amp;MONTH($D239)&amp;"/"&amp;YEAR($D239)&amp;", no valor de R$ "&amp;FIXED($N239,2)&amp;" (com multa e juros). Podemos ajudar a regularizar hoje? Obrigado!",IF($I239="Vence hoje","Olá, "&amp;$A239&amp;"! Lembrete: '"&amp;$B239&amp;"' vence hoje, no valor de R$ "&amp;FIXED($L239,2)&amp;". Obrigado!",""))</f>
        <v>0</v>
      </c>
    </row>
    <row r="240" spans="1:15">
      <c r="A240" s="13"/>
      <c r="B240" s="13"/>
      <c r="C240" s="17"/>
      <c r="D240" s="17"/>
      <c r="E240" s="18"/>
      <c r="F240" s="17"/>
      <c r="G240" s="18"/>
      <c r="H240" s="13"/>
      <c r="I240" s="19">
        <f>IF($E240="","",IF($L240&lt;=0.005,"Pago",IF($D240="","Sem vencimento",IF($D240&lt;Hoje,IF(N($G240)&gt;0,"Vencido (parcial)","Vencido"),IF($D240=Hoje,"Vence hoje","A vencer")))))</f>
        <v>0</v>
      </c>
      <c r="J240" s="20">
        <f>IF(OR($E240="",$D240=""),"",IF(AND($L240&gt;0.005,$D240&lt;Hoje),Hoje-$D240,0))</f>
        <v>0</v>
      </c>
      <c r="K240" s="20">
        <f>IF($J240="","",IF($L240&lt;=0.005,"Pago",IF($J240&lt;=0,"A vencer",IF($J240&lt;=15,"1-15 dias",IF($J240&lt;=30,"16-30 dias",IF($J240&lt;=60,"31-60 dias","Mais de 60 dias"))))))</f>
        <v>0</v>
      </c>
      <c r="L240" s="21">
        <f>IF($E240="","",MAX(0,$E240-N($G240)))</f>
        <v>0</v>
      </c>
      <c r="M240" s="21">
        <f>IF(OR($L240="",$J240=""),"",IF($J240&gt;0,ROUND($L240*Multa+$L240*Juros/30*$J240,2),0))</f>
        <v>0</v>
      </c>
      <c r="N240" s="22">
        <f>IF($L240="","",IF($L240&lt;=0.005,0,$L240+N($M240)))</f>
        <v>0</v>
      </c>
      <c r="O240" s="23">
        <f>IF(OR($I240="Vencido",$I240="Vencido (parcial)"),"Olá, "&amp;$A240&amp;"! Consta em aberto '"&amp;$B240&amp;"' com vencimento em "&amp;DAY($D240)&amp;"/"&amp;MONTH($D240)&amp;"/"&amp;YEAR($D240)&amp;", no valor de R$ "&amp;FIXED($N240,2)&amp;" (com multa e juros). Podemos ajudar a regularizar hoje? Obrigado!",IF($I240="Vence hoje","Olá, "&amp;$A240&amp;"! Lembrete: '"&amp;$B240&amp;"' vence hoje, no valor de R$ "&amp;FIXED($L240,2)&amp;". Obrigado!",""))</f>
        <v>0</v>
      </c>
    </row>
    <row r="241" spans="1:15">
      <c r="A241" s="13"/>
      <c r="B241" s="13"/>
      <c r="C241" s="17"/>
      <c r="D241" s="17"/>
      <c r="E241" s="18"/>
      <c r="F241" s="17"/>
      <c r="G241" s="18"/>
      <c r="H241" s="13"/>
      <c r="I241" s="19">
        <f>IF($E241="","",IF($L241&lt;=0.005,"Pago",IF($D241="","Sem vencimento",IF($D241&lt;Hoje,IF(N($G241)&gt;0,"Vencido (parcial)","Vencido"),IF($D241=Hoje,"Vence hoje","A vencer")))))</f>
        <v>0</v>
      </c>
      <c r="J241" s="20">
        <f>IF(OR($E241="",$D241=""),"",IF(AND($L241&gt;0.005,$D241&lt;Hoje),Hoje-$D241,0))</f>
        <v>0</v>
      </c>
      <c r="K241" s="20">
        <f>IF($J241="","",IF($L241&lt;=0.005,"Pago",IF($J241&lt;=0,"A vencer",IF($J241&lt;=15,"1-15 dias",IF($J241&lt;=30,"16-30 dias",IF($J241&lt;=60,"31-60 dias","Mais de 60 dias"))))))</f>
        <v>0</v>
      </c>
      <c r="L241" s="21">
        <f>IF($E241="","",MAX(0,$E241-N($G241)))</f>
        <v>0</v>
      </c>
      <c r="M241" s="21">
        <f>IF(OR($L241="",$J241=""),"",IF($J241&gt;0,ROUND($L241*Multa+$L241*Juros/30*$J241,2),0))</f>
        <v>0</v>
      </c>
      <c r="N241" s="22">
        <f>IF($L241="","",IF($L241&lt;=0.005,0,$L241+N($M241)))</f>
        <v>0</v>
      </c>
      <c r="O241" s="23">
        <f>IF(OR($I241="Vencido",$I241="Vencido (parcial)"),"Olá, "&amp;$A241&amp;"! Consta em aberto '"&amp;$B241&amp;"' com vencimento em "&amp;DAY($D241)&amp;"/"&amp;MONTH($D241)&amp;"/"&amp;YEAR($D241)&amp;", no valor de R$ "&amp;FIXED($N241,2)&amp;" (com multa e juros). Podemos ajudar a regularizar hoje? Obrigado!",IF($I241="Vence hoje","Olá, "&amp;$A241&amp;"! Lembrete: '"&amp;$B241&amp;"' vence hoje, no valor de R$ "&amp;FIXED($L241,2)&amp;". Obrigado!",""))</f>
        <v>0</v>
      </c>
    </row>
    <row r="242" spans="1:15">
      <c r="A242" s="13"/>
      <c r="B242" s="13"/>
      <c r="C242" s="17"/>
      <c r="D242" s="17"/>
      <c r="E242" s="18"/>
      <c r="F242" s="17"/>
      <c r="G242" s="18"/>
      <c r="H242" s="13"/>
      <c r="I242" s="19">
        <f>IF($E242="","",IF($L242&lt;=0.005,"Pago",IF($D242="","Sem vencimento",IF($D242&lt;Hoje,IF(N($G242)&gt;0,"Vencido (parcial)","Vencido"),IF($D242=Hoje,"Vence hoje","A vencer")))))</f>
        <v>0</v>
      </c>
      <c r="J242" s="20">
        <f>IF(OR($E242="",$D242=""),"",IF(AND($L242&gt;0.005,$D242&lt;Hoje),Hoje-$D242,0))</f>
        <v>0</v>
      </c>
      <c r="K242" s="20">
        <f>IF($J242="","",IF($L242&lt;=0.005,"Pago",IF($J242&lt;=0,"A vencer",IF($J242&lt;=15,"1-15 dias",IF($J242&lt;=30,"16-30 dias",IF($J242&lt;=60,"31-60 dias","Mais de 60 dias"))))))</f>
        <v>0</v>
      </c>
      <c r="L242" s="21">
        <f>IF($E242="","",MAX(0,$E242-N($G242)))</f>
        <v>0</v>
      </c>
      <c r="M242" s="21">
        <f>IF(OR($L242="",$J242=""),"",IF($J242&gt;0,ROUND($L242*Multa+$L242*Juros/30*$J242,2),0))</f>
        <v>0</v>
      </c>
      <c r="N242" s="22">
        <f>IF($L242="","",IF($L242&lt;=0.005,0,$L242+N($M242)))</f>
        <v>0</v>
      </c>
      <c r="O242" s="23">
        <f>IF(OR($I242="Vencido",$I242="Vencido (parcial)"),"Olá, "&amp;$A242&amp;"! Consta em aberto '"&amp;$B242&amp;"' com vencimento em "&amp;DAY($D242)&amp;"/"&amp;MONTH($D242)&amp;"/"&amp;YEAR($D242)&amp;", no valor de R$ "&amp;FIXED($N242,2)&amp;" (com multa e juros). Podemos ajudar a regularizar hoje? Obrigado!",IF($I242="Vence hoje","Olá, "&amp;$A242&amp;"! Lembrete: '"&amp;$B242&amp;"' vence hoje, no valor de R$ "&amp;FIXED($L242,2)&amp;". Obrigado!",""))</f>
        <v>0</v>
      </c>
    </row>
    <row r="243" spans="1:15">
      <c r="A243" s="13"/>
      <c r="B243" s="13"/>
      <c r="C243" s="17"/>
      <c r="D243" s="17"/>
      <c r="E243" s="18"/>
      <c r="F243" s="17"/>
      <c r="G243" s="18"/>
      <c r="H243" s="13"/>
      <c r="I243" s="19">
        <f>IF($E243="","",IF($L243&lt;=0.005,"Pago",IF($D243="","Sem vencimento",IF($D243&lt;Hoje,IF(N($G243)&gt;0,"Vencido (parcial)","Vencido"),IF($D243=Hoje,"Vence hoje","A vencer")))))</f>
        <v>0</v>
      </c>
      <c r="J243" s="20">
        <f>IF(OR($E243="",$D243=""),"",IF(AND($L243&gt;0.005,$D243&lt;Hoje),Hoje-$D243,0))</f>
        <v>0</v>
      </c>
      <c r="K243" s="20">
        <f>IF($J243="","",IF($L243&lt;=0.005,"Pago",IF($J243&lt;=0,"A vencer",IF($J243&lt;=15,"1-15 dias",IF($J243&lt;=30,"16-30 dias",IF($J243&lt;=60,"31-60 dias","Mais de 60 dias"))))))</f>
        <v>0</v>
      </c>
      <c r="L243" s="21">
        <f>IF($E243="","",MAX(0,$E243-N($G243)))</f>
        <v>0</v>
      </c>
      <c r="M243" s="21">
        <f>IF(OR($L243="",$J243=""),"",IF($J243&gt;0,ROUND($L243*Multa+$L243*Juros/30*$J243,2),0))</f>
        <v>0</v>
      </c>
      <c r="N243" s="22">
        <f>IF($L243="","",IF($L243&lt;=0.005,0,$L243+N($M243)))</f>
        <v>0</v>
      </c>
      <c r="O243" s="23">
        <f>IF(OR($I243="Vencido",$I243="Vencido (parcial)"),"Olá, "&amp;$A243&amp;"! Consta em aberto '"&amp;$B243&amp;"' com vencimento em "&amp;DAY($D243)&amp;"/"&amp;MONTH($D243)&amp;"/"&amp;YEAR($D243)&amp;", no valor de R$ "&amp;FIXED($N243,2)&amp;" (com multa e juros). Podemos ajudar a regularizar hoje? Obrigado!",IF($I243="Vence hoje","Olá, "&amp;$A243&amp;"! Lembrete: '"&amp;$B243&amp;"' vence hoje, no valor de R$ "&amp;FIXED($L243,2)&amp;". Obrigado!",""))</f>
        <v>0</v>
      </c>
    </row>
    <row r="244" spans="1:15">
      <c r="A244" s="13"/>
      <c r="B244" s="13"/>
      <c r="C244" s="17"/>
      <c r="D244" s="17"/>
      <c r="E244" s="18"/>
      <c r="F244" s="17"/>
      <c r="G244" s="18"/>
      <c r="H244" s="13"/>
      <c r="I244" s="19">
        <f>IF($E244="","",IF($L244&lt;=0.005,"Pago",IF($D244="","Sem vencimento",IF($D244&lt;Hoje,IF(N($G244)&gt;0,"Vencido (parcial)","Vencido"),IF($D244=Hoje,"Vence hoje","A vencer")))))</f>
        <v>0</v>
      </c>
      <c r="J244" s="20">
        <f>IF(OR($E244="",$D244=""),"",IF(AND($L244&gt;0.005,$D244&lt;Hoje),Hoje-$D244,0))</f>
        <v>0</v>
      </c>
      <c r="K244" s="20">
        <f>IF($J244="","",IF($L244&lt;=0.005,"Pago",IF($J244&lt;=0,"A vencer",IF($J244&lt;=15,"1-15 dias",IF($J244&lt;=30,"16-30 dias",IF($J244&lt;=60,"31-60 dias","Mais de 60 dias"))))))</f>
        <v>0</v>
      </c>
      <c r="L244" s="21">
        <f>IF($E244="","",MAX(0,$E244-N($G244)))</f>
        <v>0</v>
      </c>
      <c r="M244" s="21">
        <f>IF(OR($L244="",$J244=""),"",IF($J244&gt;0,ROUND($L244*Multa+$L244*Juros/30*$J244,2),0))</f>
        <v>0</v>
      </c>
      <c r="N244" s="22">
        <f>IF($L244="","",IF($L244&lt;=0.005,0,$L244+N($M244)))</f>
        <v>0</v>
      </c>
      <c r="O244" s="23">
        <f>IF(OR($I244="Vencido",$I244="Vencido (parcial)"),"Olá, "&amp;$A244&amp;"! Consta em aberto '"&amp;$B244&amp;"' com vencimento em "&amp;DAY($D244)&amp;"/"&amp;MONTH($D244)&amp;"/"&amp;YEAR($D244)&amp;", no valor de R$ "&amp;FIXED($N244,2)&amp;" (com multa e juros). Podemos ajudar a regularizar hoje? Obrigado!",IF($I244="Vence hoje","Olá, "&amp;$A244&amp;"! Lembrete: '"&amp;$B244&amp;"' vence hoje, no valor de R$ "&amp;FIXED($L244,2)&amp;". Obrigado!",""))</f>
        <v>0</v>
      </c>
    </row>
    <row r="245" spans="1:15">
      <c r="A245" s="13"/>
      <c r="B245" s="13"/>
      <c r="C245" s="17"/>
      <c r="D245" s="17"/>
      <c r="E245" s="18"/>
      <c r="F245" s="17"/>
      <c r="G245" s="18"/>
      <c r="H245" s="13"/>
      <c r="I245" s="19">
        <f>IF($E245="","",IF($L245&lt;=0.005,"Pago",IF($D245="","Sem vencimento",IF($D245&lt;Hoje,IF(N($G245)&gt;0,"Vencido (parcial)","Vencido"),IF($D245=Hoje,"Vence hoje","A vencer")))))</f>
        <v>0</v>
      </c>
      <c r="J245" s="20">
        <f>IF(OR($E245="",$D245=""),"",IF(AND($L245&gt;0.005,$D245&lt;Hoje),Hoje-$D245,0))</f>
        <v>0</v>
      </c>
      <c r="K245" s="20">
        <f>IF($J245="","",IF($L245&lt;=0.005,"Pago",IF($J245&lt;=0,"A vencer",IF($J245&lt;=15,"1-15 dias",IF($J245&lt;=30,"16-30 dias",IF($J245&lt;=60,"31-60 dias","Mais de 60 dias"))))))</f>
        <v>0</v>
      </c>
      <c r="L245" s="21">
        <f>IF($E245="","",MAX(0,$E245-N($G245)))</f>
        <v>0</v>
      </c>
      <c r="M245" s="21">
        <f>IF(OR($L245="",$J245=""),"",IF($J245&gt;0,ROUND($L245*Multa+$L245*Juros/30*$J245,2),0))</f>
        <v>0</v>
      </c>
      <c r="N245" s="22">
        <f>IF($L245="","",IF($L245&lt;=0.005,0,$L245+N($M245)))</f>
        <v>0</v>
      </c>
      <c r="O245" s="23">
        <f>IF(OR($I245="Vencido",$I245="Vencido (parcial)"),"Olá, "&amp;$A245&amp;"! Consta em aberto '"&amp;$B245&amp;"' com vencimento em "&amp;DAY($D245)&amp;"/"&amp;MONTH($D245)&amp;"/"&amp;YEAR($D245)&amp;", no valor de R$ "&amp;FIXED($N245,2)&amp;" (com multa e juros). Podemos ajudar a regularizar hoje? Obrigado!",IF($I245="Vence hoje","Olá, "&amp;$A245&amp;"! Lembrete: '"&amp;$B245&amp;"' vence hoje, no valor de R$ "&amp;FIXED($L245,2)&amp;". Obrigado!",""))</f>
        <v>0</v>
      </c>
    </row>
    <row r="246" spans="1:15">
      <c r="A246" s="13"/>
      <c r="B246" s="13"/>
      <c r="C246" s="17"/>
      <c r="D246" s="17"/>
      <c r="E246" s="18"/>
      <c r="F246" s="17"/>
      <c r="G246" s="18"/>
      <c r="H246" s="13"/>
      <c r="I246" s="19">
        <f>IF($E246="","",IF($L246&lt;=0.005,"Pago",IF($D246="","Sem vencimento",IF($D246&lt;Hoje,IF(N($G246)&gt;0,"Vencido (parcial)","Vencido"),IF($D246=Hoje,"Vence hoje","A vencer")))))</f>
        <v>0</v>
      </c>
      <c r="J246" s="20">
        <f>IF(OR($E246="",$D246=""),"",IF(AND($L246&gt;0.005,$D246&lt;Hoje),Hoje-$D246,0))</f>
        <v>0</v>
      </c>
      <c r="K246" s="20">
        <f>IF($J246="","",IF($L246&lt;=0.005,"Pago",IF($J246&lt;=0,"A vencer",IF($J246&lt;=15,"1-15 dias",IF($J246&lt;=30,"16-30 dias",IF($J246&lt;=60,"31-60 dias","Mais de 60 dias"))))))</f>
        <v>0</v>
      </c>
      <c r="L246" s="21">
        <f>IF($E246="","",MAX(0,$E246-N($G246)))</f>
        <v>0</v>
      </c>
      <c r="M246" s="21">
        <f>IF(OR($L246="",$J246=""),"",IF($J246&gt;0,ROUND($L246*Multa+$L246*Juros/30*$J246,2),0))</f>
        <v>0</v>
      </c>
      <c r="N246" s="22">
        <f>IF($L246="","",IF($L246&lt;=0.005,0,$L246+N($M246)))</f>
        <v>0</v>
      </c>
      <c r="O246" s="23">
        <f>IF(OR($I246="Vencido",$I246="Vencido (parcial)"),"Olá, "&amp;$A246&amp;"! Consta em aberto '"&amp;$B246&amp;"' com vencimento em "&amp;DAY($D246)&amp;"/"&amp;MONTH($D246)&amp;"/"&amp;YEAR($D246)&amp;", no valor de R$ "&amp;FIXED($N246,2)&amp;" (com multa e juros). Podemos ajudar a regularizar hoje? Obrigado!",IF($I246="Vence hoje","Olá, "&amp;$A246&amp;"! Lembrete: '"&amp;$B246&amp;"' vence hoje, no valor de R$ "&amp;FIXED($L246,2)&amp;". Obrigado!",""))</f>
        <v>0</v>
      </c>
    </row>
    <row r="247" spans="1:15">
      <c r="A247" s="13"/>
      <c r="B247" s="13"/>
      <c r="C247" s="17"/>
      <c r="D247" s="17"/>
      <c r="E247" s="18"/>
      <c r="F247" s="17"/>
      <c r="G247" s="18"/>
      <c r="H247" s="13"/>
      <c r="I247" s="19">
        <f>IF($E247="","",IF($L247&lt;=0.005,"Pago",IF($D247="","Sem vencimento",IF($D247&lt;Hoje,IF(N($G247)&gt;0,"Vencido (parcial)","Vencido"),IF($D247=Hoje,"Vence hoje","A vencer")))))</f>
        <v>0</v>
      </c>
      <c r="J247" s="20">
        <f>IF(OR($E247="",$D247=""),"",IF(AND($L247&gt;0.005,$D247&lt;Hoje),Hoje-$D247,0))</f>
        <v>0</v>
      </c>
      <c r="K247" s="20">
        <f>IF($J247="","",IF($L247&lt;=0.005,"Pago",IF($J247&lt;=0,"A vencer",IF($J247&lt;=15,"1-15 dias",IF($J247&lt;=30,"16-30 dias",IF($J247&lt;=60,"31-60 dias","Mais de 60 dias"))))))</f>
        <v>0</v>
      </c>
      <c r="L247" s="21">
        <f>IF($E247="","",MAX(0,$E247-N($G247)))</f>
        <v>0</v>
      </c>
      <c r="M247" s="21">
        <f>IF(OR($L247="",$J247=""),"",IF($J247&gt;0,ROUND($L247*Multa+$L247*Juros/30*$J247,2),0))</f>
        <v>0</v>
      </c>
      <c r="N247" s="22">
        <f>IF($L247="","",IF($L247&lt;=0.005,0,$L247+N($M247)))</f>
        <v>0</v>
      </c>
      <c r="O247" s="23">
        <f>IF(OR($I247="Vencido",$I247="Vencido (parcial)"),"Olá, "&amp;$A247&amp;"! Consta em aberto '"&amp;$B247&amp;"' com vencimento em "&amp;DAY($D247)&amp;"/"&amp;MONTH($D247)&amp;"/"&amp;YEAR($D247)&amp;", no valor de R$ "&amp;FIXED($N247,2)&amp;" (com multa e juros). Podemos ajudar a regularizar hoje? Obrigado!",IF($I247="Vence hoje","Olá, "&amp;$A247&amp;"! Lembrete: '"&amp;$B247&amp;"' vence hoje, no valor de R$ "&amp;FIXED($L247,2)&amp;". Obrigado!",""))</f>
        <v>0</v>
      </c>
    </row>
    <row r="248" spans="1:15">
      <c r="A248" s="13"/>
      <c r="B248" s="13"/>
      <c r="C248" s="17"/>
      <c r="D248" s="17"/>
      <c r="E248" s="18"/>
      <c r="F248" s="17"/>
      <c r="G248" s="18"/>
      <c r="H248" s="13"/>
      <c r="I248" s="19">
        <f>IF($E248="","",IF($L248&lt;=0.005,"Pago",IF($D248="","Sem vencimento",IF($D248&lt;Hoje,IF(N($G248)&gt;0,"Vencido (parcial)","Vencido"),IF($D248=Hoje,"Vence hoje","A vencer")))))</f>
        <v>0</v>
      </c>
      <c r="J248" s="20">
        <f>IF(OR($E248="",$D248=""),"",IF(AND($L248&gt;0.005,$D248&lt;Hoje),Hoje-$D248,0))</f>
        <v>0</v>
      </c>
      <c r="K248" s="20">
        <f>IF($J248="","",IF($L248&lt;=0.005,"Pago",IF($J248&lt;=0,"A vencer",IF($J248&lt;=15,"1-15 dias",IF($J248&lt;=30,"16-30 dias",IF($J248&lt;=60,"31-60 dias","Mais de 60 dias"))))))</f>
        <v>0</v>
      </c>
      <c r="L248" s="21">
        <f>IF($E248="","",MAX(0,$E248-N($G248)))</f>
        <v>0</v>
      </c>
      <c r="M248" s="21">
        <f>IF(OR($L248="",$J248=""),"",IF($J248&gt;0,ROUND($L248*Multa+$L248*Juros/30*$J248,2),0))</f>
        <v>0</v>
      </c>
      <c r="N248" s="22">
        <f>IF($L248="","",IF($L248&lt;=0.005,0,$L248+N($M248)))</f>
        <v>0</v>
      </c>
      <c r="O248" s="23">
        <f>IF(OR($I248="Vencido",$I248="Vencido (parcial)"),"Olá, "&amp;$A248&amp;"! Consta em aberto '"&amp;$B248&amp;"' com vencimento em "&amp;DAY($D248)&amp;"/"&amp;MONTH($D248)&amp;"/"&amp;YEAR($D248)&amp;", no valor de R$ "&amp;FIXED($N248,2)&amp;" (com multa e juros). Podemos ajudar a regularizar hoje? Obrigado!",IF($I248="Vence hoje","Olá, "&amp;$A248&amp;"! Lembrete: '"&amp;$B248&amp;"' vence hoje, no valor de R$ "&amp;FIXED($L248,2)&amp;". Obrigado!",""))</f>
        <v>0</v>
      </c>
    </row>
    <row r="249" spans="1:15">
      <c r="A249" s="13"/>
      <c r="B249" s="13"/>
      <c r="C249" s="17"/>
      <c r="D249" s="17"/>
      <c r="E249" s="18"/>
      <c r="F249" s="17"/>
      <c r="G249" s="18"/>
      <c r="H249" s="13"/>
      <c r="I249" s="19">
        <f>IF($E249="","",IF($L249&lt;=0.005,"Pago",IF($D249="","Sem vencimento",IF($D249&lt;Hoje,IF(N($G249)&gt;0,"Vencido (parcial)","Vencido"),IF($D249=Hoje,"Vence hoje","A vencer")))))</f>
        <v>0</v>
      </c>
      <c r="J249" s="20">
        <f>IF(OR($E249="",$D249=""),"",IF(AND($L249&gt;0.005,$D249&lt;Hoje),Hoje-$D249,0))</f>
        <v>0</v>
      </c>
      <c r="K249" s="20">
        <f>IF($J249="","",IF($L249&lt;=0.005,"Pago",IF($J249&lt;=0,"A vencer",IF($J249&lt;=15,"1-15 dias",IF($J249&lt;=30,"16-30 dias",IF($J249&lt;=60,"31-60 dias","Mais de 60 dias"))))))</f>
        <v>0</v>
      </c>
      <c r="L249" s="21">
        <f>IF($E249="","",MAX(0,$E249-N($G249)))</f>
        <v>0</v>
      </c>
      <c r="M249" s="21">
        <f>IF(OR($L249="",$J249=""),"",IF($J249&gt;0,ROUND($L249*Multa+$L249*Juros/30*$J249,2),0))</f>
        <v>0</v>
      </c>
      <c r="N249" s="22">
        <f>IF($L249="","",IF($L249&lt;=0.005,0,$L249+N($M249)))</f>
        <v>0</v>
      </c>
      <c r="O249" s="23">
        <f>IF(OR($I249="Vencido",$I249="Vencido (parcial)"),"Olá, "&amp;$A249&amp;"! Consta em aberto '"&amp;$B249&amp;"' com vencimento em "&amp;DAY($D249)&amp;"/"&amp;MONTH($D249)&amp;"/"&amp;YEAR($D249)&amp;", no valor de R$ "&amp;FIXED($N249,2)&amp;" (com multa e juros). Podemos ajudar a regularizar hoje? Obrigado!",IF($I249="Vence hoje","Olá, "&amp;$A249&amp;"! Lembrete: '"&amp;$B249&amp;"' vence hoje, no valor de R$ "&amp;FIXED($L249,2)&amp;". Obrigado!",""))</f>
        <v>0</v>
      </c>
    </row>
    <row r="250" spans="1:15">
      <c r="A250" s="13"/>
      <c r="B250" s="13"/>
      <c r="C250" s="17"/>
      <c r="D250" s="17"/>
      <c r="E250" s="18"/>
      <c r="F250" s="17"/>
      <c r="G250" s="18"/>
      <c r="H250" s="13"/>
      <c r="I250" s="19">
        <f>IF($E250="","",IF($L250&lt;=0.005,"Pago",IF($D250="","Sem vencimento",IF($D250&lt;Hoje,IF(N($G250)&gt;0,"Vencido (parcial)","Vencido"),IF($D250=Hoje,"Vence hoje","A vencer")))))</f>
        <v>0</v>
      </c>
      <c r="J250" s="20">
        <f>IF(OR($E250="",$D250=""),"",IF(AND($L250&gt;0.005,$D250&lt;Hoje),Hoje-$D250,0))</f>
        <v>0</v>
      </c>
      <c r="K250" s="20">
        <f>IF($J250="","",IF($L250&lt;=0.005,"Pago",IF($J250&lt;=0,"A vencer",IF($J250&lt;=15,"1-15 dias",IF($J250&lt;=30,"16-30 dias",IF($J250&lt;=60,"31-60 dias","Mais de 60 dias"))))))</f>
        <v>0</v>
      </c>
      <c r="L250" s="21">
        <f>IF($E250="","",MAX(0,$E250-N($G250)))</f>
        <v>0</v>
      </c>
      <c r="M250" s="21">
        <f>IF(OR($L250="",$J250=""),"",IF($J250&gt;0,ROUND($L250*Multa+$L250*Juros/30*$J250,2),0))</f>
        <v>0</v>
      </c>
      <c r="N250" s="22">
        <f>IF($L250="","",IF($L250&lt;=0.005,0,$L250+N($M250)))</f>
        <v>0</v>
      </c>
      <c r="O250" s="23">
        <f>IF(OR($I250="Vencido",$I250="Vencido (parcial)"),"Olá, "&amp;$A250&amp;"! Consta em aberto '"&amp;$B250&amp;"' com vencimento em "&amp;DAY($D250)&amp;"/"&amp;MONTH($D250)&amp;"/"&amp;YEAR($D250)&amp;", no valor de R$ "&amp;FIXED($N250,2)&amp;" (com multa e juros). Podemos ajudar a regularizar hoje? Obrigado!",IF($I250="Vence hoje","Olá, "&amp;$A250&amp;"! Lembrete: '"&amp;$B250&amp;"' vence hoje, no valor de R$ "&amp;FIXED($L250,2)&amp;". Obrigado!",""))</f>
        <v>0</v>
      </c>
    </row>
    <row r="251" spans="1:15">
      <c r="A251" s="13"/>
      <c r="B251" s="13"/>
      <c r="C251" s="17"/>
      <c r="D251" s="17"/>
      <c r="E251" s="18"/>
      <c r="F251" s="17"/>
      <c r="G251" s="18"/>
      <c r="H251" s="13"/>
      <c r="I251" s="19">
        <f>IF($E251="","",IF($L251&lt;=0.005,"Pago",IF($D251="","Sem vencimento",IF($D251&lt;Hoje,IF(N($G251)&gt;0,"Vencido (parcial)","Vencido"),IF($D251=Hoje,"Vence hoje","A vencer")))))</f>
        <v>0</v>
      </c>
      <c r="J251" s="20">
        <f>IF(OR($E251="",$D251=""),"",IF(AND($L251&gt;0.005,$D251&lt;Hoje),Hoje-$D251,0))</f>
        <v>0</v>
      </c>
      <c r="K251" s="20">
        <f>IF($J251="","",IF($L251&lt;=0.005,"Pago",IF($J251&lt;=0,"A vencer",IF($J251&lt;=15,"1-15 dias",IF($J251&lt;=30,"16-30 dias",IF($J251&lt;=60,"31-60 dias","Mais de 60 dias"))))))</f>
        <v>0</v>
      </c>
      <c r="L251" s="21">
        <f>IF($E251="","",MAX(0,$E251-N($G251)))</f>
        <v>0</v>
      </c>
      <c r="M251" s="21">
        <f>IF(OR($L251="",$J251=""),"",IF($J251&gt;0,ROUND($L251*Multa+$L251*Juros/30*$J251,2),0))</f>
        <v>0</v>
      </c>
      <c r="N251" s="22">
        <f>IF($L251="","",IF($L251&lt;=0.005,0,$L251+N($M251)))</f>
        <v>0</v>
      </c>
      <c r="O251" s="23">
        <f>IF(OR($I251="Vencido",$I251="Vencido (parcial)"),"Olá, "&amp;$A251&amp;"! Consta em aberto '"&amp;$B251&amp;"' com vencimento em "&amp;DAY($D251)&amp;"/"&amp;MONTH($D251)&amp;"/"&amp;YEAR($D251)&amp;", no valor de R$ "&amp;FIXED($N251,2)&amp;" (com multa e juros). Podemos ajudar a regularizar hoje? Obrigado!",IF($I251="Vence hoje","Olá, "&amp;$A251&amp;"! Lembrete: '"&amp;$B251&amp;"' vence hoje, no valor de R$ "&amp;FIXED($L251,2)&amp;". Obrigado!",""))</f>
        <v>0</v>
      </c>
    </row>
    <row r="252" spans="1:15">
      <c r="A252" s="13"/>
      <c r="B252" s="13"/>
      <c r="C252" s="17"/>
      <c r="D252" s="17"/>
      <c r="E252" s="18"/>
      <c r="F252" s="17"/>
      <c r="G252" s="18"/>
      <c r="H252" s="13"/>
      <c r="I252" s="19">
        <f>IF($E252="","",IF($L252&lt;=0.005,"Pago",IF($D252="","Sem vencimento",IF($D252&lt;Hoje,IF(N($G252)&gt;0,"Vencido (parcial)","Vencido"),IF($D252=Hoje,"Vence hoje","A vencer")))))</f>
        <v>0</v>
      </c>
      <c r="J252" s="20">
        <f>IF(OR($E252="",$D252=""),"",IF(AND($L252&gt;0.005,$D252&lt;Hoje),Hoje-$D252,0))</f>
        <v>0</v>
      </c>
      <c r="K252" s="20">
        <f>IF($J252="","",IF($L252&lt;=0.005,"Pago",IF($J252&lt;=0,"A vencer",IF($J252&lt;=15,"1-15 dias",IF($J252&lt;=30,"16-30 dias",IF($J252&lt;=60,"31-60 dias","Mais de 60 dias"))))))</f>
        <v>0</v>
      </c>
      <c r="L252" s="21">
        <f>IF($E252="","",MAX(0,$E252-N($G252)))</f>
        <v>0</v>
      </c>
      <c r="M252" s="21">
        <f>IF(OR($L252="",$J252=""),"",IF($J252&gt;0,ROUND($L252*Multa+$L252*Juros/30*$J252,2),0))</f>
        <v>0</v>
      </c>
      <c r="N252" s="22">
        <f>IF($L252="","",IF($L252&lt;=0.005,0,$L252+N($M252)))</f>
        <v>0</v>
      </c>
      <c r="O252" s="23">
        <f>IF(OR($I252="Vencido",$I252="Vencido (parcial)"),"Olá, "&amp;$A252&amp;"! Consta em aberto '"&amp;$B252&amp;"' com vencimento em "&amp;DAY($D252)&amp;"/"&amp;MONTH($D252)&amp;"/"&amp;YEAR($D252)&amp;", no valor de R$ "&amp;FIXED($N252,2)&amp;" (com multa e juros). Podemos ajudar a regularizar hoje? Obrigado!",IF($I252="Vence hoje","Olá, "&amp;$A252&amp;"! Lembrete: '"&amp;$B252&amp;"' vence hoje, no valor de R$ "&amp;FIXED($L252,2)&amp;". Obrigado!",""))</f>
        <v>0</v>
      </c>
    </row>
    <row r="253" spans="1:15">
      <c r="A253" s="13"/>
      <c r="B253" s="13"/>
      <c r="C253" s="17"/>
      <c r="D253" s="17"/>
      <c r="E253" s="18"/>
      <c r="F253" s="17"/>
      <c r="G253" s="18"/>
      <c r="H253" s="13"/>
      <c r="I253" s="19">
        <f>IF($E253="","",IF($L253&lt;=0.005,"Pago",IF($D253="","Sem vencimento",IF($D253&lt;Hoje,IF(N($G253)&gt;0,"Vencido (parcial)","Vencido"),IF($D253=Hoje,"Vence hoje","A vencer")))))</f>
        <v>0</v>
      </c>
      <c r="J253" s="20">
        <f>IF(OR($E253="",$D253=""),"",IF(AND($L253&gt;0.005,$D253&lt;Hoje),Hoje-$D253,0))</f>
        <v>0</v>
      </c>
      <c r="K253" s="20">
        <f>IF($J253="","",IF($L253&lt;=0.005,"Pago",IF($J253&lt;=0,"A vencer",IF($J253&lt;=15,"1-15 dias",IF($J253&lt;=30,"16-30 dias",IF($J253&lt;=60,"31-60 dias","Mais de 60 dias"))))))</f>
        <v>0</v>
      </c>
      <c r="L253" s="21">
        <f>IF($E253="","",MAX(0,$E253-N($G253)))</f>
        <v>0</v>
      </c>
      <c r="M253" s="21">
        <f>IF(OR($L253="",$J253=""),"",IF($J253&gt;0,ROUND($L253*Multa+$L253*Juros/30*$J253,2),0))</f>
        <v>0</v>
      </c>
      <c r="N253" s="22">
        <f>IF($L253="","",IF($L253&lt;=0.005,0,$L253+N($M253)))</f>
        <v>0</v>
      </c>
      <c r="O253" s="23">
        <f>IF(OR($I253="Vencido",$I253="Vencido (parcial)"),"Olá, "&amp;$A253&amp;"! Consta em aberto '"&amp;$B253&amp;"' com vencimento em "&amp;DAY($D253)&amp;"/"&amp;MONTH($D253)&amp;"/"&amp;YEAR($D253)&amp;", no valor de R$ "&amp;FIXED($N253,2)&amp;" (com multa e juros). Podemos ajudar a regularizar hoje? Obrigado!",IF($I253="Vence hoje","Olá, "&amp;$A253&amp;"! Lembrete: '"&amp;$B253&amp;"' vence hoje, no valor de R$ "&amp;FIXED($L253,2)&amp;". Obrigado!",""))</f>
        <v>0</v>
      </c>
    </row>
    <row r="254" spans="1:15">
      <c r="A254" s="13"/>
      <c r="B254" s="13"/>
      <c r="C254" s="17"/>
      <c r="D254" s="17"/>
      <c r="E254" s="18"/>
      <c r="F254" s="17"/>
      <c r="G254" s="18"/>
      <c r="H254" s="13"/>
      <c r="I254" s="19">
        <f>IF($E254="","",IF($L254&lt;=0.005,"Pago",IF($D254="","Sem vencimento",IF($D254&lt;Hoje,IF(N($G254)&gt;0,"Vencido (parcial)","Vencido"),IF($D254=Hoje,"Vence hoje","A vencer")))))</f>
        <v>0</v>
      </c>
      <c r="J254" s="20">
        <f>IF(OR($E254="",$D254=""),"",IF(AND($L254&gt;0.005,$D254&lt;Hoje),Hoje-$D254,0))</f>
        <v>0</v>
      </c>
      <c r="K254" s="20">
        <f>IF($J254="","",IF($L254&lt;=0.005,"Pago",IF($J254&lt;=0,"A vencer",IF($J254&lt;=15,"1-15 dias",IF($J254&lt;=30,"16-30 dias",IF($J254&lt;=60,"31-60 dias","Mais de 60 dias"))))))</f>
        <v>0</v>
      </c>
      <c r="L254" s="21">
        <f>IF($E254="","",MAX(0,$E254-N($G254)))</f>
        <v>0</v>
      </c>
      <c r="M254" s="21">
        <f>IF(OR($L254="",$J254=""),"",IF($J254&gt;0,ROUND($L254*Multa+$L254*Juros/30*$J254,2),0))</f>
        <v>0</v>
      </c>
      <c r="N254" s="22">
        <f>IF($L254="","",IF($L254&lt;=0.005,0,$L254+N($M254)))</f>
        <v>0</v>
      </c>
      <c r="O254" s="23">
        <f>IF(OR($I254="Vencido",$I254="Vencido (parcial)"),"Olá, "&amp;$A254&amp;"! Consta em aberto '"&amp;$B254&amp;"' com vencimento em "&amp;DAY($D254)&amp;"/"&amp;MONTH($D254)&amp;"/"&amp;YEAR($D254)&amp;", no valor de R$ "&amp;FIXED($N254,2)&amp;" (com multa e juros). Podemos ajudar a regularizar hoje? Obrigado!",IF($I254="Vence hoje","Olá, "&amp;$A254&amp;"! Lembrete: '"&amp;$B254&amp;"' vence hoje, no valor de R$ "&amp;FIXED($L254,2)&amp;". Obrigado!",""))</f>
        <v>0</v>
      </c>
    </row>
    <row r="255" spans="1:15">
      <c r="A255" s="13"/>
      <c r="B255" s="13"/>
      <c r="C255" s="17"/>
      <c r="D255" s="17"/>
      <c r="E255" s="18"/>
      <c r="F255" s="17"/>
      <c r="G255" s="18"/>
      <c r="H255" s="13"/>
      <c r="I255" s="19">
        <f>IF($E255="","",IF($L255&lt;=0.005,"Pago",IF($D255="","Sem vencimento",IF($D255&lt;Hoje,IF(N($G255)&gt;0,"Vencido (parcial)","Vencido"),IF($D255=Hoje,"Vence hoje","A vencer")))))</f>
        <v>0</v>
      </c>
      <c r="J255" s="20">
        <f>IF(OR($E255="",$D255=""),"",IF(AND($L255&gt;0.005,$D255&lt;Hoje),Hoje-$D255,0))</f>
        <v>0</v>
      </c>
      <c r="K255" s="20">
        <f>IF($J255="","",IF($L255&lt;=0.005,"Pago",IF($J255&lt;=0,"A vencer",IF($J255&lt;=15,"1-15 dias",IF($J255&lt;=30,"16-30 dias",IF($J255&lt;=60,"31-60 dias","Mais de 60 dias"))))))</f>
        <v>0</v>
      </c>
      <c r="L255" s="21">
        <f>IF($E255="","",MAX(0,$E255-N($G255)))</f>
        <v>0</v>
      </c>
      <c r="M255" s="21">
        <f>IF(OR($L255="",$J255=""),"",IF($J255&gt;0,ROUND($L255*Multa+$L255*Juros/30*$J255,2),0))</f>
        <v>0</v>
      </c>
      <c r="N255" s="22">
        <f>IF($L255="","",IF($L255&lt;=0.005,0,$L255+N($M255)))</f>
        <v>0</v>
      </c>
      <c r="O255" s="23">
        <f>IF(OR($I255="Vencido",$I255="Vencido (parcial)"),"Olá, "&amp;$A255&amp;"! Consta em aberto '"&amp;$B255&amp;"' com vencimento em "&amp;DAY($D255)&amp;"/"&amp;MONTH($D255)&amp;"/"&amp;YEAR($D255)&amp;", no valor de R$ "&amp;FIXED($N255,2)&amp;" (com multa e juros). Podemos ajudar a regularizar hoje? Obrigado!",IF($I255="Vence hoje","Olá, "&amp;$A255&amp;"! Lembrete: '"&amp;$B255&amp;"' vence hoje, no valor de R$ "&amp;FIXED($L255,2)&amp;". Obrigado!",""))</f>
        <v>0</v>
      </c>
    </row>
    <row r="256" spans="1:15">
      <c r="A256" s="13"/>
      <c r="B256" s="13"/>
      <c r="C256" s="17"/>
      <c r="D256" s="17"/>
      <c r="E256" s="18"/>
      <c r="F256" s="17"/>
      <c r="G256" s="18"/>
      <c r="H256" s="13"/>
      <c r="I256" s="19">
        <f>IF($E256="","",IF($L256&lt;=0.005,"Pago",IF($D256="","Sem vencimento",IF($D256&lt;Hoje,IF(N($G256)&gt;0,"Vencido (parcial)","Vencido"),IF($D256=Hoje,"Vence hoje","A vencer")))))</f>
        <v>0</v>
      </c>
      <c r="J256" s="20">
        <f>IF(OR($E256="",$D256=""),"",IF(AND($L256&gt;0.005,$D256&lt;Hoje),Hoje-$D256,0))</f>
        <v>0</v>
      </c>
      <c r="K256" s="20">
        <f>IF($J256="","",IF($L256&lt;=0.005,"Pago",IF($J256&lt;=0,"A vencer",IF($J256&lt;=15,"1-15 dias",IF($J256&lt;=30,"16-30 dias",IF($J256&lt;=60,"31-60 dias","Mais de 60 dias"))))))</f>
        <v>0</v>
      </c>
      <c r="L256" s="21">
        <f>IF($E256="","",MAX(0,$E256-N($G256)))</f>
        <v>0</v>
      </c>
      <c r="M256" s="21">
        <f>IF(OR($L256="",$J256=""),"",IF($J256&gt;0,ROUND($L256*Multa+$L256*Juros/30*$J256,2),0))</f>
        <v>0</v>
      </c>
      <c r="N256" s="22">
        <f>IF($L256="","",IF($L256&lt;=0.005,0,$L256+N($M256)))</f>
        <v>0</v>
      </c>
      <c r="O256" s="23">
        <f>IF(OR($I256="Vencido",$I256="Vencido (parcial)"),"Olá, "&amp;$A256&amp;"! Consta em aberto '"&amp;$B256&amp;"' com vencimento em "&amp;DAY($D256)&amp;"/"&amp;MONTH($D256)&amp;"/"&amp;YEAR($D256)&amp;", no valor de R$ "&amp;FIXED($N256,2)&amp;" (com multa e juros). Podemos ajudar a regularizar hoje? Obrigado!",IF($I256="Vence hoje","Olá, "&amp;$A256&amp;"! Lembrete: '"&amp;$B256&amp;"' vence hoje, no valor de R$ "&amp;FIXED($L256,2)&amp;". Obrigado!",""))</f>
        <v>0</v>
      </c>
    </row>
    <row r="257" spans="1:15">
      <c r="A257" s="13"/>
      <c r="B257" s="13"/>
      <c r="C257" s="17"/>
      <c r="D257" s="17"/>
      <c r="E257" s="18"/>
      <c r="F257" s="17"/>
      <c r="G257" s="18"/>
      <c r="H257" s="13"/>
      <c r="I257" s="19">
        <f>IF($E257="","",IF($L257&lt;=0.005,"Pago",IF($D257="","Sem vencimento",IF($D257&lt;Hoje,IF(N($G257)&gt;0,"Vencido (parcial)","Vencido"),IF($D257=Hoje,"Vence hoje","A vencer")))))</f>
        <v>0</v>
      </c>
      <c r="J257" s="20">
        <f>IF(OR($E257="",$D257=""),"",IF(AND($L257&gt;0.005,$D257&lt;Hoje),Hoje-$D257,0))</f>
        <v>0</v>
      </c>
      <c r="K257" s="20">
        <f>IF($J257="","",IF($L257&lt;=0.005,"Pago",IF($J257&lt;=0,"A vencer",IF($J257&lt;=15,"1-15 dias",IF($J257&lt;=30,"16-30 dias",IF($J257&lt;=60,"31-60 dias","Mais de 60 dias"))))))</f>
        <v>0</v>
      </c>
      <c r="L257" s="21">
        <f>IF($E257="","",MAX(0,$E257-N($G257)))</f>
        <v>0</v>
      </c>
      <c r="M257" s="21">
        <f>IF(OR($L257="",$J257=""),"",IF($J257&gt;0,ROUND($L257*Multa+$L257*Juros/30*$J257,2),0))</f>
        <v>0</v>
      </c>
      <c r="N257" s="22">
        <f>IF($L257="","",IF($L257&lt;=0.005,0,$L257+N($M257)))</f>
        <v>0</v>
      </c>
      <c r="O257" s="23">
        <f>IF(OR($I257="Vencido",$I257="Vencido (parcial)"),"Olá, "&amp;$A257&amp;"! Consta em aberto '"&amp;$B257&amp;"' com vencimento em "&amp;DAY($D257)&amp;"/"&amp;MONTH($D257)&amp;"/"&amp;YEAR($D257)&amp;", no valor de R$ "&amp;FIXED($N257,2)&amp;" (com multa e juros). Podemos ajudar a regularizar hoje? Obrigado!",IF($I257="Vence hoje","Olá, "&amp;$A257&amp;"! Lembrete: '"&amp;$B257&amp;"' vence hoje, no valor de R$ "&amp;FIXED($L257,2)&amp;". Obrigado!",""))</f>
        <v>0</v>
      </c>
    </row>
    <row r="258" spans="1:15">
      <c r="A258" s="13"/>
      <c r="B258" s="13"/>
      <c r="C258" s="17"/>
      <c r="D258" s="17"/>
      <c r="E258" s="18"/>
      <c r="F258" s="17"/>
      <c r="G258" s="18"/>
      <c r="H258" s="13"/>
      <c r="I258" s="19">
        <f>IF($E258="","",IF($L258&lt;=0.005,"Pago",IF($D258="","Sem vencimento",IF($D258&lt;Hoje,IF(N($G258)&gt;0,"Vencido (parcial)","Vencido"),IF($D258=Hoje,"Vence hoje","A vencer")))))</f>
        <v>0</v>
      </c>
      <c r="J258" s="20">
        <f>IF(OR($E258="",$D258=""),"",IF(AND($L258&gt;0.005,$D258&lt;Hoje),Hoje-$D258,0))</f>
        <v>0</v>
      </c>
      <c r="K258" s="20">
        <f>IF($J258="","",IF($L258&lt;=0.005,"Pago",IF($J258&lt;=0,"A vencer",IF($J258&lt;=15,"1-15 dias",IF($J258&lt;=30,"16-30 dias",IF($J258&lt;=60,"31-60 dias","Mais de 60 dias"))))))</f>
        <v>0</v>
      </c>
      <c r="L258" s="21">
        <f>IF($E258="","",MAX(0,$E258-N($G258)))</f>
        <v>0</v>
      </c>
      <c r="M258" s="21">
        <f>IF(OR($L258="",$J258=""),"",IF($J258&gt;0,ROUND($L258*Multa+$L258*Juros/30*$J258,2),0))</f>
        <v>0</v>
      </c>
      <c r="N258" s="22">
        <f>IF($L258="","",IF($L258&lt;=0.005,0,$L258+N($M258)))</f>
        <v>0</v>
      </c>
      <c r="O258" s="23">
        <f>IF(OR($I258="Vencido",$I258="Vencido (parcial)"),"Olá, "&amp;$A258&amp;"! Consta em aberto '"&amp;$B258&amp;"' com vencimento em "&amp;DAY($D258)&amp;"/"&amp;MONTH($D258)&amp;"/"&amp;YEAR($D258)&amp;", no valor de R$ "&amp;FIXED($N258,2)&amp;" (com multa e juros). Podemos ajudar a regularizar hoje? Obrigado!",IF($I258="Vence hoje","Olá, "&amp;$A258&amp;"! Lembrete: '"&amp;$B258&amp;"' vence hoje, no valor de R$ "&amp;FIXED($L258,2)&amp;". Obrigado!",""))</f>
        <v>0</v>
      </c>
    </row>
    <row r="259" spans="1:15">
      <c r="A259" s="13"/>
      <c r="B259" s="13"/>
      <c r="C259" s="17"/>
      <c r="D259" s="17"/>
      <c r="E259" s="18"/>
      <c r="F259" s="17"/>
      <c r="G259" s="18"/>
      <c r="H259" s="13"/>
      <c r="I259" s="19">
        <f>IF($E259="","",IF($L259&lt;=0.005,"Pago",IF($D259="","Sem vencimento",IF($D259&lt;Hoje,IF(N($G259)&gt;0,"Vencido (parcial)","Vencido"),IF($D259=Hoje,"Vence hoje","A vencer")))))</f>
        <v>0</v>
      </c>
      <c r="J259" s="20">
        <f>IF(OR($E259="",$D259=""),"",IF(AND($L259&gt;0.005,$D259&lt;Hoje),Hoje-$D259,0))</f>
        <v>0</v>
      </c>
      <c r="K259" s="20">
        <f>IF($J259="","",IF($L259&lt;=0.005,"Pago",IF($J259&lt;=0,"A vencer",IF($J259&lt;=15,"1-15 dias",IF($J259&lt;=30,"16-30 dias",IF($J259&lt;=60,"31-60 dias","Mais de 60 dias"))))))</f>
        <v>0</v>
      </c>
      <c r="L259" s="21">
        <f>IF($E259="","",MAX(0,$E259-N($G259)))</f>
        <v>0</v>
      </c>
      <c r="M259" s="21">
        <f>IF(OR($L259="",$J259=""),"",IF($J259&gt;0,ROUND($L259*Multa+$L259*Juros/30*$J259,2),0))</f>
        <v>0</v>
      </c>
      <c r="N259" s="22">
        <f>IF($L259="","",IF($L259&lt;=0.005,0,$L259+N($M259)))</f>
        <v>0</v>
      </c>
      <c r="O259" s="23">
        <f>IF(OR($I259="Vencido",$I259="Vencido (parcial)"),"Olá, "&amp;$A259&amp;"! Consta em aberto '"&amp;$B259&amp;"' com vencimento em "&amp;DAY($D259)&amp;"/"&amp;MONTH($D259)&amp;"/"&amp;YEAR($D259)&amp;", no valor de R$ "&amp;FIXED($N259,2)&amp;" (com multa e juros). Podemos ajudar a regularizar hoje? Obrigado!",IF($I259="Vence hoje","Olá, "&amp;$A259&amp;"! Lembrete: '"&amp;$B259&amp;"' vence hoje, no valor de R$ "&amp;FIXED($L259,2)&amp;". Obrigado!",""))</f>
        <v>0</v>
      </c>
    </row>
    <row r="260" spans="1:15">
      <c r="A260" s="13"/>
      <c r="B260" s="13"/>
      <c r="C260" s="17"/>
      <c r="D260" s="17"/>
      <c r="E260" s="18"/>
      <c r="F260" s="17"/>
      <c r="G260" s="18"/>
      <c r="H260" s="13"/>
      <c r="I260" s="19">
        <f>IF($E260="","",IF($L260&lt;=0.005,"Pago",IF($D260="","Sem vencimento",IF($D260&lt;Hoje,IF(N($G260)&gt;0,"Vencido (parcial)","Vencido"),IF($D260=Hoje,"Vence hoje","A vencer")))))</f>
        <v>0</v>
      </c>
      <c r="J260" s="20">
        <f>IF(OR($E260="",$D260=""),"",IF(AND($L260&gt;0.005,$D260&lt;Hoje),Hoje-$D260,0))</f>
        <v>0</v>
      </c>
      <c r="K260" s="20">
        <f>IF($J260="","",IF($L260&lt;=0.005,"Pago",IF($J260&lt;=0,"A vencer",IF($J260&lt;=15,"1-15 dias",IF($J260&lt;=30,"16-30 dias",IF($J260&lt;=60,"31-60 dias","Mais de 60 dias"))))))</f>
        <v>0</v>
      </c>
      <c r="L260" s="21">
        <f>IF($E260="","",MAX(0,$E260-N($G260)))</f>
        <v>0</v>
      </c>
      <c r="M260" s="21">
        <f>IF(OR($L260="",$J260=""),"",IF($J260&gt;0,ROUND($L260*Multa+$L260*Juros/30*$J260,2),0))</f>
        <v>0</v>
      </c>
      <c r="N260" s="22">
        <f>IF($L260="","",IF($L260&lt;=0.005,0,$L260+N($M260)))</f>
        <v>0</v>
      </c>
      <c r="O260" s="23">
        <f>IF(OR($I260="Vencido",$I260="Vencido (parcial)"),"Olá, "&amp;$A260&amp;"! Consta em aberto '"&amp;$B260&amp;"' com vencimento em "&amp;DAY($D260)&amp;"/"&amp;MONTH($D260)&amp;"/"&amp;YEAR($D260)&amp;", no valor de R$ "&amp;FIXED($N260,2)&amp;" (com multa e juros). Podemos ajudar a regularizar hoje? Obrigado!",IF($I260="Vence hoje","Olá, "&amp;$A260&amp;"! Lembrete: '"&amp;$B260&amp;"' vence hoje, no valor de R$ "&amp;FIXED($L260,2)&amp;". Obrigado!",""))</f>
        <v>0</v>
      </c>
    </row>
    <row r="261" spans="1:15">
      <c r="A261" s="13"/>
      <c r="B261" s="13"/>
      <c r="C261" s="17"/>
      <c r="D261" s="17"/>
      <c r="E261" s="18"/>
      <c r="F261" s="17"/>
      <c r="G261" s="18"/>
      <c r="H261" s="13"/>
      <c r="I261" s="19">
        <f>IF($E261="","",IF($L261&lt;=0.005,"Pago",IF($D261="","Sem vencimento",IF($D261&lt;Hoje,IF(N($G261)&gt;0,"Vencido (parcial)","Vencido"),IF($D261=Hoje,"Vence hoje","A vencer")))))</f>
        <v>0</v>
      </c>
      <c r="J261" s="20">
        <f>IF(OR($E261="",$D261=""),"",IF(AND($L261&gt;0.005,$D261&lt;Hoje),Hoje-$D261,0))</f>
        <v>0</v>
      </c>
      <c r="K261" s="20">
        <f>IF($J261="","",IF($L261&lt;=0.005,"Pago",IF($J261&lt;=0,"A vencer",IF($J261&lt;=15,"1-15 dias",IF($J261&lt;=30,"16-30 dias",IF($J261&lt;=60,"31-60 dias","Mais de 60 dias"))))))</f>
        <v>0</v>
      </c>
      <c r="L261" s="21">
        <f>IF($E261="","",MAX(0,$E261-N($G261)))</f>
        <v>0</v>
      </c>
      <c r="M261" s="21">
        <f>IF(OR($L261="",$J261=""),"",IF($J261&gt;0,ROUND($L261*Multa+$L261*Juros/30*$J261,2),0))</f>
        <v>0</v>
      </c>
      <c r="N261" s="22">
        <f>IF($L261="","",IF($L261&lt;=0.005,0,$L261+N($M261)))</f>
        <v>0</v>
      </c>
      <c r="O261" s="23">
        <f>IF(OR($I261="Vencido",$I261="Vencido (parcial)"),"Olá, "&amp;$A261&amp;"! Consta em aberto '"&amp;$B261&amp;"' com vencimento em "&amp;DAY($D261)&amp;"/"&amp;MONTH($D261)&amp;"/"&amp;YEAR($D261)&amp;", no valor de R$ "&amp;FIXED($N261,2)&amp;" (com multa e juros). Podemos ajudar a regularizar hoje? Obrigado!",IF($I261="Vence hoje","Olá, "&amp;$A261&amp;"! Lembrete: '"&amp;$B261&amp;"' vence hoje, no valor de R$ "&amp;FIXED($L261,2)&amp;". Obrigado!",""))</f>
        <v>0</v>
      </c>
    </row>
    <row r="262" spans="1:15">
      <c r="A262" s="13"/>
      <c r="B262" s="13"/>
      <c r="C262" s="17"/>
      <c r="D262" s="17"/>
      <c r="E262" s="18"/>
      <c r="F262" s="17"/>
      <c r="G262" s="18"/>
      <c r="H262" s="13"/>
      <c r="I262" s="19">
        <f>IF($E262="","",IF($L262&lt;=0.005,"Pago",IF($D262="","Sem vencimento",IF($D262&lt;Hoje,IF(N($G262)&gt;0,"Vencido (parcial)","Vencido"),IF($D262=Hoje,"Vence hoje","A vencer")))))</f>
        <v>0</v>
      </c>
      <c r="J262" s="20">
        <f>IF(OR($E262="",$D262=""),"",IF(AND($L262&gt;0.005,$D262&lt;Hoje),Hoje-$D262,0))</f>
        <v>0</v>
      </c>
      <c r="K262" s="20">
        <f>IF($J262="","",IF($L262&lt;=0.005,"Pago",IF($J262&lt;=0,"A vencer",IF($J262&lt;=15,"1-15 dias",IF($J262&lt;=30,"16-30 dias",IF($J262&lt;=60,"31-60 dias","Mais de 60 dias"))))))</f>
        <v>0</v>
      </c>
      <c r="L262" s="21">
        <f>IF($E262="","",MAX(0,$E262-N($G262)))</f>
        <v>0</v>
      </c>
      <c r="M262" s="21">
        <f>IF(OR($L262="",$J262=""),"",IF($J262&gt;0,ROUND($L262*Multa+$L262*Juros/30*$J262,2),0))</f>
        <v>0</v>
      </c>
      <c r="N262" s="22">
        <f>IF($L262="","",IF($L262&lt;=0.005,0,$L262+N($M262)))</f>
        <v>0</v>
      </c>
      <c r="O262" s="23">
        <f>IF(OR($I262="Vencido",$I262="Vencido (parcial)"),"Olá, "&amp;$A262&amp;"! Consta em aberto '"&amp;$B262&amp;"' com vencimento em "&amp;DAY($D262)&amp;"/"&amp;MONTH($D262)&amp;"/"&amp;YEAR($D262)&amp;", no valor de R$ "&amp;FIXED($N262,2)&amp;" (com multa e juros). Podemos ajudar a regularizar hoje? Obrigado!",IF($I262="Vence hoje","Olá, "&amp;$A262&amp;"! Lembrete: '"&amp;$B262&amp;"' vence hoje, no valor de R$ "&amp;FIXED($L262,2)&amp;". Obrigado!",""))</f>
        <v>0</v>
      </c>
    </row>
    <row r="263" spans="1:15">
      <c r="A263" s="13"/>
      <c r="B263" s="13"/>
      <c r="C263" s="17"/>
      <c r="D263" s="17"/>
      <c r="E263" s="18"/>
      <c r="F263" s="17"/>
      <c r="G263" s="18"/>
      <c r="H263" s="13"/>
      <c r="I263" s="19">
        <f>IF($E263="","",IF($L263&lt;=0.005,"Pago",IF($D263="","Sem vencimento",IF($D263&lt;Hoje,IF(N($G263)&gt;0,"Vencido (parcial)","Vencido"),IF($D263=Hoje,"Vence hoje","A vencer")))))</f>
        <v>0</v>
      </c>
      <c r="J263" s="20">
        <f>IF(OR($E263="",$D263=""),"",IF(AND($L263&gt;0.005,$D263&lt;Hoje),Hoje-$D263,0))</f>
        <v>0</v>
      </c>
      <c r="K263" s="20">
        <f>IF($J263="","",IF($L263&lt;=0.005,"Pago",IF($J263&lt;=0,"A vencer",IF($J263&lt;=15,"1-15 dias",IF($J263&lt;=30,"16-30 dias",IF($J263&lt;=60,"31-60 dias","Mais de 60 dias"))))))</f>
        <v>0</v>
      </c>
      <c r="L263" s="21">
        <f>IF($E263="","",MAX(0,$E263-N($G263)))</f>
        <v>0</v>
      </c>
      <c r="M263" s="21">
        <f>IF(OR($L263="",$J263=""),"",IF($J263&gt;0,ROUND($L263*Multa+$L263*Juros/30*$J263,2),0))</f>
        <v>0</v>
      </c>
      <c r="N263" s="22">
        <f>IF($L263="","",IF($L263&lt;=0.005,0,$L263+N($M263)))</f>
        <v>0</v>
      </c>
      <c r="O263" s="23">
        <f>IF(OR($I263="Vencido",$I263="Vencido (parcial)"),"Olá, "&amp;$A263&amp;"! Consta em aberto '"&amp;$B263&amp;"' com vencimento em "&amp;DAY($D263)&amp;"/"&amp;MONTH($D263)&amp;"/"&amp;YEAR($D263)&amp;", no valor de R$ "&amp;FIXED($N263,2)&amp;" (com multa e juros). Podemos ajudar a regularizar hoje? Obrigado!",IF($I263="Vence hoje","Olá, "&amp;$A263&amp;"! Lembrete: '"&amp;$B263&amp;"' vence hoje, no valor de R$ "&amp;FIXED($L263,2)&amp;". Obrigado!",""))</f>
        <v>0</v>
      </c>
    </row>
    <row r="264" spans="1:15">
      <c r="A264" s="13"/>
      <c r="B264" s="13"/>
      <c r="C264" s="17"/>
      <c r="D264" s="17"/>
      <c r="E264" s="18"/>
      <c r="F264" s="17"/>
      <c r="G264" s="18"/>
      <c r="H264" s="13"/>
      <c r="I264" s="19">
        <f>IF($E264="","",IF($L264&lt;=0.005,"Pago",IF($D264="","Sem vencimento",IF($D264&lt;Hoje,IF(N($G264)&gt;0,"Vencido (parcial)","Vencido"),IF($D264=Hoje,"Vence hoje","A vencer")))))</f>
        <v>0</v>
      </c>
      <c r="J264" s="20">
        <f>IF(OR($E264="",$D264=""),"",IF(AND($L264&gt;0.005,$D264&lt;Hoje),Hoje-$D264,0))</f>
        <v>0</v>
      </c>
      <c r="K264" s="20">
        <f>IF($J264="","",IF($L264&lt;=0.005,"Pago",IF($J264&lt;=0,"A vencer",IF($J264&lt;=15,"1-15 dias",IF($J264&lt;=30,"16-30 dias",IF($J264&lt;=60,"31-60 dias","Mais de 60 dias"))))))</f>
        <v>0</v>
      </c>
      <c r="L264" s="21">
        <f>IF($E264="","",MAX(0,$E264-N($G264)))</f>
        <v>0</v>
      </c>
      <c r="M264" s="21">
        <f>IF(OR($L264="",$J264=""),"",IF($J264&gt;0,ROUND($L264*Multa+$L264*Juros/30*$J264,2),0))</f>
        <v>0</v>
      </c>
      <c r="N264" s="22">
        <f>IF($L264="","",IF($L264&lt;=0.005,0,$L264+N($M264)))</f>
        <v>0</v>
      </c>
      <c r="O264" s="23">
        <f>IF(OR($I264="Vencido",$I264="Vencido (parcial)"),"Olá, "&amp;$A264&amp;"! Consta em aberto '"&amp;$B264&amp;"' com vencimento em "&amp;DAY($D264)&amp;"/"&amp;MONTH($D264)&amp;"/"&amp;YEAR($D264)&amp;", no valor de R$ "&amp;FIXED($N264,2)&amp;" (com multa e juros). Podemos ajudar a regularizar hoje? Obrigado!",IF($I264="Vence hoje","Olá, "&amp;$A264&amp;"! Lembrete: '"&amp;$B264&amp;"' vence hoje, no valor de R$ "&amp;FIXED($L264,2)&amp;". Obrigado!",""))</f>
        <v>0</v>
      </c>
    </row>
    <row r="265" spans="1:15">
      <c r="A265" s="13"/>
      <c r="B265" s="13"/>
      <c r="C265" s="17"/>
      <c r="D265" s="17"/>
      <c r="E265" s="18"/>
      <c r="F265" s="17"/>
      <c r="G265" s="18"/>
      <c r="H265" s="13"/>
      <c r="I265" s="19">
        <f>IF($E265="","",IF($L265&lt;=0.005,"Pago",IF($D265="","Sem vencimento",IF($D265&lt;Hoje,IF(N($G265)&gt;0,"Vencido (parcial)","Vencido"),IF($D265=Hoje,"Vence hoje","A vencer")))))</f>
        <v>0</v>
      </c>
      <c r="J265" s="20">
        <f>IF(OR($E265="",$D265=""),"",IF(AND($L265&gt;0.005,$D265&lt;Hoje),Hoje-$D265,0))</f>
        <v>0</v>
      </c>
      <c r="K265" s="20">
        <f>IF($J265="","",IF($L265&lt;=0.005,"Pago",IF($J265&lt;=0,"A vencer",IF($J265&lt;=15,"1-15 dias",IF($J265&lt;=30,"16-30 dias",IF($J265&lt;=60,"31-60 dias","Mais de 60 dias"))))))</f>
        <v>0</v>
      </c>
      <c r="L265" s="21">
        <f>IF($E265="","",MAX(0,$E265-N($G265)))</f>
        <v>0</v>
      </c>
      <c r="M265" s="21">
        <f>IF(OR($L265="",$J265=""),"",IF($J265&gt;0,ROUND($L265*Multa+$L265*Juros/30*$J265,2),0))</f>
        <v>0</v>
      </c>
      <c r="N265" s="22">
        <f>IF($L265="","",IF($L265&lt;=0.005,0,$L265+N($M265)))</f>
        <v>0</v>
      </c>
      <c r="O265" s="23">
        <f>IF(OR($I265="Vencido",$I265="Vencido (parcial)"),"Olá, "&amp;$A265&amp;"! Consta em aberto '"&amp;$B265&amp;"' com vencimento em "&amp;DAY($D265)&amp;"/"&amp;MONTH($D265)&amp;"/"&amp;YEAR($D265)&amp;", no valor de R$ "&amp;FIXED($N265,2)&amp;" (com multa e juros). Podemos ajudar a regularizar hoje? Obrigado!",IF($I265="Vence hoje","Olá, "&amp;$A265&amp;"! Lembrete: '"&amp;$B265&amp;"' vence hoje, no valor de R$ "&amp;FIXED($L265,2)&amp;". Obrigado!",""))</f>
        <v>0</v>
      </c>
    </row>
    <row r="266" spans="1:15">
      <c r="A266" s="13"/>
      <c r="B266" s="13"/>
      <c r="C266" s="17"/>
      <c r="D266" s="17"/>
      <c r="E266" s="18"/>
      <c r="F266" s="17"/>
      <c r="G266" s="18"/>
      <c r="H266" s="13"/>
      <c r="I266" s="19">
        <f>IF($E266="","",IF($L266&lt;=0.005,"Pago",IF($D266="","Sem vencimento",IF($D266&lt;Hoje,IF(N($G266)&gt;0,"Vencido (parcial)","Vencido"),IF($D266=Hoje,"Vence hoje","A vencer")))))</f>
        <v>0</v>
      </c>
      <c r="J266" s="20">
        <f>IF(OR($E266="",$D266=""),"",IF(AND($L266&gt;0.005,$D266&lt;Hoje),Hoje-$D266,0))</f>
        <v>0</v>
      </c>
      <c r="K266" s="20">
        <f>IF($J266="","",IF($L266&lt;=0.005,"Pago",IF($J266&lt;=0,"A vencer",IF($J266&lt;=15,"1-15 dias",IF($J266&lt;=30,"16-30 dias",IF($J266&lt;=60,"31-60 dias","Mais de 60 dias"))))))</f>
        <v>0</v>
      </c>
      <c r="L266" s="21">
        <f>IF($E266="","",MAX(0,$E266-N($G266)))</f>
        <v>0</v>
      </c>
      <c r="M266" s="21">
        <f>IF(OR($L266="",$J266=""),"",IF($J266&gt;0,ROUND($L266*Multa+$L266*Juros/30*$J266,2),0))</f>
        <v>0</v>
      </c>
      <c r="N266" s="22">
        <f>IF($L266="","",IF($L266&lt;=0.005,0,$L266+N($M266)))</f>
        <v>0</v>
      </c>
      <c r="O266" s="23">
        <f>IF(OR($I266="Vencido",$I266="Vencido (parcial)"),"Olá, "&amp;$A266&amp;"! Consta em aberto '"&amp;$B266&amp;"' com vencimento em "&amp;DAY($D266)&amp;"/"&amp;MONTH($D266)&amp;"/"&amp;YEAR($D266)&amp;", no valor de R$ "&amp;FIXED($N266,2)&amp;" (com multa e juros). Podemos ajudar a regularizar hoje? Obrigado!",IF($I266="Vence hoje","Olá, "&amp;$A266&amp;"! Lembrete: '"&amp;$B266&amp;"' vence hoje, no valor de R$ "&amp;FIXED($L266,2)&amp;". Obrigado!",""))</f>
        <v>0</v>
      </c>
    </row>
    <row r="267" spans="1:15">
      <c r="A267" s="13"/>
      <c r="B267" s="13"/>
      <c r="C267" s="17"/>
      <c r="D267" s="17"/>
      <c r="E267" s="18"/>
      <c r="F267" s="17"/>
      <c r="G267" s="18"/>
      <c r="H267" s="13"/>
      <c r="I267" s="19">
        <f>IF($E267="","",IF($L267&lt;=0.005,"Pago",IF($D267="","Sem vencimento",IF($D267&lt;Hoje,IF(N($G267)&gt;0,"Vencido (parcial)","Vencido"),IF($D267=Hoje,"Vence hoje","A vencer")))))</f>
        <v>0</v>
      </c>
      <c r="J267" s="20">
        <f>IF(OR($E267="",$D267=""),"",IF(AND($L267&gt;0.005,$D267&lt;Hoje),Hoje-$D267,0))</f>
        <v>0</v>
      </c>
      <c r="K267" s="20">
        <f>IF($J267="","",IF($L267&lt;=0.005,"Pago",IF($J267&lt;=0,"A vencer",IF($J267&lt;=15,"1-15 dias",IF($J267&lt;=30,"16-30 dias",IF($J267&lt;=60,"31-60 dias","Mais de 60 dias"))))))</f>
        <v>0</v>
      </c>
      <c r="L267" s="21">
        <f>IF($E267="","",MAX(0,$E267-N($G267)))</f>
        <v>0</v>
      </c>
      <c r="M267" s="21">
        <f>IF(OR($L267="",$J267=""),"",IF($J267&gt;0,ROUND($L267*Multa+$L267*Juros/30*$J267,2),0))</f>
        <v>0</v>
      </c>
      <c r="N267" s="22">
        <f>IF($L267="","",IF($L267&lt;=0.005,0,$L267+N($M267)))</f>
        <v>0</v>
      </c>
      <c r="O267" s="23">
        <f>IF(OR($I267="Vencido",$I267="Vencido (parcial)"),"Olá, "&amp;$A267&amp;"! Consta em aberto '"&amp;$B267&amp;"' com vencimento em "&amp;DAY($D267)&amp;"/"&amp;MONTH($D267)&amp;"/"&amp;YEAR($D267)&amp;", no valor de R$ "&amp;FIXED($N267,2)&amp;" (com multa e juros). Podemos ajudar a regularizar hoje? Obrigado!",IF($I267="Vence hoje","Olá, "&amp;$A267&amp;"! Lembrete: '"&amp;$B267&amp;"' vence hoje, no valor de R$ "&amp;FIXED($L267,2)&amp;". Obrigado!",""))</f>
        <v>0</v>
      </c>
    </row>
    <row r="268" spans="1:15">
      <c r="A268" s="13"/>
      <c r="B268" s="13"/>
      <c r="C268" s="17"/>
      <c r="D268" s="17"/>
      <c r="E268" s="18"/>
      <c r="F268" s="17"/>
      <c r="G268" s="18"/>
      <c r="H268" s="13"/>
      <c r="I268" s="19">
        <f>IF($E268="","",IF($L268&lt;=0.005,"Pago",IF($D268="","Sem vencimento",IF($D268&lt;Hoje,IF(N($G268)&gt;0,"Vencido (parcial)","Vencido"),IF($D268=Hoje,"Vence hoje","A vencer")))))</f>
        <v>0</v>
      </c>
      <c r="J268" s="20">
        <f>IF(OR($E268="",$D268=""),"",IF(AND($L268&gt;0.005,$D268&lt;Hoje),Hoje-$D268,0))</f>
        <v>0</v>
      </c>
      <c r="K268" s="20">
        <f>IF($J268="","",IF($L268&lt;=0.005,"Pago",IF($J268&lt;=0,"A vencer",IF($J268&lt;=15,"1-15 dias",IF($J268&lt;=30,"16-30 dias",IF($J268&lt;=60,"31-60 dias","Mais de 60 dias"))))))</f>
        <v>0</v>
      </c>
      <c r="L268" s="21">
        <f>IF($E268="","",MAX(0,$E268-N($G268)))</f>
        <v>0</v>
      </c>
      <c r="M268" s="21">
        <f>IF(OR($L268="",$J268=""),"",IF($J268&gt;0,ROUND($L268*Multa+$L268*Juros/30*$J268,2),0))</f>
        <v>0</v>
      </c>
      <c r="N268" s="22">
        <f>IF($L268="","",IF($L268&lt;=0.005,0,$L268+N($M268)))</f>
        <v>0</v>
      </c>
      <c r="O268" s="23">
        <f>IF(OR($I268="Vencido",$I268="Vencido (parcial)"),"Olá, "&amp;$A268&amp;"! Consta em aberto '"&amp;$B268&amp;"' com vencimento em "&amp;DAY($D268)&amp;"/"&amp;MONTH($D268)&amp;"/"&amp;YEAR($D268)&amp;", no valor de R$ "&amp;FIXED($N268,2)&amp;" (com multa e juros). Podemos ajudar a regularizar hoje? Obrigado!",IF($I268="Vence hoje","Olá, "&amp;$A268&amp;"! Lembrete: '"&amp;$B268&amp;"' vence hoje, no valor de R$ "&amp;FIXED($L268,2)&amp;". Obrigado!",""))</f>
        <v>0</v>
      </c>
    </row>
    <row r="269" spans="1:15">
      <c r="A269" s="13"/>
      <c r="B269" s="13"/>
      <c r="C269" s="17"/>
      <c r="D269" s="17"/>
      <c r="E269" s="18"/>
      <c r="F269" s="17"/>
      <c r="G269" s="18"/>
      <c r="H269" s="13"/>
      <c r="I269" s="19">
        <f>IF($E269="","",IF($L269&lt;=0.005,"Pago",IF($D269="","Sem vencimento",IF($D269&lt;Hoje,IF(N($G269)&gt;0,"Vencido (parcial)","Vencido"),IF($D269=Hoje,"Vence hoje","A vencer")))))</f>
        <v>0</v>
      </c>
      <c r="J269" s="20">
        <f>IF(OR($E269="",$D269=""),"",IF(AND($L269&gt;0.005,$D269&lt;Hoje),Hoje-$D269,0))</f>
        <v>0</v>
      </c>
      <c r="K269" s="20">
        <f>IF($J269="","",IF($L269&lt;=0.005,"Pago",IF($J269&lt;=0,"A vencer",IF($J269&lt;=15,"1-15 dias",IF($J269&lt;=30,"16-30 dias",IF($J269&lt;=60,"31-60 dias","Mais de 60 dias"))))))</f>
        <v>0</v>
      </c>
      <c r="L269" s="21">
        <f>IF($E269="","",MAX(0,$E269-N($G269)))</f>
        <v>0</v>
      </c>
      <c r="M269" s="21">
        <f>IF(OR($L269="",$J269=""),"",IF($J269&gt;0,ROUND($L269*Multa+$L269*Juros/30*$J269,2),0))</f>
        <v>0</v>
      </c>
      <c r="N269" s="22">
        <f>IF($L269="","",IF($L269&lt;=0.005,0,$L269+N($M269)))</f>
        <v>0</v>
      </c>
      <c r="O269" s="23">
        <f>IF(OR($I269="Vencido",$I269="Vencido (parcial)"),"Olá, "&amp;$A269&amp;"! Consta em aberto '"&amp;$B269&amp;"' com vencimento em "&amp;DAY($D269)&amp;"/"&amp;MONTH($D269)&amp;"/"&amp;YEAR($D269)&amp;", no valor de R$ "&amp;FIXED($N269,2)&amp;" (com multa e juros). Podemos ajudar a regularizar hoje? Obrigado!",IF($I269="Vence hoje","Olá, "&amp;$A269&amp;"! Lembrete: '"&amp;$B269&amp;"' vence hoje, no valor de R$ "&amp;FIXED($L269,2)&amp;". Obrigado!",""))</f>
        <v>0</v>
      </c>
    </row>
    <row r="270" spans="1:15">
      <c r="A270" s="13"/>
      <c r="B270" s="13"/>
      <c r="C270" s="17"/>
      <c r="D270" s="17"/>
      <c r="E270" s="18"/>
      <c r="F270" s="17"/>
      <c r="G270" s="18"/>
      <c r="H270" s="13"/>
      <c r="I270" s="19">
        <f>IF($E270="","",IF($L270&lt;=0.005,"Pago",IF($D270="","Sem vencimento",IF($D270&lt;Hoje,IF(N($G270)&gt;0,"Vencido (parcial)","Vencido"),IF($D270=Hoje,"Vence hoje","A vencer")))))</f>
        <v>0</v>
      </c>
      <c r="J270" s="20">
        <f>IF(OR($E270="",$D270=""),"",IF(AND($L270&gt;0.005,$D270&lt;Hoje),Hoje-$D270,0))</f>
        <v>0</v>
      </c>
      <c r="K270" s="20">
        <f>IF($J270="","",IF($L270&lt;=0.005,"Pago",IF($J270&lt;=0,"A vencer",IF($J270&lt;=15,"1-15 dias",IF($J270&lt;=30,"16-30 dias",IF($J270&lt;=60,"31-60 dias","Mais de 60 dias"))))))</f>
        <v>0</v>
      </c>
      <c r="L270" s="21">
        <f>IF($E270="","",MAX(0,$E270-N($G270)))</f>
        <v>0</v>
      </c>
      <c r="M270" s="21">
        <f>IF(OR($L270="",$J270=""),"",IF($J270&gt;0,ROUND($L270*Multa+$L270*Juros/30*$J270,2),0))</f>
        <v>0</v>
      </c>
      <c r="N270" s="22">
        <f>IF($L270="","",IF($L270&lt;=0.005,0,$L270+N($M270)))</f>
        <v>0</v>
      </c>
      <c r="O270" s="23">
        <f>IF(OR($I270="Vencido",$I270="Vencido (parcial)"),"Olá, "&amp;$A270&amp;"! Consta em aberto '"&amp;$B270&amp;"' com vencimento em "&amp;DAY($D270)&amp;"/"&amp;MONTH($D270)&amp;"/"&amp;YEAR($D270)&amp;", no valor de R$ "&amp;FIXED($N270,2)&amp;" (com multa e juros). Podemos ajudar a regularizar hoje? Obrigado!",IF($I270="Vence hoje","Olá, "&amp;$A270&amp;"! Lembrete: '"&amp;$B270&amp;"' vence hoje, no valor de R$ "&amp;FIXED($L270,2)&amp;". Obrigado!",""))</f>
        <v>0</v>
      </c>
    </row>
    <row r="271" spans="1:15">
      <c r="A271" s="13"/>
      <c r="B271" s="13"/>
      <c r="C271" s="17"/>
      <c r="D271" s="17"/>
      <c r="E271" s="18"/>
      <c r="F271" s="17"/>
      <c r="G271" s="18"/>
      <c r="H271" s="13"/>
      <c r="I271" s="19">
        <f>IF($E271="","",IF($L271&lt;=0.005,"Pago",IF($D271="","Sem vencimento",IF($D271&lt;Hoje,IF(N($G271)&gt;0,"Vencido (parcial)","Vencido"),IF($D271=Hoje,"Vence hoje","A vencer")))))</f>
        <v>0</v>
      </c>
      <c r="J271" s="20">
        <f>IF(OR($E271="",$D271=""),"",IF(AND($L271&gt;0.005,$D271&lt;Hoje),Hoje-$D271,0))</f>
        <v>0</v>
      </c>
      <c r="K271" s="20">
        <f>IF($J271="","",IF($L271&lt;=0.005,"Pago",IF($J271&lt;=0,"A vencer",IF($J271&lt;=15,"1-15 dias",IF($J271&lt;=30,"16-30 dias",IF($J271&lt;=60,"31-60 dias","Mais de 60 dias"))))))</f>
        <v>0</v>
      </c>
      <c r="L271" s="21">
        <f>IF($E271="","",MAX(0,$E271-N($G271)))</f>
        <v>0</v>
      </c>
      <c r="M271" s="21">
        <f>IF(OR($L271="",$J271=""),"",IF($J271&gt;0,ROUND($L271*Multa+$L271*Juros/30*$J271,2),0))</f>
        <v>0</v>
      </c>
      <c r="N271" s="22">
        <f>IF($L271="","",IF($L271&lt;=0.005,0,$L271+N($M271)))</f>
        <v>0</v>
      </c>
      <c r="O271" s="23">
        <f>IF(OR($I271="Vencido",$I271="Vencido (parcial)"),"Olá, "&amp;$A271&amp;"! Consta em aberto '"&amp;$B271&amp;"' com vencimento em "&amp;DAY($D271)&amp;"/"&amp;MONTH($D271)&amp;"/"&amp;YEAR($D271)&amp;", no valor de R$ "&amp;FIXED($N271,2)&amp;" (com multa e juros). Podemos ajudar a regularizar hoje? Obrigado!",IF($I271="Vence hoje","Olá, "&amp;$A271&amp;"! Lembrete: '"&amp;$B271&amp;"' vence hoje, no valor de R$ "&amp;FIXED($L271,2)&amp;". Obrigado!",""))</f>
        <v>0</v>
      </c>
    </row>
    <row r="272" spans="1:15">
      <c r="A272" s="13"/>
      <c r="B272" s="13"/>
      <c r="C272" s="17"/>
      <c r="D272" s="17"/>
      <c r="E272" s="18"/>
      <c r="F272" s="17"/>
      <c r="G272" s="18"/>
      <c r="H272" s="13"/>
      <c r="I272" s="19">
        <f>IF($E272="","",IF($L272&lt;=0.005,"Pago",IF($D272="","Sem vencimento",IF($D272&lt;Hoje,IF(N($G272)&gt;0,"Vencido (parcial)","Vencido"),IF($D272=Hoje,"Vence hoje","A vencer")))))</f>
        <v>0</v>
      </c>
      <c r="J272" s="20">
        <f>IF(OR($E272="",$D272=""),"",IF(AND($L272&gt;0.005,$D272&lt;Hoje),Hoje-$D272,0))</f>
        <v>0</v>
      </c>
      <c r="K272" s="20">
        <f>IF($J272="","",IF($L272&lt;=0.005,"Pago",IF($J272&lt;=0,"A vencer",IF($J272&lt;=15,"1-15 dias",IF($J272&lt;=30,"16-30 dias",IF($J272&lt;=60,"31-60 dias","Mais de 60 dias"))))))</f>
        <v>0</v>
      </c>
      <c r="L272" s="21">
        <f>IF($E272="","",MAX(0,$E272-N($G272)))</f>
        <v>0</v>
      </c>
      <c r="M272" s="21">
        <f>IF(OR($L272="",$J272=""),"",IF($J272&gt;0,ROUND($L272*Multa+$L272*Juros/30*$J272,2),0))</f>
        <v>0</v>
      </c>
      <c r="N272" s="22">
        <f>IF($L272="","",IF($L272&lt;=0.005,0,$L272+N($M272)))</f>
        <v>0</v>
      </c>
      <c r="O272" s="23">
        <f>IF(OR($I272="Vencido",$I272="Vencido (parcial)"),"Olá, "&amp;$A272&amp;"! Consta em aberto '"&amp;$B272&amp;"' com vencimento em "&amp;DAY($D272)&amp;"/"&amp;MONTH($D272)&amp;"/"&amp;YEAR($D272)&amp;", no valor de R$ "&amp;FIXED($N272,2)&amp;" (com multa e juros). Podemos ajudar a regularizar hoje? Obrigado!",IF($I272="Vence hoje","Olá, "&amp;$A272&amp;"! Lembrete: '"&amp;$B272&amp;"' vence hoje, no valor de R$ "&amp;FIXED($L272,2)&amp;". Obrigado!",""))</f>
        <v>0</v>
      </c>
    </row>
    <row r="273" spans="1:15">
      <c r="A273" s="13"/>
      <c r="B273" s="13"/>
      <c r="C273" s="17"/>
      <c r="D273" s="17"/>
      <c r="E273" s="18"/>
      <c r="F273" s="17"/>
      <c r="G273" s="18"/>
      <c r="H273" s="13"/>
      <c r="I273" s="19">
        <f>IF($E273="","",IF($L273&lt;=0.005,"Pago",IF($D273="","Sem vencimento",IF($D273&lt;Hoje,IF(N($G273)&gt;0,"Vencido (parcial)","Vencido"),IF($D273=Hoje,"Vence hoje","A vencer")))))</f>
        <v>0</v>
      </c>
      <c r="J273" s="20">
        <f>IF(OR($E273="",$D273=""),"",IF(AND($L273&gt;0.005,$D273&lt;Hoje),Hoje-$D273,0))</f>
        <v>0</v>
      </c>
      <c r="K273" s="20">
        <f>IF($J273="","",IF($L273&lt;=0.005,"Pago",IF($J273&lt;=0,"A vencer",IF($J273&lt;=15,"1-15 dias",IF($J273&lt;=30,"16-30 dias",IF($J273&lt;=60,"31-60 dias","Mais de 60 dias"))))))</f>
        <v>0</v>
      </c>
      <c r="L273" s="21">
        <f>IF($E273="","",MAX(0,$E273-N($G273)))</f>
        <v>0</v>
      </c>
      <c r="M273" s="21">
        <f>IF(OR($L273="",$J273=""),"",IF($J273&gt;0,ROUND($L273*Multa+$L273*Juros/30*$J273,2),0))</f>
        <v>0</v>
      </c>
      <c r="N273" s="22">
        <f>IF($L273="","",IF($L273&lt;=0.005,0,$L273+N($M273)))</f>
        <v>0</v>
      </c>
      <c r="O273" s="23">
        <f>IF(OR($I273="Vencido",$I273="Vencido (parcial)"),"Olá, "&amp;$A273&amp;"! Consta em aberto '"&amp;$B273&amp;"' com vencimento em "&amp;DAY($D273)&amp;"/"&amp;MONTH($D273)&amp;"/"&amp;YEAR($D273)&amp;", no valor de R$ "&amp;FIXED($N273,2)&amp;" (com multa e juros). Podemos ajudar a regularizar hoje? Obrigado!",IF($I273="Vence hoje","Olá, "&amp;$A273&amp;"! Lembrete: '"&amp;$B273&amp;"' vence hoje, no valor de R$ "&amp;FIXED($L273,2)&amp;". Obrigado!",""))</f>
        <v>0</v>
      </c>
    </row>
    <row r="274" spans="1:15">
      <c r="A274" s="13"/>
      <c r="B274" s="13"/>
      <c r="C274" s="17"/>
      <c r="D274" s="17"/>
      <c r="E274" s="18"/>
      <c r="F274" s="17"/>
      <c r="G274" s="18"/>
      <c r="H274" s="13"/>
      <c r="I274" s="19">
        <f>IF($E274="","",IF($L274&lt;=0.005,"Pago",IF($D274="","Sem vencimento",IF($D274&lt;Hoje,IF(N($G274)&gt;0,"Vencido (parcial)","Vencido"),IF($D274=Hoje,"Vence hoje","A vencer")))))</f>
        <v>0</v>
      </c>
      <c r="J274" s="20">
        <f>IF(OR($E274="",$D274=""),"",IF(AND($L274&gt;0.005,$D274&lt;Hoje),Hoje-$D274,0))</f>
        <v>0</v>
      </c>
      <c r="K274" s="20">
        <f>IF($J274="","",IF($L274&lt;=0.005,"Pago",IF($J274&lt;=0,"A vencer",IF($J274&lt;=15,"1-15 dias",IF($J274&lt;=30,"16-30 dias",IF($J274&lt;=60,"31-60 dias","Mais de 60 dias"))))))</f>
        <v>0</v>
      </c>
      <c r="L274" s="21">
        <f>IF($E274="","",MAX(0,$E274-N($G274)))</f>
        <v>0</v>
      </c>
      <c r="M274" s="21">
        <f>IF(OR($L274="",$J274=""),"",IF($J274&gt;0,ROUND($L274*Multa+$L274*Juros/30*$J274,2),0))</f>
        <v>0</v>
      </c>
      <c r="N274" s="22">
        <f>IF($L274="","",IF($L274&lt;=0.005,0,$L274+N($M274)))</f>
        <v>0</v>
      </c>
      <c r="O274" s="23">
        <f>IF(OR($I274="Vencido",$I274="Vencido (parcial)"),"Olá, "&amp;$A274&amp;"! Consta em aberto '"&amp;$B274&amp;"' com vencimento em "&amp;DAY($D274)&amp;"/"&amp;MONTH($D274)&amp;"/"&amp;YEAR($D274)&amp;", no valor de R$ "&amp;FIXED($N274,2)&amp;" (com multa e juros). Podemos ajudar a regularizar hoje? Obrigado!",IF($I274="Vence hoje","Olá, "&amp;$A274&amp;"! Lembrete: '"&amp;$B274&amp;"' vence hoje, no valor de R$ "&amp;FIXED($L274,2)&amp;". Obrigado!",""))</f>
        <v>0</v>
      </c>
    </row>
    <row r="275" spans="1:15">
      <c r="A275" s="13"/>
      <c r="B275" s="13"/>
      <c r="C275" s="17"/>
      <c r="D275" s="17"/>
      <c r="E275" s="18"/>
      <c r="F275" s="17"/>
      <c r="G275" s="18"/>
      <c r="H275" s="13"/>
      <c r="I275" s="19">
        <f>IF($E275="","",IF($L275&lt;=0.005,"Pago",IF($D275="","Sem vencimento",IF($D275&lt;Hoje,IF(N($G275)&gt;0,"Vencido (parcial)","Vencido"),IF($D275=Hoje,"Vence hoje","A vencer")))))</f>
        <v>0</v>
      </c>
      <c r="J275" s="20">
        <f>IF(OR($E275="",$D275=""),"",IF(AND($L275&gt;0.005,$D275&lt;Hoje),Hoje-$D275,0))</f>
        <v>0</v>
      </c>
      <c r="K275" s="20">
        <f>IF($J275="","",IF($L275&lt;=0.005,"Pago",IF($J275&lt;=0,"A vencer",IF($J275&lt;=15,"1-15 dias",IF($J275&lt;=30,"16-30 dias",IF($J275&lt;=60,"31-60 dias","Mais de 60 dias"))))))</f>
        <v>0</v>
      </c>
      <c r="L275" s="21">
        <f>IF($E275="","",MAX(0,$E275-N($G275)))</f>
        <v>0</v>
      </c>
      <c r="M275" s="21">
        <f>IF(OR($L275="",$J275=""),"",IF($J275&gt;0,ROUND($L275*Multa+$L275*Juros/30*$J275,2),0))</f>
        <v>0</v>
      </c>
      <c r="N275" s="22">
        <f>IF($L275="","",IF($L275&lt;=0.005,0,$L275+N($M275)))</f>
        <v>0</v>
      </c>
      <c r="O275" s="23">
        <f>IF(OR($I275="Vencido",$I275="Vencido (parcial)"),"Olá, "&amp;$A275&amp;"! Consta em aberto '"&amp;$B275&amp;"' com vencimento em "&amp;DAY($D275)&amp;"/"&amp;MONTH($D275)&amp;"/"&amp;YEAR($D275)&amp;", no valor de R$ "&amp;FIXED($N275,2)&amp;" (com multa e juros). Podemos ajudar a regularizar hoje? Obrigado!",IF($I275="Vence hoje","Olá, "&amp;$A275&amp;"! Lembrete: '"&amp;$B275&amp;"' vence hoje, no valor de R$ "&amp;FIXED($L275,2)&amp;". Obrigado!",""))</f>
        <v>0</v>
      </c>
    </row>
    <row r="276" spans="1:15">
      <c r="A276" s="13"/>
      <c r="B276" s="13"/>
      <c r="C276" s="17"/>
      <c r="D276" s="17"/>
      <c r="E276" s="18"/>
      <c r="F276" s="17"/>
      <c r="G276" s="18"/>
      <c r="H276" s="13"/>
      <c r="I276" s="19">
        <f>IF($E276="","",IF($L276&lt;=0.005,"Pago",IF($D276="","Sem vencimento",IF($D276&lt;Hoje,IF(N($G276)&gt;0,"Vencido (parcial)","Vencido"),IF($D276=Hoje,"Vence hoje","A vencer")))))</f>
        <v>0</v>
      </c>
      <c r="J276" s="20">
        <f>IF(OR($E276="",$D276=""),"",IF(AND($L276&gt;0.005,$D276&lt;Hoje),Hoje-$D276,0))</f>
        <v>0</v>
      </c>
      <c r="K276" s="20">
        <f>IF($J276="","",IF($L276&lt;=0.005,"Pago",IF($J276&lt;=0,"A vencer",IF($J276&lt;=15,"1-15 dias",IF($J276&lt;=30,"16-30 dias",IF($J276&lt;=60,"31-60 dias","Mais de 60 dias"))))))</f>
        <v>0</v>
      </c>
      <c r="L276" s="21">
        <f>IF($E276="","",MAX(0,$E276-N($G276)))</f>
        <v>0</v>
      </c>
      <c r="M276" s="21">
        <f>IF(OR($L276="",$J276=""),"",IF($J276&gt;0,ROUND($L276*Multa+$L276*Juros/30*$J276,2),0))</f>
        <v>0</v>
      </c>
      <c r="N276" s="22">
        <f>IF($L276="","",IF($L276&lt;=0.005,0,$L276+N($M276)))</f>
        <v>0</v>
      </c>
      <c r="O276" s="23">
        <f>IF(OR($I276="Vencido",$I276="Vencido (parcial)"),"Olá, "&amp;$A276&amp;"! Consta em aberto '"&amp;$B276&amp;"' com vencimento em "&amp;DAY($D276)&amp;"/"&amp;MONTH($D276)&amp;"/"&amp;YEAR($D276)&amp;", no valor de R$ "&amp;FIXED($N276,2)&amp;" (com multa e juros). Podemos ajudar a regularizar hoje? Obrigado!",IF($I276="Vence hoje","Olá, "&amp;$A276&amp;"! Lembrete: '"&amp;$B276&amp;"' vence hoje, no valor de R$ "&amp;FIXED($L276,2)&amp;". Obrigado!",""))</f>
        <v>0</v>
      </c>
    </row>
    <row r="277" spans="1:15">
      <c r="A277" s="13"/>
      <c r="B277" s="13"/>
      <c r="C277" s="17"/>
      <c r="D277" s="17"/>
      <c r="E277" s="18"/>
      <c r="F277" s="17"/>
      <c r="G277" s="18"/>
      <c r="H277" s="13"/>
      <c r="I277" s="19">
        <f>IF($E277="","",IF($L277&lt;=0.005,"Pago",IF($D277="","Sem vencimento",IF($D277&lt;Hoje,IF(N($G277)&gt;0,"Vencido (parcial)","Vencido"),IF($D277=Hoje,"Vence hoje","A vencer")))))</f>
        <v>0</v>
      </c>
      <c r="J277" s="20">
        <f>IF(OR($E277="",$D277=""),"",IF(AND($L277&gt;0.005,$D277&lt;Hoje),Hoje-$D277,0))</f>
        <v>0</v>
      </c>
      <c r="K277" s="20">
        <f>IF($J277="","",IF($L277&lt;=0.005,"Pago",IF($J277&lt;=0,"A vencer",IF($J277&lt;=15,"1-15 dias",IF($J277&lt;=30,"16-30 dias",IF($J277&lt;=60,"31-60 dias","Mais de 60 dias"))))))</f>
        <v>0</v>
      </c>
      <c r="L277" s="21">
        <f>IF($E277="","",MAX(0,$E277-N($G277)))</f>
        <v>0</v>
      </c>
      <c r="M277" s="21">
        <f>IF(OR($L277="",$J277=""),"",IF($J277&gt;0,ROUND($L277*Multa+$L277*Juros/30*$J277,2),0))</f>
        <v>0</v>
      </c>
      <c r="N277" s="22">
        <f>IF($L277="","",IF($L277&lt;=0.005,0,$L277+N($M277)))</f>
        <v>0</v>
      </c>
      <c r="O277" s="23">
        <f>IF(OR($I277="Vencido",$I277="Vencido (parcial)"),"Olá, "&amp;$A277&amp;"! Consta em aberto '"&amp;$B277&amp;"' com vencimento em "&amp;DAY($D277)&amp;"/"&amp;MONTH($D277)&amp;"/"&amp;YEAR($D277)&amp;", no valor de R$ "&amp;FIXED($N277,2)&amp;" (com multa e juros). Podemos ajudar a regularizar hoje? Obrigado!",IF($I277="Vence hoje","Olá, "&amp;$A277&amp;"! Lembrete: '"&amp;$B277&amp;"' vence hoje, no valor de R$ "&amp;FIXED($L277,2)&amp;". Obrigado!",""))</f>
        <v>0</v>
      </c>
    </row>
    <row r="278" spans="1:15">
      <c r="A278" s="13"/>
      <c r="B278" s="13"/>
      <c r="C278" s="17"/>
      <c r="D278" s="17"/>
      <c r="E278" s="18"/>
      <c r="F278" s="17"/>
      <c r="G278" s="18"/>
      <c r="H278" s="13"/>
      <c r="I278" s="19">
        <f>IF($E278="","",IF($L278&lt;=0.005,"Pago",IF($D278="","Sem vencimento",IF($D278&lt;Hoje,IF(N($G278)&gt;0,"Vencido (parcial)","Vencido"),IF($D278=Hoje,"Vence hoje","A vencer")))))</f>
        <v>0</v>
      </c>
      <c r="J278" s="20">
        <f>IF(OR($E278="",$D278=""),"",IF(AND($L278&gt;0.005,$D278&lt;Hoje),Hoje-$D278,0))</f>
        <v>0</v>
      </c>
      <c r="K278" s="20">
        <f>IF($J278="","",IF($L278&lt;=0.005,"Pago",IF($J278&lt;=0,"A vencer",IF($J278&lt;=15,"1-15 dias",IF($J278&lt;=30,"16-30 dias",IF($J278&lt;=60,"31-60 dias","Mais de 60 dias"))))))</f>
        <v>0</v>
      </c>
      <c r="L278" s="21">
        <f>IF($E278="","",MAX(0,$E278-N($G278)))</f>
        <v>0</v>
      </c>
      <c r="M278" s="21">
        <f>IF(OR($L278="",$J278=""),"",IF($J278&gt;0,ROUND($L278*Multa+$L278*Juros/30*$J278,2),0))</f>
        <v>0</v>
      </c>
      <c r="N278" s="22">
        <f>IF($L278="","",IF($L278&lt;=0.005,0,$L278+N($M278)))</f>
        <v>0</v>
      </c>
      <c r="O278" s="23">
        <f>IF(OR($I278="Vencido",$I278="Vencido (parcial)"),"Olá, "&amp;$A278&amp;"! Consta em aberto '"&amp;$B278&amp;"' com vencimento em "&amp;DAY($D278)&amp;"/"&amp;MONTH($D278)&amp;"/"&amp;YEAR($D278)&amp;", no valor de R$ "&amp;FIXED($N278,2)&amp;" (com multa e juros). Podemos ajudar a regularizar hoje? Obrigado!",IF($I278="Vence hoje","Olá, "&amp;$A278&amp;"! Lembrete: '"&amp;$B278&amp;"' vence hoje, no valor de R$ "&amp;FIXED($L278,2)&amp;". Obrigado!",""))</f>
        <v>0</v>
      </c>
    </row>
    <row r="279" spans="1:15">
      <c r="A279" s="13"/>
      <c r="B279" s="13"/>
      <c r="C279" s="17"/>
      <c r="D279" s="17"/>
      <c r="E279" s="18"/>
      <c r="F279" s="17"/>
      <c r="G279" s="18"/>
      <c r="H279" s="13"/>
      <c r="I279" s="19">
        <f>IF($E279="","",IF($L279&lt;=0.005,"Pago",IF($D279="","Sem vencimento",IF($D279&lt;Hoje,IF(N($G279)&gt;0,"Vencido (parcial)","Vencido"),IF($D279=Hoje,"Vence hoje","A vencer")))))</f>
        <v>0</v>
      </c>
      <c r="J279" s="20">
        <f>IF(OR($E279="",$D279=""),"",IF(AND($L279&gt;0.005,$D279&lt;Hoje),Hoje-$D279,0))</f>
        <v>0</v>
      </c>
      <c r="K279" s="20">
        <f>IF($J279="","",IF($L279&lt;=0.005,"Pago",IF($J279&lt;=0,"A vencer",IF($J279&lt;=15,"1-15 dias",IF($J279&lt;=30,"16-30 dias",IF($J279&lt;=60,"31-60 dias","Mais de 60 dias"))))))</f>
        <v>0</v>
      </c>
      <c r="L279" s="21">
        <f>IF($E279="","",MAX(0,$E279-N($G279)))</f>
        <v>0</v>
      </c>
      <c r="M279" s="21">
        <f>IF(OR($L279="",$J279=""),"",IF($J279&gt;0,ROUND($L279*Multa+$L279*Juros/30*$J279,2),0))</f>
        <v>0</v>
      </c>
      <c r="N279" s="22">
        <f>IF($L279="","",IF($L279&lt;=0.005,0,$L279+N($M279)))</f>
        <v>0</v>
      </c>
      <c r="O279" s="23">
        <f>IF(OR($I279="Vencido",$I279="Vencido (parcial)"),"Olá, "&amp;$A279&amp;"! Consta em aberto '"&amp;$B279&amp;"' com vencimento em "&amp;DAY($D279)&amp;"/"&amp;MONTH($D279)&amp;"/"&amp;YEAR($D279)&amp;", no valor de R$ "&amp;FIXED($N279,2)&amp;" (com multa e juros). Podemos ajudar a regularizar hoje? Obrigado!",IF($I279="Vence hoje","Olá, "&amp;$A279&amp;"! Lembrete: '"&amp;$B279&amp;"' vence hoje, no valor de R$ "&amp;FIXED($L279,2)&amp;". Obrigado!",""))</f>
        <v>0</v>
      </c>
    </row>
    <row r="280" spans="1:15">
      <c r="A280" s="13"/>
      <c r="B280" s="13"/>
      <c r="C280" s="17"/>
      <c r="D280" s="17"/>
      <c r="E280" s="18"/>
      <c r="F280" s="17"/>
      <c r="G280" s="18"/>
      <c r="H280" s="13"/>
      <c r="I280" s="19">
        <f>IF($E280="","",IF($L280&lt;=0.005,"Pago",IF($D280="","Sem vencimento",IF($D280&lt;Hoje,IF(N($G280)&gt;0,"Vencido (parcial)","Vencido"),IF($D280=Hoje,"Vence hoje","A vencer")))))</f>
        <v>0</v>
      </c>
      <c r="J280" s="20">
        <f>IF(OR($E280="",$D280=""),"",IF(AND($L280&gt;0.005,$D280&lt;Hoje),Hoje-$D280,0))</f>
        <v>0</v>
      </c>
      <c r="K280" s="20">
        <f>IF($J280="","",IF($L280&lt;=0.005,"Pago",IF($J280&lt;=0,"A vencer",IF($J280&lt;=15,"1-15 dias",IF($J280&lt;=30,"16-30 dias",IF($J280&lt;=60,"31-60 dias","Mais de 60 dias"))))))</f>
        <v>0</v>
      </c>
      <c r="L280" s="21">
        <f>IF($E280="","",MAX(0,$E280-N($G280)))</f>
        <v>0</v>
      </c>
      <c r="M280" s="21">
        <f>IF(OR($L280="",$J280=""),"",IF($J280&gt;0,ROUND($L280*Multa+$L280*Juros/30*$J280,2),0))</f>
        <v>0</v>
      </c>
      <c r="N280" s="22">
        <f>IF($L280="","",IF($L280&lt;=0.005,0,$L280+N($M280)))</f>
        <v>0</v>
      </c>
      <c r="O280" s="23">
        <f>IF(OR($I280="Vencido",$I280="Vencido (parcial)"),"Olá, "&amp;$A280&amp;"! Consta em aberto '"&amp;$B280&amp;"' com vencimento em "&amp;DAY($D280)&amp;"/"&amp;MONTH($D280)&amp;"/"&amp;YEAR($D280)&amp;", no valor de R$ "&amp;FIXED($N280,2)&amp;" (com multa e juros). Podemos ajudar a regularizar hoje? Obrigado!",IF($I280="Vence hoje","Olá, "&amp;$A280&amp;"! Lembrete: '"&amp;$B280&amp;"' vence hoje, no valor de R$ "&amp;FIXED($L280,2)&amp;". Obrigado!",""))</f>
        <v>0</v>
      </c>
    </row>
    <row r="281" spans="1:15">
      <c r="A281" s="13"/>
      <c r="B281" s="13"/>
      <c r="C281" s="17"/>
      <c r="D281" s="17"/>
      <c r="E281" s="18"/>
      <c r="F281" s="17"/>
      <c r="G281" s="18"/>
      <c r="H281" s="13"/>
      <c r="I281" s="19">
        <f>IF($E281="","",IF($L281&lt;=0.005,"Pago",IF($D281="","Sem vencimento",IF($D281&lt;Hoje,IF(N($G281)&gt;0,"Vencido (parcial)","Vencido"),IF($D281=Hoje,"Vence hoje","A vencer")))))</f>
        <v>0</v>
      </c>
      <c r="J281" s="20">
        <f>IF(OR($E281="",$D281=""),"",IF(AND($L281&gt;0.005,$D281&lt;Hoje),Hoje-$D281,0))</f>
        <v>0</v>
      </c>
      <c r="K281" s="20">
        <f>IF($J281="","",IF($L281&lt;=0.005,"Pago",IF($J281&lt;=0,"A vencer",IF($J281&lt;=15,"1-15 dias",IF($J281&lt;=30,"16-30 dias",IF($J281&lt;=60,"31-60 dias","Mais de 60 dias"))))))</f>
        <v>0</v>
      </c>
      <c r="L281" s="21">
        <f>IF($E281="","",MAX(0,$E281-N($G281)))</f>
        <v>0</v>
      </c>
      <c r="M281" s="21">
        <f>IF(OR($L281="",$J281=""),"",IF($J281&gt;0,ROUND($L281*Multa+$L281*Juros/30*$J281,2),0))</f>
        <v>0</v>
      </c>
      <c r="N281" s="22">
        <f>IF($L281="","",IF($L281&lt;=0.005,0,$L281+N($M281)))</f>
        <v>0</v>
      </c>
      <c r="O281" s="23">
        <f>IF(OR($I281="Vencido",$I281="Vencido (parcial)"),"Olá, "&amp;$A281&amp;"! Consta em aberto '"&amp;$B281&amp;"' com vencimento em "&amp;DAY($D281)&amp;"/"&amp;MONTH($D281)&amp;"/"&amp;YEAR($D281)&amp;", no valor de R$ "&amp;FIXED($N281,2)&amp;" (com multa e juros). Podemos ajudar a regularizar hoje? Obrigado!",IF($I281="Vence hoje","Olá, "&amp;$A281&amp;"! Lembrete: '"&amp;$B281&amp;"' vence hoje, no valor de R$ "&amp;FIXED($L281,2)&amp;". Obrigado!",""))</f>
        <v>0</v>
      </c>
    </row>
    <row r="282" spans="1:15">
      <c r="A282" s="13"/>
      <c r="B282" s="13"/>
      <c r="C282" s="17"/>
      <c r="D282" s="17"/>
      <c r="E282" s="18"/>
      <c r="F282" s="17"/>
      <c r="G282" s="18"/>
      <c r="H282" s="13"/>
      <c r="I282" s="19">
        <f>IF($E282="","",IF($L282&lt;=0.005,"Pago",IF($D282="","Sem vencimento",IF($D282&lt;Hoje,IF(N($G282)&gt;0,"Vencido (parcial)","Vencido"),IF($D282=Hoje,"Vence hoje","A vencer")))))</f>
        <v>0</v>
      </c>
      <c r="J282" s="20">
        <f>IF(OR($E282="",$D282=""),"",IF(AND($L282&gt;0.005,$D282&lt;Hoje),Hoje-$D282,0))</f>
        <v>0</v>
      </c>
      <c r="K282" s="20">
        <f>IF($J282="","",IF($L282&lt;=0.005,"Pago",IF($J282&lt;=0,"A vencer",IF($J282&lt;=15,"1-15 dias",IF($J282&lt;=30,"16-30 dias",IF($J282&lt;=60,"31-60 dias","Mais de 60 dias"))))))</f>
        <v>0</v>
      </c>
      <c r="L282" s="21">
        <f>IF($E282="","",MAX(0,$E282-N($G282)))</f>
        <v>0</v>
      </c>
      <c r="M282" s="21">
        <f>IF(OR($L282="",$J282=""),"",IF($J282&gt;0,ROUND($L282*Multa+$L282*Juros/30*$J282,2),0))</f>
        <v>0</v>
      </c>
      <c r="N282" s="22">
        <f>IF($L282="","",IF($L282&lt;=0.005,0,$L282+N($M282)))</f>
        <v>0</v>
      </c>
      <c r="O282" s="23">
        <f>IF(OR($I282="Vencido",$I282="Vencido (parcial)"),"Olá, "&amp;$A282&amp;"! Consta em aberto '"&amp;$B282&amp;"' com vencimento em "&amp;DAY($D282)&amp;"/"&amp;MONTH($D282)&amp;"/"&amp;YEAR($D282)&amp;", no valor de R$ "&amp;FIXED($N282,2)&amp;" (com multa e juros). Podemos ajudar a regularizar hoje? Obrigado!",IF($I282="Vence hoje","Olá, "&amp;$A282&amp;"! Lembrete: '"&amp;$B282&amp;"' vence hoje, no valor de R$ "&amp;FIXED($L282,2)&amp;". Obrigado!",""))</f>
        <v>0</v>
      </c>
    </row>
    <row r="283" spans="1:15">
      <c r="A283" s="13"/>
      <c r="B283" s="13"/>
      <c r="C283" s="17"/>
      <c r="D283" s="17"/>
      <c r="E283" s="18"/>
      <c r="F283" s="17"/>
      <c r="G283" s="18"/>
      <c r="H283" s="13"/>
      <c r="I283" s="19">
        <f>IF($E283="","",IF($L283&lt;=0.005,"Pago",IF($D283="","Sem vencimento",IF($D283&lt;Hoje,IF(N($G283)&gt;0,"Vencido (parcial)","Vencido"),IF($D283=Hoje,"Vence hoje","A vencer")))))</f>
        <v>0</v>
      </c>
      <c r="J283" s="20">
        <f>IF(OR($E283="",$D283=""),"",IF(AND($L283&gt;0.005,$D283&lt;Hoje),Hoje-$D283,0))</f>
        <v>0</v>
      </c>
      <c r="K283" s="20">
        <f>IF($J283="","",IF($L283&lt;=0.005,"Pago",IF($J283&lt;=0,"A vencer",IF($J283&lt;=15,"1-15 dias",IF($J283&lt;=30,"16-30 dias",IF($J283&lt;=60,"31-60 dias","Mais de 60 dias"))))))</f>
        <v>0</v>
      </c>
      <c r="L283" s="21">
        <f>IF($E283="","",MAX(0,$E283-N($G283)))</f>
        <v>0</v>
      </c>
      <c r="M283" s="21">
        <f>IF(OR($L283="",$J283=""),"",IF($J283&gt;0,ROUND($L283*Multa+$L283*Juros/30*$J283,2),0))</f>
        <v>0</v>
      </c>
      <c r="N283" s="22">
        <f>IF($L283="","",IF($L283&lt;=0.005,0,$L283+N($M283)))</f>
        <v>0</v>
      </c>
      <c r="O283" s="23">
        <f>IF(OR($I283="Vencido",$I283="Vencido (parcial)"),"Olá, "&amp;$A283&amp;"! Consta em aberto '"&amp;$B283&amp;"' com vencimento em "&amp;DAY($D283)&amp;"/"&amp;MONTH($D283)&amp;"/"&amp;YEAR($D283)&amp;", no valor de R$ "&amp;FIXED($N283,2)&amp;" (com multa e juros). Podemos ajudar a regularizar hoje? Obrigado!",IF($I283="Vence hoje","Olá, "&amp;$A283&amp;"! Lembrete: '"&amp;$B283&amp;"' vence hoje, no valor de R$ "&amp;FIXED($L283,2)&amp;". Obrigado!",""))</f>
        <v>0</v>
      </c>
    </row>
    <row r="284" spans="1:15">
      <c r="A284" s="13"/>
      <c r="B284" s="13"/>
      <c r="C284" s="17"/>
      <c r="D284" s="17"/>
      <c r="E284" s="18"/>
      <c r="F284" s="17"/>
      <c r="G284" s="18"/>
      <c r="H284" s="13"/>
      <c r="I284" s="19">
        <f>IF($E284="","",IF($L284&lt;=0.005,"Pago",IF($D284="","Sem vencimento",IF($D284&lt;Hoje,IF(N($G284)&gt;0,"Vencido (parcial)","Vencido"),IF($D284=Hoje,"Vence hoje","A vencer")))))</f>
        <v>0</v>
      </c>
      <c r="J284" s="20">
        <f>IF(OR($E284="",$D284=""),"",IF(AND($L284&gt;0.005,$D284&lt;Hoje),Hoje-$D284,0))</f>
        <v>0</v>
      </c>
      <c r="K284" s="20">
        <f>IF($J284="","",IF($L284&lt;=0.005,"Pago",IF($J284&lt;=0,"A vencer",IF($J284&lt;=15,"1-15 dias",IF($J284&lt;=30,"16-30 dias",IF($J284&lt;=60,"31-60 dias","Mais de 60 dias"))))))</f>
        <v>0</v>
      </c>
      <c r="L284" s="21">
        <f>IF($E284="","",MAX(0,$E284-N($G284)))</f>
        <v>0</v>
      </c>
      <c r="M284" s="21">
        <f>IF(OR($L284="",$J284=""),"",IF($J284&gt;0,ROUND($L284*Multa+$L284*Juros/30*$J284,2),0))</f>
        <v>0</v>
      </c>
      <c r="N284" s="22">
        <f>IF($L284="","",IF($L284&lt;=0.005,0,$L284+N($M284)))</f>
        <v>0</v>
      </c>
      <c r="O284" s="23">
        <f>IF(OR($I284="Vencido",$I284="Vencido (parcial)"),"Olá, "&amp;$A284&amp;"! Consta em aberto '"&amp;$B284&amp;"' com vencimento em "&amp;DAY($D284)&amp;"/"&amp;MONTH($D284)&amp;"/"&amp;YEAR($D284)&amp;", no valor de R$ "&amp;FIXED($N284,2)&amp;" (com multa e juros). Podemos ajudar a regularizar hoje? Obrigado!",IF($I284="Vence hoje","Olá, "&amp;$A284&amp;"! Lembrete: '"&amp;$B284&amp;"' vence hoje, no valor de R$ "&amp;FIXED($L284,2)&amp;". Obrigado!",""))</f>
        <v>0</v>
      </c>
    </row>
    <row r="285" spans="1:15">
      <c r="A285" s="13"/>
      <c r="B285" s="13"/>
      <c r="C285" s="17"/>
      <c r="D285" s="17"/>
      <c r="E285" s="18"/>
      <c r="F285" s="17"/>
      <c r="G285" s="18"/>
      <c r="H285" s="13"/>
      <c r="I285" s="19">
        <f>IF($E285="","",IF($L285&lt;=0.005,"Pago",IF($D285="","Sem vencimento",IF($D285&lt;Hoje,IF(N($G285)&gt;0,"Vencido (parcial)","Vencido"),IF($D285=Hoje,"Vence hoje","A vencer")))))</f>
        <v>0</v>
      </c>
      <c r="J285" s="20">
        <f>IF(OR($E285="",$D285=""),"",IF(AND($L285&gt;0.005,$D285&lt;Hoje),Hoje-$D285,0))</f>
        <v>0</v>
      </c>
      <c r="K285" s="20">
        <f>IF($J285="","",IF($L285&lt;=0.005,"Pago",IF($J285&lt;=0,"A vencer",IF($J285&lt;=15,"1-15 dias",IF($J285&lt;=30,"16-30 dias",IF($J285&lt;=60,"31-60 dias","Mais de 60 dias"))))))</f>
        <v>0</v>
      </c>
      <c r="L285" s="21">
        <f>IF($E285="","",MAX(0,$E285-N($G285)))</f>
        <v>0</v>
      </c>
      <c r="M285" s="21">
        <f>IF(OR($L285="",$J285=""),"",IF($J285&gt;0,ROUND($L285*Multa+$L285*Juros/30*$J285,2),0))</f>
        <v>0</v>
      </c>
      <c r="N285" s="22">
        <f>IF($L285="","",IF($L285&lt;=0.005,0,$L285+N($M285)))</f>
        <v>0</v>
      </c>
      <c r="O285" s="23">
        <f>IF(OR($I285="Vencido",$I285="Vencido (parcial)"),"Olá, "&amp;$A285&amp;"! Consta em aberto '"&amp;$B285&amp;"' com vencimento em "&amp;DAY($D285)&amp;"/"&amp;MONTH($D285)&amp;"/"&amp;YEAR($D285)&amp;", no valor de R$ "&amp;FIXED($N285,2)&amp;" (com multa e juros). Podemos ajudar a regularizar hoje? Obrigado!",IF($I285="Vence hoje","Olá, "&amp;$A285&amp;"! Lembrete: '"&amp;$B285&amp;"' vence hoje, no valor de R$ "&amp;FIXED($L285,2)&amp;". Obrigado!",""))</f>
        <v>0</v>
      </c>
    </row>
    <row r="286" spans="1:15">
      <c r="A286" s="13"/>
      <c r="B286" s="13"/>
      <c r="C286" s="17"/>
      <c r="D286" s="17"/>
      <c r="E286" s="18"/>
      <c r="F286" s="17"/>
      <c r="G286" s="18"/>
      <c r="H286" s="13"/>
      <c r="I286" s="19">
        <f>IF($E286="","",IF($L286&lt;=0.005,"Pago",IF($D286="","Sem vencimento",IF($D286&lt;Hoje,IF(N($G286)&gt;0,"Vencido (parcial)","Vencido"),IF($D286=Hoje,"Vence hoje","A vencer")))))</f>
        <v>0</v>
      </c>
      <c r="J286" s="20">
        <f>IF(OR($E286="",$D286=""),"",IF(AND($L286&gt;0.005,$D286&lt;Hoje),Hoje-$D286,0))</f>
        <v>0</v>
      </c>
      <c r="K286" s="20">
        <f>IF($J286="","",IF($L286&lt;=0.005,"Pago",IF($J286&lt;=0,"A vencer",IF($J286&lt;=15,"1-15 dias",IF($J286&lt;=30,"16-30 dias",IF($J286&lt;=60,"31-60 dias","Mais de 60 dias"))))))</f>
        <v>0</v>
      </c>
      <c r="L286" s="21">
        <f>IF($E286="","",MAX(0,$E286-N($G286)))</f>
        <v>0</v>
      </c>
      <c r="M286" s="21">
        <f>IF(OR($L286="",$J286=""),"",IF($J286&gt;0,ROUND($L286*Multa+$L286*Juros/30*$J286,2),0))</f>
        <v>0</v>
      </c>
      <c r="N286" s="22">
        <f>IF($L286="","",IF($L286&lt;=0.005,0,$L286+N($M286)))</f>
        <v>0</v>
      </c>
      <c r="O286" s="23">
        <f>IF(OR($I286="Vencido",$I286="Vencido (parcial)"),"Olá, "&amp;$A286&amp;"! Consta em aberto '"&amp;$B286&amp;"' com vencimento em "&amp;DAY($D286)&amp;"/"&amp;MONTH($D286)&amp;"/"&amp;YEAR($D286)&amp;", no valor de R$ "&amp;FIXED($N286,2)&amp;" (com multa e juros). Podemos ajudar a regularizar hoje? Obrigado!",IF($I286="Vence hoje","Olá, "&amp;$A286&amp;"! Lembrete: '"&amp;$B286&amp;"' vence hoje, no valor de R$ "&amp;FIXED($L286,2)&amp;". Obrigado!",""))</f>
        <v>0</v>
      </c>
    </row>
    <row r="287" spans="1:15">
      <c r="A287" s="13"/>
      <c r="B287" s="13"/>
      <c r="C287" s="17"/>
      <c r="D287" s="17"/>
      <c r="E287" s="18"/>
      <c r="F287" s="17"/>
      <c r="G287" s="18"/>
      <c r="H287" s="13"/>
      <c r="I287" s="19">
        <f>IF($E287="","",IF($L287&lt;=0.005,"Pago",IF($D287="","Sem vencimento",IF($D287&lt;Hoje,IF(N($G287)&gt;0,"Vencido (parcial)","Vencido"),IF($D287=Hoje,"Vence hoje","A vencer")))))</f>
        <v>0</v>
      </c>
      <c r="J287" s="20">
        <f>IF(OR($E287="",$D287=""),"",IF(AND($L287&gt;0.005,$D287&lt;Hoje),Hoje-$D287,0))</f>
        <v>0</v>
      </c>
      <c r="K287" s="20">
        <f>IF($J287="","",IF($L287&lt;=0.005,"Pago",IF($J287&lt;=0,"A vencer",IF($J287&lt;=15,"1-15 dias",IF($J287&lt;=30,"16-30 dias",IF($J287&lt;=60,"31-60 dias","Mais de 60 dias"))))))</f>
        <v>0</v>
      </c>
      <c r="L287" s="21">
        <f>IF($E287="","",MAX(0,$E287-N($G287)))</f>
        <v>0</v>
      </c>
      <c r="M287" s="21">
        <f>IF(OR($L287="",$J287=""),"",IF($J287&gt;0,ROUND($L287*Multa+$L287*Juros/30*$J287,2),0))</f>
        <v>0</v>
      </c>
      <c r="N287" s="22">
        <f>IF($L287="","",IF($L287&lt;=0.005,0,$L287+N($M287)))</f>
        <v>0</v>
      </c>
      <c r="O287" s="23">
        <f>IF(OR($I287="Vencido",$I287="Vencido (parcial)"),"Olá, "&amp;$A287&amp;"! Consta em aberto '"&amp;$B287&amp;"' com vencimento em "&amp;DAY($D287)&amp;"/"&amp;MONTH($D287)&amp;"/"&amp;YEAR($D287)&amp;", no valor de R$ "&amp;FIXED($N287,2)&amp;" (com multa e juros). Podemos ajudar a regularizar hoje? Obrigado!",IF($I287="Vence hoje","Olá, "&amp;$A287&amp;"! Lembrete: '"&amp;$B287&amp;"' vence hoje, no valor de R$ "&amp;FIXED($L287,2)&amp;". Obrigado!",""))</f>
        <v>0</v>
      </c>
    </row>
    <row r="288" spans="1:15">
      <c r="A288" s="13"/>
      <c r="B288" s="13"/>
      <c r="C288" s="17"/>
      <c r="D288" s="17"/>
      <c r="E288" s="18"/>
      <c r="F288" s="17"/>
      <c r="G288" s="18"/>
      <c r="H288" s="13"/>
      <c r="I288" s="19">
        <f>IF($E288="","",IF($L288&lt;=0.005,"Pago",IF($D288="","Sem vencimento",IF($D288&lt;Hoje,IF(N($G288)&gt;0,"Vencido (parcial)","Vencido"),IF($D288=Hoje,"Vence hoje","A vencer")))))</f>
        <v>0</v>
      </c>
      <c r="J288" s="20">
        <f>IF(OR($E288="",$D288=""),"",IF(AND($L288&gt;0.005,$D288&lt;Hoje),Hoje-$D288,0))</f>
        <v>0</v>
      </c>
      <c r="K288" s="20">
        <f>IF($J288="","",IF($L288&lt;=0.005,"Pago",IF($J288&lt;=0,"A vencer",IF($J288&lt;=15,"1-15 dias",IF($J288&lt;=30,"16-30 dias",IF($J288&lt;=60,"31-60 dias","Mais de 60 dias"))))))</f>
        <v>0</v>
      </c>
      <c r="L288" s="21">
        <f>IF($E288="","",MAX(0,$E288-N($G288)))</f>
        <v>0</v>
      </c>
      <c r="M288" s="21">
        <f>IF(OR($L288="",$J288=""),"",IF($J288&gt;0,ROUND($L288*Multa+$L288*Juros/30*$J288,2),0))</f>
        <v>0</v>
      </c>
      <c r="N288" s="22">
        <f>IF($L288="","",IF($L288&lt;=0.005,0,$L288+N($M288)))</f>
        <v>0</v>
      </c>
      <c r="O288" s="23">
        <f>IF(OR($I288="Vencido",$I288="Vencido (parcial)"),"Olá, "&amp;$A288&amp;"! Consta em aberto '"&amp;$B288&amp;"' com vencimento em "&amp;DAY($D288)&amp;"/"&amp;MONTH($D288)&amp;"/"&amp;YEAR($D288)&amp;", no valor de R$ "&amp;FIXED($N288,2)&amp;" (com multa e juros). Podemos ajudar a regularizar hoje? Obrigado!",IF($I288="Vence hoje","Olá, "&amp;$A288&amp;"! Lembrete: '"&amp;$B288&amp;"' vence hoje, no valor de R$ "&amp;FIXED($L288,2)&amp;". Obrigado!",""))</f>
        <v>0</v>
      </c>
    </row>
    <row r="289" spans="1:15">
      <c r="A289" s="13"/>
      <c r="B289" s="13"/>
      <c r="C289" s="17"/>
      <c r="D289" s="17"/>
      <c r="E289" s="18"/>
      <c r="F289" s="17"/>
      <c r="G289" s="18"/>
      <c r="H289" s="13"/>
      <c r="I289" s="19">
        <f>IF($E289="","",IF($L289&lt;=0.005,"Pago",IF($D289="","Sem vencimento",IF($D289&lt;Hoje,IF(N($G289)&gt;0,"Vencido (parcial)","Vencido"),IF($D289=Hoje,"Vence hoje","A vencer")))))</f>
        <v>0</v>
      </c>
      <c r="J289" s="20">
        <f>IF(OR($E289="",$D289=""),"",IF(AND($L289&gt;0.005,$D289&lt;Hoje),Hoje-$D289,0))</f>
        <v>0</v>
      </c>
      <c r="K289" s="20">
        <f>IF($J289="","",IF($L289&lt;=0.005,"Pago",IF($J289&lt;=0,"A vencer",IF($J289&lt;=15,"1-15 dias",IF($J289&lt;=30,"16-30 dias",IF($J289&lt;=60,"31-60 dias","Mais de 60 dias"))))))</f>
        <v>0</v>
      </c>
      <c r="L289" s="21">
        <f>IF($E289="","",MAX(0,$E289-N($G289)))</f>
        <v>0</v>
      </c>
      <c r="M289" s="21">
        <f>IF(OR($L289="",$J289=""),"",IF($J289&gt;0,ROUND($L289*Multa+$L289*Juros/30*$J289,2),0))</f>
        <v>0</v>
      </c>
      <c r="N289" s="22">
        <f>IF($L289="","",IF($L289&lt;=0.005,0,$L289+N($M289)))</f>
        <v>0</v>
      </c>
      <c r="O289" s="23">
        <f>IF(OR($I289="Vencido",$I289="Vencido (parcial)"),"Olá, "&amp;$A289&amp;"! Consta em aberto '"&amp;$B289&amp;"' com vencimento em "&amp;DAY($D289)&amp;"/"&amp;MONTH($D289)&amp;"/"&amp;YEAR($D289)&amp;", no valor de R$ "&amp;FIXED($N289,2)&amp;" (com multa e juros). Podemos ajudar a regularizar hoje? Obrigado!",IF($I289="Vence hoje","Olá, "&amp;$A289&amp;"! Lembrete: '"&amp;$B289&amp;"' vence hoje, no valor de R$ "&amp;FIXED($L289,2)&amp;". Obrigado!",""))</f>
        <v>0</v>
      </c>
    </row>
    <row r="290" spans="1:15">
      <c r="A290" s="13"/>
      <c r="B290" s="13"/>
      <c r="C290" s="17"/>
      <c r="D290" s="17"/>
      <c r="E290" s="18"/>
      <c r="F290" s="17"/>
      <c r="G290" s="18"/>
      <c r="H290" s="13"/>
      <c r="I290" s="19">
        <f>IF($E290="","",IF($L290&lt;=0.005,"Pago",IF($D290="","Sem vencimento",IF($D290&lt;Hoje,IF(N($G290)&gt;0,"Vencido (parcial)","Vencido"),IF($D290=Hoje,"Vence hoje","A vencer")))))</f>
        <v>0</v>
      </c>
      <c r="J290" s="20">
        <f>IF(OR($E290="",$D290=""),"",IF(AND($L290&gt;0.005,$D290&lt;Hoje),Hoje-$D290,0))</f>
        <v>0</v>
      </c>
      <c r="K290" s="20">
        <f>IF($J290="","",IF($L290&lt;=0.005,"Pago",IF($J290&lt;=0,"A vencer",IF($J290&lt;=15,"1-15 dias",IF($J290&lt;=30,"16-30 dias",IF($J290&lt;=60,"31-60 dias","Mais de 60 dias"))))))</f>
        <v>0</v>
      </c>
      <c r="L290" s="21">
        <f>IF($E290="","",MAX(0,$E290-N($G290)))</f>
        <v>0</v>
      </c>
      <c r="M290" s="21">
        <f>IF(OR($L290="",$J290=""),"",IF($J290&gt;0,ROUND($L290*Multa+$L290*Juros/30*$J290,2),0))</f>
        <v>0</v>
      </c>
      <c r="N290" s="22">
        <f>IF($L290="","",IF($L290&lt;=0.005,0,$L290+N($M290)))</f>
        <v>0</v>
      </c>
      <c r="O290" s="23">
        <f>IF(OR($I290="Vencido",$I290="Vencido (parcial)"),"Olá, "&amp;$A290&amp;"! Consta em aberto '"&amp;$B290&amp;"' com vencimento em "&amp;DAY($D290)&amp;"/"&amp;MONTH($D290)&amp;"/"&amp;YEAR($D290)&amp;", no valor de R$ "&amp;FIXED($N290,2)&amp;" (com multa e juros). Podemos ajudar a regularizar hoje? Obrigado!",IF($I290="Vence hoje","Olá, "&amp;$A290&amp;"! Lembrete: '"&amp;$B290&amp;"' vence hoje, no valor de R$ "&amp;FIXED($L290,2)&amp;". Obrigado!",""))</f>
        <v>0</v>
      </c>
    </row>
    <row r="291" spans="1:15">
      <c r="A291" s="13"/>
      <c r="B291" s="13"/>
      <c r="C291" s="17"/>
      <c r="D291" s="17"/>
      <c r="E291" s="18"/>
      <c r="F291" s="17"/>
      <c r="G291" s="18"/>
      <c r="H291" s="13"/>
      <c r="I291" s="19">
        <f>IF($E291="","",IF($L291&lt;=0.005,"Pago",IF($D291="","Sem vencimento",IF($D291&lt;Hoje,IF(N($G291)&gt;0,"Vencido (parcial)","Vencido"),IF($D291=Hoje,"Vence hoje","A vencer")))))</f>
        <v>0</v>
      </c>
      <c r="J291" s="20">
        <f>IF(OR($E291="",$D291=""),"",IF(AND($L291&gt;0.005,$D291&lt;Hoje),Hoje-$D291,0))</f>
        <v>0</v>
      </c>
      <c r="K291" s="20">
        <f>IF($J291="","",IF($L291&lt;=0.005,"Pago",IF($J291&lt;=0,"A vencer",IF($J291&lt;=15,"1-15 dias",IF($J291&lt;=30,"16-30 dias",IF($J291&lt;=60,"31-60 dias","Mais de 60 dias"))))))</f>
        <v>0</v>
      </c>
      <c r="L291" s="21">
        <f>IF($E291="","",MAX(0,$E291-N($G291)))</f>
        <v>0</v>
      </c>
      <c r="M291" s="21">
        <f>IF(OR($L291="",$J291=""),"",IF($J291&gt;0,ROUND($L291*Multa+$L291*Juros/30*$J291,2),0))</f>
        <v>0</v>
      </c>
      <c r="N291" s="22">
        <f>IF($L291="","",IF($L291&lt;=0.005,0,$L291+N($M291)))</f>
        <v>0</v>
      </c>
      <c r="O291" s="23">
        <f>IF(OR($I291="Vencido",$I291="Vencido (parcial)"),"Olá, "&amp;$A291&amp;"! Consta em aberto '"&amp;$B291&amp;"' com vencimento em "&amp;DAY($D291)&amp;"/"&amp;MONTH($D291)&amp;"/"&amp;YEAR($D291)&amp;", no valor de R$ "&amp;FIXED($N291,2)&amp;" (com multa e juros). Podemos ajudar a regularizar hoje? Obrigado!",IF($I291="Vence hoje","Olá, "&amp;$A291&amp;"! Lembrete: '"&amp;$B291&amp;"' vence hoje, no valor de R$ "&amp;FIXED($L291,2)&amp;". Obrigado!",""))</f>
        <v>0</v>
      </c>
    </row>
    <row r="292" spans="1:15">
      <c r="A292" s="13"/>
      <c r="B292" s="13"/>
      <c r="C292" s="17"/>
      <c r="D292" s="17"/>
      <c r="E292" s="18"/>
      <c r="F292" s="17"/>
      <c r="G292" s="18"/>
      <c r="H292" s="13"/>
      <c r="I292" s="19">
        <f>IF($E292="","",IF($L292&lt;=0.005,"Pago",IF($D292="","Sem vencimento",IF($D292&lt;Hoje,IF(N($G292)&gt;0,"Vencido (parcial)","Vencido"),IF($D292=Hoje,"Vence hoje","A vencer")))))</f>
        <v>0</v>
      </c>
      <c r="J292" s="20">
        <f>IF(OR($E292="",$D292=""),"",IF(AND($L292&gt;0.005,$D292&lt;Hoje),Hoje-$D292,0))</f>
        <v>0</v>
      </c>
      <c r="K292" s="20">
        <f>IF($J292="","",IF($L292&lt;=0.005,"Pago",IF($J292&lt;=0,"A vencer",IF($J292&lt;=15,"1-15 dias",IF($J292&lt;=30,"16-30 dias",IF($J292&lt;=60,"31-60 dias","Mais de 60 dias"))))))</f>
        <v>0</v>
      </c>
      <c r="L292" s="21">
        <f>IF($E292="","",MAX(0,$E292-N($G292)))</f>
        <v>0</v>
      </c>
      <c r="M292" s="21">
        <f>IF(OR($L292="",$J292=""),"",IF($J292&gt;0,ROUND($L292*Multa+$L292*Juros/30*$J292,2),0))</f>
        <v>0</v>
      </c>
      <c r="N292" s="22">
        <f>IF($L292="","",IF($L292&lt;=0.005,0,$L292+N($M292)))</f>
        <v>0</v>
      </c>
      <c r="O292" s="23">
        <f>IF(OR($I292="Vencido",$I292="Vencido (parcial)"),"Olá, "&amp;$A292&amp;"! Consta em aberto '"&amp;$B292&amp;"' com vencimento em "&amp;DAY($D292)&amp;"/"&amp;MONTH($D292)&amp;"/"&amp;YEAR($D292)&amp;", no valor de R$ "&amp;FIXED($N292,2)&amp;" (com multa e juros). Podemos ajudar a regularizar hoje? Obrigado!",IF($I292="Vence hoje","Olá, "&amp;$A292&amp;"! Lembrete: '"&amp;$B292&amp;"' vence hoje, no valor de R$ "&amp;FIXED($L292,2)&amp;". Obrigado!",""))</f>
        <v>0</v>
      </c>
    </row>
    <row r="293" spans="1:15">
      <c r="A293" s="13"/>
      <c r="B293" s="13"/>
      <c r="C293" s="17"/>
      <c r="D293" s="17"/>
      <c r="E293" s="18"/>
      <c r="F293" s="17"/>
      <c r="G293" s="18"/>
      <c r="H293" s="13"/>
      <c r="I293" s="19">
        <f>IF($E293="","",IF($L293&lt;=0.005,"Pago",IF($D293="","Sem vencimento",IF($D293&lt;Hoje,IF(N($G293)&gt;0,"Vencido (parcial)","Vencido"),IF($D293=Hoje,"Vence hoje","A vencer")))))</f>
        <v>0</v>
      </c>
      <c r="J293" s="20">
        <f>IF(OR($E293="",$D293=""),"",IF(AND($L293&gt;0.005,$D293&lt;Hoje),Hoje-$D293,0))</f>
        <v>0</v>
      </c>
      <c r="K293" s="20">
        <f>IF($J293="","",IF($L293&lt;=0.005,"Pago",IF($J293&lt;=0,"A vencer",IF($J293&lt;=15,"1-15 dias",IF($J293&lt;=30,"16-30 dias",IF($J293&lt;=60,"31-60 dias","Mais de 60 dias"))))))</f>
        <v>0</v>
      </c>
      <c r="L293" s="21">
        <f>IF($E293="","",MAX(0,$E293-N($G293)))</f>
        <v>0</v>
      </c>
      <c r="M293" s="21">
        <f>IF(OR($L293="",$J293=""),"",IF($J293&gt;0,ROUND($L293*Multa+$L293*Juros/30*$J293,2),0))</f>
        <v>0</v>
      </c>
      <c r="N293" s="22">
        <f>IF($L293="","",IF($L293&lt;=0.005,0,$L293+N($M293)))</f>
        <v>0</v>
      </c>
      <c r="O293" s="23">
        <f>IF(OR($I293="Vencido",$I293="Vencido (parcial)"),"Olá, "&amp;$A293&amp;"! Consta em aberto '"&amp;$B293&amp;"' com vencimento em "&amp;DAY($D293)&amp;"/"&amp;MONTH($D293)&amp;"/"&amp;YEAR($D293)&amp;", no valor de R$ "&amp;FIXED($N293,2)&amp;" (com multa e juros). Podemos ajudar a regularizar hoje? Obrigado!",IF($I293="Vence hoje","Olá, "&amp;$A293&amp;"! Lembrete: '"&amp;$B293&amp;"' vence hoje, no valor de R$ "&amp;FIXED($L293,2)&amp;". Obrigado!",""))</f>
        <v>0</v>
      </c>
    </row>
    <row r="294" spans="1:15">
      <c r="A294" s="13"/>
      <c r="B294" s="13"/>
      <c r="C294" s="17"/>
      <c r="D294" s="17"/>
      <c r="E294" s="18"/>
      <c r="F294" s="17"/>
      <c r="G294" s="18"/>
      <c r="H294" s="13"/>
      <c r="I294" s="19">
        <f>IF($E294="","",IF($L294&lt;=0.005,"Pago",IF($D294="","Sem vencimento",IF($D294&lt;Hoje,IF(N($G294)&gt;0,"Vencido (parcial)","Vencido"),IF($D294=Hoje,"Vence hoje","A vencer")))))</f>
        <v>0</v>
      </c>
      <c r="J294" s="20">
        <f>IF(OR($E294="",$D294=""),"",IF(AND($L294&gt;0.005,$D294&lt;Hoje),Hoje-$D294,0))</f>
        <v>0</v>
      </c>
      <c r="K294" s="20">
        <f>IF($J294="","",IF($L294&lt;=0.005,"Pago",IF($J294&lt;=0,"A vencer",IF($J294&lt;=15,"1-15 dias",IF($J294&lt;=30,"16-30 dias",IF($J294&lt;=60,"31-60 dias","Mais de 60 dias"))))))</f>
        <v>0</v>
      </c>
      <c r="L294" s="21">
        <f>IF($E294="","",MAX(0,$E294-N($G294)))</f>
        <v>0</v>
      </c>
      <c r="M294" s="21">
        <f>IF(OR($L294="",$J294=""),"",IF($J294&gt;0,ROUND($L294*Multa+$L294*Juros/30*$J294,2),0))</f>
        <v>0</v>
      </c>
      <c r="N294" s="22">
        <f>IF($L294="","",IF($L294&lt;=0.005,0,$L294+N($M294)))</f>
        <v>0</v>
      </c>
      <c r="O294" s="23">
        <f>IF(OR($I294="Vencido",$I294="Vencido (parcial)"),"Olá, "&amp;$A294&amp;"! Consta em aberto '"&amp;$B294&amp;"' com vencimento em "&amp;DAY($D294)&amp;"/"&amp;MONTH($D294)&amp;"/"&amp;YEAR($D294)&amp;", no valor de R$ "&amp;FIXED($N294,2)&amp;" (com multa e juros). Podemos ajudar a regularizar hoje? Obrigado!",IF($I294="Vence hoje","Olá, "&amp;$A294&amp;"! Lembrete: '"&amp;$B294&amp;"' vence hoje, no valor de R$ "&amp;FIXED($L294,2)&amp;". Obrigado!",""))</f>
        <v>0</v>
      </c>
    </row>
    <row r="295" spans="1:15">
      <c r="A295" s="13"/>
      <c r="B295" s="13"/>
      <c r="C295" s="17"/>
      <c r="D295" s="17"/>
      <c r="E295" s="18"/>
      <c r="F295" s="17"/>
      <c r="G295" s="18"/>
      <c r="H295" s="13"/>
      <c r="I295" s="19">
        <f>IF($E295="","",IF($L295&lt;=0.005,"Pago",IF($D295="","Sem vencimento",IF($D295&lt;Hoje,IF(N($G295)&gt;0,"Vencido (parcial)","Vencido"),IF($D295=Hoje,"Vence hoje","A vencer")))))</f>
        <v>0</v>
      </c>
      <c r="J295" s="20">
        <f>IF(OR($E295="",$D295=""),"",IF(AND($L295&gt;0.005,$D295&lt;Hoje),Hoje-$D295,0))</f>
        <v>0</v>
      </c>
      <c r="K295" s="20">
        <f>IF($J295="","",IF($L295&lt;=0.005,"Pago",IF($J295&lt;=0,"A vencer",IF($J295&lt;=15,"1-15 dias",IF($J295&lt;=30,"16-30 dias",IF($J295&lt;=60,"31-60 dias","Mais de 60 dias"))))))</f>
        <v>0</v>
      </c>
      <c r="L295" s="21">
        <f>IF($E295="","",MAX(0,$E295-N($G295)))</f>
        <v>0</v>
      </c>
      <c r="M295" s="21">
        <f>IF(OR($L295="",$J295=""),"",IF($J295&gt;0,ROUND($L295*Multa+$L295*Juros/30*$J295,2),0))</f>
        <v>0</v>
      </c>
      <c r="N295" s="22">
        <f>IF($L295="","",IF($L295&lt;=0.005,0,$L295+N($M295)))</f>
        <v>0</v>
      </c>
      <c r="O295" s="23">
        <f>IF(OR($I295="Vencido",$I295="Vencido (parcial)"),"Olá, "&amp;$A295&amp;"! Consta em aberto '"&amp;$B295&amp;"' com vencimento em "&amp;DAY($D295)&amp;"/"&amp;MONTH($D295)&amp;"/"&amp;YEAR($D295)&amp;", no valor de R$ "&amp;FIXED($N295,2)&amp;" (com multa e juros). Podemos ajudar a regularizar hoje? Obrigado!",IF($I295="Vence hoje","Olá, "&amp;$A295&amp;"! Lembrete: '"&amp;$B295&amp;"' vence hoje, no valor de R$ "&amp;FIXED($L295,2)&amp;". Obrigado!",""))</f>
        <v>0</v>
      </c>
    </row>
    <row r="296" spans="1:15">
      <c r="A296" s="13"/>
      <c r="B296" s="13"/>
      <c r="C296" s="17"/>
      <c r="D296" s="17"/>
      <c r="E296" s="18"/>
      <c r="F296" s="17"/>
      <c r="G296" s="18"/>
      <c r="H296" s="13"/>
      <c r="I296" s="19">
        <f>IF($E296="","",IF($L296&lt;=0.005,"Pago",IF($D296="","Sem vencimento",IF($D296&lt;Hoje,IF(N($G296)&gt;0,"Vencido (parcial)","Vencido"),IF($D296=Hoje,"Vence hoje","A vencer")))))</f>
        <v>0</v>
      </c>
      <c r="J296" s="20">
        <f>IF(OR($E296="",$D296=""),"",IF(AND($L296&gt;0.005,$D296&lt;Hoje),Hoje-$D296,0))</f>
        <v>0</v>
      </c>
      <c r="K296" s="20">
        <f>IF($J296="","",IF($L296&lt;=0.005,"Pago",IF($J296&lt;=0,"A vencer",IF($J296&lt;=15,"1-15 dias",IF($J296&lt;=30,"16-30 dias",IF($J296&lt;=60,"31-60 dias","Mais de 60 dias"))))))</f>
        <v>0</v>
      </c>
      <c r="L296" s="21">
        <f>IF($E296="","",MAX(0,$E296-N($G296)))</f>
        <v>0</v>
      </c>
      <c r="M296" s="21">
        <f>IF(OR($L296="",$J296=""),"",IF($J296&gt;0,ROUND($L296*Multa+$L296*Juros/30*$J296,2),0))</f>
        <v>0</v>
      </c>
      <c r="N296" s="22">
        <f>IF($L296="","",IF($L296&lt;=0.005,0,$L296+N($M296)))</f>
        <v>0</v>
      </c>
      <c r="O296" s="23">
        <f>IF(OR($I296="Vencido",$I296="Vencido (parcial)"),"Olá, "&amp;$A296&amp;"! Consta em aberto '"&amp;$B296&amp;"' com vencimento em "&amp;DAY($D296)&amp;"/"&amp;MONTH($D296)&amp;"/"&amp;YEAR($D296)&amp;", no valor de R$ "&amp;FIXED($N296,2)&amp;" (com multa e juros). Podemos ajudar a regularizar hoje? Obrigado!",IF($I296="Vence hoje","Olá, "&amp;$A296&amp;"! Lembrete: '"&amp;$B296&amp;"' vence hoje, no valor de R$ "&amp;FIXED($L296,2)&amp;". Obrigado!",""))</f>
        <v>0</v>
      </c>
    </row>
    <row r="297" spans="1:15">
      <c r="A297" s="13"/>
      <c r="B297" s="13"/>
      <c r="C297" s="17"/>
      <c r="D297" s="17"/>
      <c r="E297" s="18"/>
      <c r="F297" s="17"/>
      <c r="G297" s="18"/>
      <c r="H297" s="13"/>
      <c r="I297" s="19">
        <f>IF($E297="","",IF($L297&lt;=0.005,"Pago",IF($D297="","Sem vencimento",IF($D297&lt;Hoje,IF(N($G297)&gt;0,"Vencido (parcial)","Vencido"),IF($D297=Hoje,"Vence hoje","A vencer")))))</f>
        <v>0</v>
      </c>
      <c r="J297" s="20">
        <f>IF(OR($E297="",$D297=""),"",IF(AND($L297&gt;0.005,$D297&lt;Hoje),Hoje-$D297,0))</f>
        <v>0</v>
      </c>
      <c r="K297" s="20">
        <f>IF($J297="","",IF($L297&lt;=0.005,"Pago",IF($J297&lt;=0,"A vencer",IF($J297&lt;=15,"1-15 dias",IF($J297&lt;=30,"16-30 dias",IF($J297&lt;=60,"31-60 dias","Mais de 60 dias"))))))</f>
        <v>0</v>
      </c>
      <c r="L297" s="21">
        <f>IF($E297="","",MAX(0,$E297-N($G297)))</f>
        <v>0</v>
      </c>
      <c r="M297" s="21">
        <f>IF(OR($L297="",$J297=""),"",IF($J297&gt;0,ROUND($L297*Multa+$L297*Juros/30*$J297,2),0))</f>
        <v>0</v>
      </c>
      <c r="N297" s="22">
        <f>IF($L297="","",IF($L297&lt;=0.005,0,$L297+N($M297)))</f>
        <v>0</v>
      </c>
      <c r="O297" s="23">
        <f>IF(OR($I297="Vencido",$I297="Vencido (parcial)"),"Olá, "&amp;$A297&amp;"! Consta em aberto '"&amp;$B297&amp;"' com vencimento em "&amp;DAY($D297)&amp;"/"&amp;MONTH($D297)&amp;"/"&amp;YEAR($D297)&amp;", no valor de R$ "&amp;FIXED($N297,2)&amp;" (com multa e juros). Podemos ajudar a regularizar hoje? Obrigado!",IF($I297="Vence hoje","Olá, "&amp;$A297&amp;"! Lembrete: '"&amp;$B297&amp;"' vence hoje, no valor de R$ "&amp;FIXED($L297,2)&amp;". Obrigado!",""))</f>
        <v>0</v>
      </c>
    </row>
    <row r="298" spans="1:15">
      <c r="A298" s="13"/>
      <c r="B298" s="13"/>
      <c r="C298" s="17"/>
      <c r="D298" s="17"/>
      <c r="E298" s="18"/>
      <c r="F298" s="17"/>
      <c r="G298" s="18"/>
      <c r="H298" s="13"/>
      <c r="I298" s="19">
        <f>IF($E298="","",IF($L298&lt;=0.005,"Pago",IF($D298="","Sem vencimento",IF($D298&lt;Hoje,IF(N($G298)&gt;0,"Vencido (parcial)","Vencido"),IF($D298=Hoje,"Vence hoje","A vencer")))))</f>
        <v>0</v>
      </c>
      <c r="J298" s="20">
        <f>IF(OR($E298="",$D298=""),"",IF(AND($L298&gt;0.005,$D298&lt;Hoje),Hoje-$D298,0))</f>
        <v>0</v>
      </c>
      <c r="K298" s="20">
        <f>IF($J298="","",IF($L298&lt;=0.005,"Pago",IF($J298&lt;=0,"A vencer",IF($J298&lt;=15,"1-15 dias",IF($J298&lt;=30,"16-30 dias",IF($J298&lt;=60,"31-60 dias","Mais de 60 dias"))))))</f>
        <v>0</v>
      </c>
      <c r="L298" s="21">
        <f>IF($E298="","",MAX(0,$E298-N($G298)))</f>
        <v>0</v>
      </c>
      <c r="M298" s="21">
        <f>IF(OR($L298="",$J298=""),"",IF($J298&gt;0,ROUND($L298*Multa+$L298*Juros/30*$J298,2),0))</f>
        <v>0</v>
      </c>
      <c r="N298" s="22">
        <f>IF($L298="","",IF($L298&lt;=0.005,0,$L298+N($M298)))</f>
        <v>0</v>
      </c>
      <c r="O298" s="23">
        <f>IF(OR($I298="Vencido",$I298="Vencido (parcial)"),"Olá, "&amp;$A298&amp;"! Consta em aberto '"&amp;$B298&amp;"' com vencimento em "&amp;DAY($D298)&amp;"/"&amp;MONTH($D298)&amp;"/"&amp;YEAR($D298)&amp;", no valor de R$ "&amp;FIXED($N298,2)&amp;" (com multa e juros). Podemos ajudar a regularizar hoje? Obrigado!",IF($I298="Vence hoje","Olá, "&amp;$A298&amp;"! Lembrete: '"&amp;$B298&amp;"' vence hoje, no valor de R$ "&amp;FIXED($L298,2)&amp;". Obrigado!",""))</f>
        <v>0</v>
      </c>
    </row>
    <row r="299" spans="1:15">
      <c r="A299" s="13"/>
      <c r="B299" s="13"/>
      <c r="C299" s="17"/>
      <c r="D299" s="17"/>
      <c r="E299" s="18"/>
      <c r="F299" s="17"/>
      <c r="G299" s="18"/>
      <c r="H299" s="13"/>
      <c r="I299" s="19">
        <f>IF($E299="","",IF($L299&lt;=0.005,"Pago",IF($D299="","Sem vencimento",IF($D299&lt;Hoje,IF(N($G299)&gt;0,"Vencido (parcial)","Vencido"),IF($D299=Hoje,"Vence hoje","A vencer")))))</f>
        <v>0</v>
      </c>
      <c r="J299" s="20">
        <f>IF(OR($E299="",$D299=""),"",IF(AND($L299&gt;0.005,$D299&lt;Hoje),Hoje-$D299,0))</f>
        <v>0</v>
      </c>
      <c r="K299" s="20">
        <f>IF($J299="","",IF($L299&lt;=0.005,"Pago",IF($J299&lt;=0,"A vencer",IF($J299&lt;=15,"1-15 dias",IF($J299&lt;=30,"16-30 dias",IF($J299&lt;=60,"31-60 dias","Mais de 60 dias"))))))</f>
        <v>0</v>
      </c>
      <c r="L299" s="21">
        <f>IF($E299="","",MAX(0,$E299-N($G299)))</f>
        <v>0</v>
      </c>
      <c r="M299" s="21">
        <f>IF(OR($L299="",$J299=""),"",IF($J299&gt;0,ROUND($L299*Multa+$L299*Juros/30*$J299,2),0))</f>
        <v>0</v>
      </c>
      <c r="N299" s="22">
        <f>IF($L299="","",IF($L299&lt;=0.005,0,$L299+N($M299)))</f>
        <v>0</v>
      </c>
      <c r="O299" s="23">
        <f>IF(OR($I299="Vencido",$I299="Vencido (parcial)"),"Olá, "&amp;$A299&amp;"! Consta em aberto '"&amp;$B299&amp;"' com vencimento em "&amp;DAY($D299)&amp;"/"&amp;MONTH($D299)&amp;"/"&amp;YEAR($D299)&amp;", no valor de R$ "&amp;FIXED($N299,2)&amp;" (com multa e juros). Podemos ajudar a regularizar hoje? Obrigado!",IF($I299="Vence hoje","Olá, "&amp;$A299&amp;"! Lembrete: '"&amp;$B299&amp;"' vence hoje, no valor de R$ "&amp;FIXED($L299,2)&amp;". Obrigado!",""))</f>
        <v>0</v>
      </c>
    </row>
    <row r="300" spans="1:15">
      <c r="A300" s="13"/>
      <c r="B300" s="13"/>
      <c r="C300" s="17"/>
      <c r="D300" s="17"/>
      <c r="E300" s="18"/>
      <c r="F300" s="17"/>
      <c r="G300" s="18"/>
      <c r="H300" s="13"/>
      <c r="I300" s="19">
        <f>IF($E300="","",IF($L300&lt;=0.005,"Pago",IF($D300="","Sem vencimento",IF($D300&lt;Hoje,IF(N($G300)&gt;0,"Vencido (parcial)","Vencido"),IF($D300=Hoje,"Vence hoje","A vencer")))))</f>
        <v>0</v>
      </c>
      <c r="J300" s="20">
        <f>IF(OR($E300="",$D300=""),"",IF(AND($L300&gt;0.005,$D300&lt;Hoje),Hoje-$D300,0))</f>
        <v>0</v>
      </c>
      <c r="K300" s="20">
        <f>IF($J300="","",IF($L300&lt;=0.005,"Pago",IF($J300&lt;=0,"A vencer",IF($J300&lt;=15,"1-15 dias",IF($J300&lt;=30,"16-30 dias",IF($J300&lt;=60,"31-60 dias","Mais de 60 dias"))))))</f>
        <v>0</v>
      </c>
      <c r="L300" s="21">
        <f>IF($E300="","",MAX(0,$E300-N($G300)))</f>
        <v>0</v>
      </c>
      <c r="M300" s="21">
        <f>IF(OR($L300="",$J300=""),"",IF($J300&gt;0,ROUND($L300*Multa+$L300*Juros/30*$J300,2),0))</f>
        <v>0</v>
      </c>
      <c r="N300" s="22">
        <f>IF($L300="","",IF($L300&lt;=0.005,0,$L300+N($M300)))</f>
        <v>0</v>
      </c>
      <c r="O300" s="23">
        <f>IF(OR($I300="Vencido",$I300="Vencido (parcial)"),"Olá, "&amp;$A300&amp;"! Consta em aberto '"&amp;$B300&amp;"' com vencimento em "&amp;DAY($D300)&amp;"/"&amp;MONTH($D300)&amp;"/"&amp;YEAR($D300)&amp;", no valor de R$ "&amp;FIXED($N300,2)&amp;" (com multa e juros). Podemos ajudar a regularizar hoje? Obrigado!",IF($I300="Vence hoje","Olá, "&amp;$A300&amp;"! Lembrete: '"&amp;$B300&amp;"' vence hoje, no valor de R$ "&amp;FIXED($L300,2)&amp;". Obrigado!",""))</f>
        <v>0</v>
      </c>
    </row>
    <row r="301" spans="1:15">
      <c r="A301" s="13"/>
      <c r="B301" s="13"/>
      <c r="C301" s="17"/>
      <c r="D301" s="17"/>
      <c r="E301" s="18"/>
      <c r="F301" s="17"/>
      <c r="G301" s="18"/>
      <c r="H301" s="13"/>
      <c r="I301" s="19">
        <f>IF($E301="","",IF($L301&lt;=0.005,"Pago",IF($D301="","Sem vencimento",IF($D301&lt;Hoje,IF(N($G301)&gt;0,"Vencido (parcial)","Vencido"),IF($D301=Hoje,"Vence hoje","A vencer")))))</f>
        <v>0</v>
      </c>
      <c r="J301" s="20">
        <f>IF(OR($E301="",$D301=""),"",IF(AND($L301&gt;0.005,$D301&lt;Hoje),Hoje-$D301,0))</f>
        <v>0</v>
      </c>
      <c r="K301" s="20">
        <f>IF($J301="","",IF($L301&lt;=0.005,"Pago",IF($J301&lt;=0,"A vencer",IF($J301&lt;=15,"1-15 dias",IF($J301&lt;=30,"16-30 dias",IF($J301&lt;=60,"31-60 dias","Mais de 60 dias"))))))</f>
        <v>0</v>
      </c>
      <c r="L301" s="21">
        <f>IF($E301="","",MAX(0,$E301-N($G301)))</f>
        <v>0</v>
      </c>
      <c r="M301" s="21">
        <f>IF(OR($L301="",$J301=""),"",IF($J301&gt;0,ROUND($L301*Multa+$L301*Juros/30*$J301,2),0))</f>
        <v>0</v>
      </c>
      <c r="N301" s="22">
        <f>IF($L301="","",IF($L301&lt;=0.005,0,$L301+N($M301)))</f>
        <v>0</v>
      </c>
      <c r="O301" s="23">
        <f>IF(OR($I301="Vencido",$I301="Vencido (parcial)"),"Olá, "&amp;$A301&amp;"! Consta em aberto '"&amp;$B301&amp;"' com vencimento em "&amp;DAY($D301)&amp;"/"&amp;MONTH($D301)&amp;"/"&amp;YEAR($D301)&amp;", no valor de R$ "&amp;FIXED($N301,2)&amp;" (com multa e juros). Podemos ajudar a regularizar hoje? Obrigado!",IF($I301="Vence hoje","Olá, "&amp;$A301&amp;"! Lembrete: '"&amp;$B301&amp;"' vence hoje, no valor de R$ "&amp;FIXED($L301,2)&amp;". Obrigado!",""))</f>
        <v>0</v>
      </c>
    </row>
    <row r="302" spans="1:15">
      <c r="A302" s="13"/>
      <c r="B302" s="13"/>
      <c r="C302" s="17"/>
      <c r="D302" s="17"/>
      <c r="E302" s="18"/>
      <c r="F302" s="17"/>
      <c r="G302" s="18"/>
      <c r="H302" s="13"/>
      <c r="I302" s="19">
        <f>IF($E302="","",IF($L302&lt;=0.005,"Pago",IF($D302="","Sem vencimento",IF($D302&lt;Hoje,IF(N($G302)&gt;0,"Vencido (parcial)","Vencido"),IF($D302=Hoje,"Vence hoje","A vencer")))))</f>
        <v>0</v>
      </c>
      <c r="J302" s="20">
        <f>IF(OR($E302="",$D302=""),"",IF(AND($L302&gt;0.005,$D302&lt;Hoje),Hoje-$D302,0))</f>
        <v>0</v>
      </c>
      <c r="K302" s="20">
        <f>IF($J302="","",IF($L302&lt;=0.005,"Pago",IF($J302&lt;=0,"A vencer",IF($J302&lt;=15,"1-15 dias",IF($J302&lt;=30,"16-30 dias",IF($J302&lt;=60,"31-60 dias","Mais de 60 dias"))))))</f>
        <v>0</v>
      </c>
      <c r="L302" s="21">
        <f>IF($E302="","",MAX(0,$E302-N($G302)))</f>
        <v>0</v>
      </c>
      <c r="M302" s="21">
        <f>IF(OR($L302="",$J302=""),"",IF($J302&gt;0,ROUND($L302*Multa+$L302*Juros/30*$J302,2),0))</f>
        <v>0</v>
      </c>
      <c r="N302" s="22">
        <f>IF($L302="","",IF($L302&lt;=0.005,0,$L302+N($M302)))</f>
        <v>0</v>
      </c>
      <c r="O302" s="23">
        <f>IF(OR($I302="Vencido",$I302="Vencido (parcial)"),"Olá, "&amp;$A302&amp;"! Consta em aberto '"&amp;$B302&amp;"' com vencimento em "&amp;DAY($D302)&amp;"/"&amp;MONTH($D302)&amp;"/"&amp;YEAR($D302)&amp;", no valor de R$ "&amp;FIXED($N302,2)&amp;" (com multa e juros). Podemos ajudar a regularizar hoje? Obrigado!",IF($I302="Vence hoje","Olá, "&amp;$A302&amp;"! Lembrete: '"&amp;$B302&amp;"' vence hoje, no valor de R$ "&amp;FIXED($L302,2)&amp;". Obrigado!",""))</f>
        <v>0</v>
      </c>
    </row>
    <row r="303" spans="1:15">
      <c r="A303" s="13"/>
      <c r="B303" s="13"/>
      <c r="C303" s="17"/>
      <c r="D303" s="17"/>
      <c r="E303" s="18"/>
      <c r="F303" s="17"/>
      <c r="G303" s="18"/>
      <c r="H303" s="13"/>
      <c r="I303" s="19">
        <f>IF($E303="","",IF($L303&lt;=0.005,"Pago",IF($D303="","Sem vencimento",IF($D303&lt;Hoje,IF(N($G303)&gt;0,"Vencido (parcial)","Vencido"),IF($D303=Hoje,"Vence hoje","A vencer")))))</f>
        <v>0</v>
      </c>
      <c r="J303" s="20">
        <f>IF(OR($E303="",$D303=""),"",IF(AND($L303&gt;0.005,$D303&lt;Hoje),Hoje-$D303,0))</f>
        <v>0</v>
      </c>
      <c r="K303" s="20">
        <f>IF($J303="","",IF($L303&lt;=0.005,"Pago",IF($J303&lt;=0,"A vencer",IF($J303&lt;=15,"1-15 dias",IF($J303&lt;=30,"16-30 dias",IF($J303&lt;=60,"31-60 dias","Mais de 60 dias"))))))</f>
        <v>0</v>
      </c>
      <c r="L303" s="21">
        <f>IF($E303="","",MAX(0,$E303-N($G303)))</f>
        <v>0</v>
      </c>
      <c r="M303" s="21">
        <f>IF(OR($L303="",$J303=""),"",IF($J303&gt;0,ROUND($L303*Multa+$L303*Juros/30*$J303,2),0))</f>
        <v>0</v>
      </c>
      <c r="N303" s="22">
        <f>IF($L303="","",IF($L303&lt;=0.005,0,$L303+N($M303)))</f>
        <v>0</v>
      </c>
      <c r="O303" s="23">
        <f>IF(OR($I303="Vencido",$I303="Vencido (parcial)"),"Olá, "&amp;$A303&amp;"! Consta em aberto '"&amp;$B303&amp;"' com vencimento em "&amp;DAY($D303)&amp;"/"&amp;MONTH($D303)&amp;"/"&amp;YEAR($D303)&amp;", no valor de R$ "&amp;FIXED($N303,2)&amp;" (com multa e juros). Podemos ajudar a regularizar hoje? Obrigado!",IF($I303="Vence hoje","Olá, "&amp;$A303&amp;"! Lembrete: '"&amp;$B303&amp;"' vence hoje, no valor de R$ "&amp;FIXED($L303,2)&amp;". Obrigado!",""))</f>
        <v>0</v>
      </c>
    </row>
    <row r="304" spans="1:15">
      <c r="A304" s="13"/>
      <c r="B304" s="13"/>
      <c r="C304" s="17"/>
      <c r="D304" s="17"/>
      <c r="E304" s="18"/>
      <c r="F304" s="17"/>
      <c r="G304" s="18"/>
      <c r="H304" s="13"/>
      <c r="I304" s="19">
        <f>IF($E304="","",IF($L304&lt;=0.005,"Pago",IF($D304="","Sem vencimento",IF($D304&lt;Hoje,IF(N($G304)&gt;0,"Vencido (parcial)","Vencido"),IF($D304=Hoje,"Vence hoje","A vencer")))))</f>
        <v>0</v>
      </c>
      <c r="J304" s="20">
        <f>IF(OR($E304="",$D304=""),"",IF(AND($L304&gt;0.005,$D304&lt;Hoje),Hoje-$D304,0))</f>
        <v>0</v>
      </c>
      <c r="K304" s="20">
        <f>IF($J304="","",IF($L304&lt;=0.005,"Pago",IF($J304&lt;=0,"A vencer",IF($J304&lt;=15,"1-15 dias",IF($J304&lt;=30,"16-30 dias",IF($J304&lt;=60,"31-60 dias","Mais de 60 dias"))))))</f>
        <v>0</v>
      </c>
      <c r="L304" s="21">
        <f>IF($E304="","",MAX(0,$E304-N($G304)))</f>
        <v>0</v>
      </c>
      <c r="M304" s="21">
        <f>IF(OR($L304="",$J304=""),"",IF($J304&gt;0,ROUND($L304*Multa+$L304*Juros/30*$J304,2),0))</f>
        <v>0</v>
      </c>
      <c r="N304" s="22">
        <f>IF($L304="","",IF($L304&lt;=0.005,0,$L304+N($M304)))</f>
        <v>0</v>
      </c>
      <c r="O304" s="23">
        <f>IF(OR($I304="Vencido",$I304="Vencido (parcial)"),"Olá, "&amp;$A304&amp;"! Consta em aberto '"&amp;$B304&amp;"' com vencimento em "&amp;DAY($D304)&amp;"/"&amp;MONTH($D304)&amp;"/"&amp;YEAR($D304)&amp;", no valor de R$ "&amp;FIXED($N304,2)&amp;" (com multa e juros). Podemos ajudar a regularizar hoje? Obrigado!",IF($I304="Vence hoje","Olá, "&amp;$A304&amp;"! Lembrete: '"&amp;$B304&amp;"' vence hoje, no valor de R$ "&amp;FIXED($L304,2)&amp;". Obrigado!",""))</f>
        <v>0</v>
      </c>
    </row>
    <row r="305" spans="1:15">
      <c r="A305" s="13"/>
      <c r="B305" s="13"/>
      <c r="C305" s="17"/>
      <c r="D305" s="17"/>
      <c r="E305" s="18"/>
      <c r="F305" s="17"/>
      <c r="G305" s="18"/>
      <c r="H305" s="13"/>
      <c r="I305" s="19">
        <f>IF($E305="","",IF($L305&lt;=0.005,"Pago",IF($D305="","Sem vencimento",IF($D305&lt;Hoje,IF(N($G305)&gt;0,"Vencido (parcial)","Vencido"),IF($D305=Hoje,"Vence hoje","A vencer")))))</f>
        <v>0</v>
      </c>
      <c r="J305" s="20">
        <f>IF(OR($E305="",$D305=""),"",IF(AND($L305&gt;0.005,$D305&lt;Hoje),Hoje-$D305,0))</f>
        <v>0</v>
      </c>
      <c r="K305" s="20">
        <f>IF($J305="","",IF($L305&lt;=0.005,"Pago",IF($J305&lt;=0,"A vencer",IF($J305&lt;=15,"1-15 dias",IF($J305&lt;=30,"16-30 dias",IF($J305&lt;=60,"31-60 dias","Mais de 60 dias"))))))</f>
        <v>0</v>
      </c>
      <c r="L305" s="21">
        <f>IF($E305="","",MAX(0,$E305-N($G305)))</f>
        <v>0</v>
      </c>
      <c r="M305" s="21">
        <f>IF(OR($L305="",$J305=""),"",IF($J305&gt;0,ROUND($L305*Multa+$L305*Juros/30*$J305,2),0))</f>
        <v>0</v>
      </c>
      <c r="N305" s="22">
        <f>IF($L305="","",IF($L305&lt;=0.005,0,$L305+N($M305)))</f>
        <v>0</v>
      </c>
      <c r="O305" s="23">
        <f>IF(OR($I305="Vencido",$I305="Vencido (parcial)"),"Olá, "&amp;$A305&amp;"! Consta em aberto '"&amp;$B305&amp;"' com vencimento em "&amp;DAY($D305)&amp;"/"&amp;MONTH($D305)&amp;"/"&amp;YEAR($D305)&amp;", no valor de R$ "&amp;FIXED($N305,2)&amp;" (com multa e juros). Podemos ajudar a regularizar hoje? Obrigado!",IF($I305="Vence hoje","Olá, "&amp;$A305&amp;"! Lembrete: '"&amp;$B305&amp;"' vence hoje, no valor de R$ "&amp;FIXED($L305,2)&amp;". Obrigado!",""))</f>
        <v>0</v>
      </c>
    </row>
    <row r="306" spans="1:15">
      <c r="A306" s="13"/>
      <c r="B306" s="13"/>
      <c r="C306" s="17"/>
      <c r="D306" s="17"/>
      <c r="E306" s="18"/>
      <c r="F306" s="17"/>
      <c r="G306" s="18"/>
      <c r="H306" s="13"/>
      <c r="I306" s="19">
        <f>IF($E306="","",IF($L306&lt;=0.005,"Pago",IF($D306="","Sem vencimento",IF($D306&lt;Hoje,IF(N($G306)&gt;0,"Vencido (parcial)","Vencido"),IF($D306=Hoje,"Vence hoje","A vencer")))))</f>
        <v>0</v>
      </c>
      <c r="J306" s="20">
        <f>IF(OR($E306="",$D306=""),"",IF(AND($L306&gt;0.005,$D306&lt;Hoje),Hoje-$D306,0))</f>
        <v>0</v>
      </c>
      <c r="K306" s="20">
        <f>IF($J306="","",IF($L306&lt;=0.005,"Pago",IF($J306&lt;=0,"A vencer",IF($J306&lt;=15,"1-15 dias",IF($J306&lt;=30,"16-30 dias",IF($J306&lt;=60,"31-60 dias","Mais de 60 dias"))))))</f>
        <v>0</v>
      </c>
      <c r="L306" s="21">
        <f>IF($E306="","",MAX(0,$E306-N($G306)))</f>
        <v>0</v>
      </c>
      <c r="M306" s="21">
        <f>IF(OR($L306="",$J306=""),"",IF($J306&gt;0,ROUND($L306*Multa+$L306*Juros/30*$J306,2),0))</f>
        <v>0</v>
      </c>
      <c r="N306" s="22">
        <f>IF($L306="","",IF($L306&lt;=0.005,0,$L306+N($M306)))</f>
        <v>0</v>
      </c>
      <c r="O306" s="23">
        <f>IF(OR($I306="Vencido",$I306="Vencido (parcial)"),"Olá, "&amp;$A306&amp;"! Consta em aberto '"&amp;$B306&amp;"' com vencimento em "&amp;DAY($D306)&amp;"/"&amp;MONTH($D306)&amp;"/"&amp;YEAR($D306)&amp;", no valor de R$ "&amp;FIXED($N306,2)&amp;" (com multa e juros). Podemos ajudar a regularizar hoje? Obrigado!",IF($I306="Vence hoje","Olá, "&amp;$A306&amp;"! Lembrete: '"&amp;$B306&amp;"' vence hoje, no valor de R$ "&amp;FIXED($L306,2)&amp;". Obrigado!",""))</f>
        <v>0</v>
      </c>
    </row>
    <row r="307" spans="1:15">
      <c r="A307" s="13"/>
      <c r="B307" s="13"/>
      <c r="C307" s="17"/>
      <c r="D307" s="17"/>
      <c r="E307" s="18"/>
      <c r="F307" s="17"/>
      <c r="G307" s="18"/>
      <c r="H307" s="13"/>
      <c r="I307" s="19">
        <f>IF($E307="","",IF($L307&lt;=0.005,"Pago",IF($D307="","Sem vencimento",IF($D307&lt;Hoje,IF(N($G307)&gt;0,"Vencido (parcial)","Vencido"),IF($D307=Hoje,"Vence hoje","A vencer")))))</f>
        <v>0</v>
      </c>
      <c r="J307" s="20">
        <f>IF(OR($E307="",$D307=""),"",IF(AND($L307&gt;0.005,$D307&lt;Hoje),Hoje-$D307,0))</f>
        <v>0</v>
      </c>
      <c r="K307" s="20">
        <f>IF($J307="","",IF($L307&lt;=0.005,"Pago",IF($J307&lt;=0,"A vencer",IF($J307&lt;=15,"1-15 dias",IF($J307&lt;=30,"16-30 dias",IF($J307&lt;=60,"31-60 dias","Mais de 60 dias"))))))</f>
        <v>0</v>
      </c>
      <c r="L307" s="21">
        <f>IF($E307="","",MAX(0,$E307-N($G307)))</f>
        <v>0</v>
      </c>
      <c r="M307" s="21">
        <f>IF(OR($L307="",$J307=""),"",IF($J307&gt;0,ROUND($L307*Multa+$L307*Juros/30*$J307,2),0))</f>
        <v>0</v>
      </c>
      <c r="N307" s="22">
        <f>IF($L307="","",IF($L307&lt;=0.005,0,$L307+N($M307)))</f>
        <v>0</v>
      </c>
      <c r="O307" s="23">
        <f>IF(OR($I307="Vencido",$I307="Vencido (parcial)"),"Olá, "&amp;$A307&amp;"! Consta em aberto '"&amp;$B307&amp;"' com vencimento em "&amp;DAY($D307)&amp;"/"&amp;MONTH($D307)&amp;"/"&amp;YEAR($D307)&amp;", no valor de R$ "&amp;FIXED($N307,2)&amp;" (com multa e juros). Podemos ajudar a regularizar hoje? Obrigado!",IF($I307="Vence hoje","Olá, "&amp;$A307&amp;"! Lembrete: '"&amp;$B307&amp;"' vence hoje, no valor de R$ "&amp;FIXED($L307,2)&amp;". Obrigado!",""))</f>
        <v>0</v>
      </c>
    </row>
    <row r="308" spans="1:15">
      <c r="A308" s="13"/>
      <c r="B308" s="13"/>
      <c r="C308" s="17"/>
      <c r="D308" s="17"/>
      <c r="E308" s="18"/>
      <c r="F308" s="17"/>
      <c r="G308" s="18"/>
      <c r="H308" s="13"/>
      <c r="I308" s="19">
        <f>IF($E308="","",IF($L308&lt;=0.005,"Pago",IF($D308="","Sem vencimento",IF($D308&lt;Hoje,IF(N($G308)&gt;0,"Vencido (parcial)","Vencido"),IF($D308=Hoje,"Vence hoje","A vencer")))))</f>
        <v>0</v>
      </c>
      <c r="J308" s="20">
        <f>IF(OR($E308="",$D308=""),"",IF(AND($L308&gt;0.005,$D308&lt;Hoje),Hoje-$D308,0))</f>
        <v>0</v>
      </c>
      <c r="K308" s="20">
        <f>IF($J308="","",IF($L308&lt;=0.005,"Pago",IF($J308&lt;=0,"A vencer",IF($J308&lt;=15,"1-15 dias",IF($J308&lt;=30,"16-30 dias",IF($J308&lt;=60,"31-60 dias","Mais de 60 dias"))))))</f>
        <v>0</v>
      </c>
      <c r="L308" s="21">
        <f>IF($E308="","",MAX(0,$E308-N($G308)))</f>
        <v>0</v>
      </c>
      <c r="M308" s="21">
        <f>IF(OR($L308="",$J308=""),"",IF($J308&gt;0,ROUND($L308*Multa+$L308*Juros/30*$J308,2),0))</f>
        <v>0</v>
      </c>
      <c r="N308" s="22">
        <f>IF($L308="","",IF($L308&lt;=0.005,0,$L308+N($M308)))</f>
        <v>0</v>
      </c>
      <c r="O308" s="23">
        <f>IF(OR($I308="Vencido",$I308="Vencido (parcial)"),"Olá, "&amp;$A308&amp;"! Consta em aberto '"&amp;$B308&amp;"' com vencimento em "&amp;DAY($D308)&amp;"/"&amp;MONTH($D308)&amp;"/"&amp;YEAR($D308)&amp;", no valor de R$ "&amp;FIXED($N308,2)&amp;" (com multa e juros). Podemos ajudar a regularizar hoje? Obrigado!",IF($I308="Vence hoje","Olá, "&amp;$A308&amp;"! Lembrete: '"&amp;$B308&amp;"' vence hoje, no valor de R$ "&amp;FIXED($L308,2)&amp;". Obrigado!",""))</f>
        <v>0</v>
      </c>
    </row>
    <row r="309" spans="1:15">
      <c r="A309" s="13"/>
      <c r="B309" s="13"/>
      <c r="C309" s="17"/>
      <c r="D309" s="17"/>
      <c r="E309" s="18"/>
      <c r="F309" s="17"/>
      <c r="G309" s="18"/>
      <c r="H309" s="13"/>
      <c r="I309" s="19">
        <f>IF($E309="","",IF($L309&lt;=0.005,"Pago",IF($D309="","Sem vencimento",IF($D309&lt;Hoje,IF(N($G309)&gt;0,"Vencido (parcial)","Vencido"),IF($D309=Hoje,"Vence hoje","A vencer")))))</f>
        <v>0</v>
      </c>
      <c r="J309" s="20">
        <f>IF(OR($E309="",$D309=""),"",IF(AND($L309&gt;0.005,$D309&lt;Hoje),Hoje-$D309,0))</f>
        <v>0</v>
      </c>
      <c r="K309" s="20">
        <f>IF($J309="","",IF($L309&lt;=0.005,"Pago",IF($J309&lt;=0,"A vencer",IF($J309&lt;=15,"1-15 dias",IF($J309&lt;=30,"16-30 dias",IF($J309&lt;=60,"31-60 dias","Mais de 60 dias"))))))</f>
        <v>0</v>
      </c>
      <c r="L309" s="21">
        <f>IF($E309="","",MAX(0,$E309-N($G309)))</f>
        <v>0</v>
      </c>
      <c r="M309" s="21">
        <f>IF(OR($L309="",$J309=""),"",IF($J309&gt;0,ROUND($L309*Multa+$L309*Juros/30*$J309,2),0))</f>
        <v>0</v>
      </c>
      <c r="N309" s="22">
        <f>IF($L309="","",IF($L309&lt;=0.005,0,$L309+N($M309)))</f>
        <v>0</v>
      </c>
      <c r="O309" s="23">
        <f>IF(OR($I309="Vencido",$I309="Vencido (parcial)"),"Olá, "&amp;$A309&amp;"! Consta em aberto '"&amp;$B309&amp;"' com vencimento em "&amp;DAY($D309)&amp;"/"&amp;MONTH($D309)&amp;"/"&amp;YEAR($D309)&amp;", no valor de R$ "&amp;FIXED($N309,2)&amp;" (com multa e juros). Podemos ajudar a regularizar hoje? Obrigado!",IF($I309="Vence hoje","Olá, "&amp;$A309&amp;"! Lembrete: '"&amp;$B309&amp;"' vence hoje, no valor de R$ "&amp;FIXED($L309,2)&amp;". Obrigado!",""))</f>
        <v>0</v>
      </c>
    </row>
    <row r="310" spans="1:15">
      <c r="A310" s="13"/>
      <c r="B310" s="13"/>
      <c r="C310" s="17"/>
      <c r="D310" s="17"/>
      <c r="E310" s="18"/>
      <c r="F310" s="17"/>
      <c r="G310" s="18"/>
      <c r="H310" s="13"/>
      <c r="I310" s="19">
        <f>IF($E310="","",IF($L310&lt;=0.005,"Pago",IF($D310="","Sem vencimento",IF($D310&lt;Hoje,IF(N($G310)&gt;0,"Vencido (parcial)","Vencido"),IF($D310=Hoje,"Vence hoje","A vencer")))))</f>
        <v>0</v>
      </c>
      <c r="J310" s="20">
        <f>IF(OR($E310="",$D310=""),"",IF(AND($L310&gt;0.005,$D310&lt;Hoje),Hoje-$D310,0))</f>
        <v>0</v>
      </c>
      <c r="K310" s="20">
        <f>IF($J310="","",IF($L310&lt;=0.005,"Pago",IF($J310&lt;=0,"A vencer",IF($J310&lt;=15,"1-15 dias",IF($J310&lt;=30,"16-30 dias",IF($J310&lt;=60,"31-60 dias","Mais de 60 dias"))))))</f>
        <v>0</v>
      </c>
      <c r="L310" s="21">
        <f>IF($E310="","",MAX(0,$E310-N($G310)))</f>
        <v>0</v>
      </c>
      <c r="M310" s="21">
        <f>IF(OR($L310="",$J310=""),"",IF($J310&gt;0,ROUND($L310*Multa+$L310*Juros/30*$J310,2),0))</f>
        <v>0</v>
      </c>
      <c r="N310" s="22">
        <f>IF($L310="","",IF($L310&lt;=0.005,0,$L310+N($M310)))</f>
        <v>0</v>
      </c>
      <c r="O310" s="23">
        <f>IF(OR($I310="Vencido",$I310="Vencido (parcial)"),"Olá, "&amp;$A310&amp;"! Consta em aberto '"&amp;$B310&amp;"' com vencimento em "&amp;DAY($D310)&amp;"/"&amp;MONTH($D310)&amp;"/"&amp;YEAR($D310)&amp;", no valor de R$ "&amp;FIXED($N310,2)&amp;" (com multa e juros). Podemos ajudar a regularizar hoje? Obrigado!",IF($I310="Vence hoje","Olá, "&amp;$A310&amp;"! Lembrete: '"&amp;$B310&amp;"' vence hoje, no valor de R$ "&amp;FIXED($L310,2)&amp;". Obrigado!",""))</f>
        <v>0</v>
      </c>
    </row>
    <row r="311" spans="1:15">
      <c r="A311" s="13"/>
      <c r="B311" s="13"/>
      <c r="C311" s="17"/>
      <c r="D311" s="17"/>
      <c r="E311" s="18"/>
      <c r="F311" s="17"/>
      <c r="G311" s="18"/>
      <c r="H311" s="13"/>
      <c r="I311" s="19">
        <f>IF($E311="","",IF($L311&lt;=0.005,"Pago",IF($D311="","Sem vencimento",IF($D311&lt;Hoje,IF(N($G311)&gt;0,"Vencido (parcial)","Vencido"),IF($D311=Hoje,"Vence hoje","A vencer")))))</f>
        <v>0</v>
      </c>
      <c r="J311" s="20">
        <f>IF(OR($E311="",$D311=""),"",IF(AND($L311&gt;0.005,$D311&lt;Hoje),Hoje-$D311,0))</f>
        <v>0</v>
      </c>
      <c r="K311" s="20">
        <f>IF($J311="","",IF($L311&lt;=0.005,"Pago",IF($J311&lt;=0,"A vencer",IF($J311&lt;=15,"1-15 dias",IF($J311&lt;=30,"16-30 dias",IF($J311&lt;=60,"31-60 dias","Mais de 60 dias"))))))</f>
        <v>0</v>
      </c>
      <c r="L311" s="21">
        <f>IF($E311="","",MAX(0,$E311-N($G311)))</f>
        <v>0</v>
      </c>
      <c r="M311" s="21">
        <f>IF(OR($L311="",$J311=""),"",IF($J311&gt;0,ROUND($L311*Multa+$L311*Juros/30*$J311,2),0))</f>
        <v>0</v>
      </c>
      <c r="N311" s="22">
        <f>IF($L311="","",IF($L311&lt;=0.005,0,$L311+N($M311)))</f>
        <v>0</v>
      </c>
      <c r="O311" s="23">
        <f>IF(OR($I311="Vencido",$I311="Vencido (parcial)"),"Olá, "&amp;$A311&amp;"! Consta em aberto '"&amp;$B311&amp;"' com vencimento em "&amp;DAY($D311)&amp;"/"&amp;MONTH($D311)&amp;"/"&amp;YEAR($D311)&amp;", no valor de R$ "&amp;FIXED($N311,2)&amp;" (com multa e juros). Podemos ajudar a regularizar hoje? Obrigado!",IF($I311="Vence hoje","Olá, "&amp;$A311&amp;"! Lembrete: '"&amp;$B311&amp;"' vence hoje, no valor de R$ "&amp;FIXED($L311,2)&amp;". Obrigado!",""))</f>
        <v>0</v>
      </c>
    </row>
    <row r="312" spans="1:15">
      <c r="A312" s="13"/>
      <c r="B312" s="13"/>
      <c r="C312" s="17"/>
      <c r="D312" s="17"/>
      <c r="E312" s="18"/>
      <c r="F312" s="17"/>
      <c r="G312" s="18"/>
      <c r="H312" s="13"/>
      <c r="I312" s="19">
        <f>IF($E312="","",IF($L312&lt;=0.005,"Pago",IF($D312="","Sem vencimento",IF($D312&lt;Hoje,IF(N($G312)&gt;0,"Vencido (parcial)","Vencido"),IF($D312=Hoje,"Vence hoje","A vencer")))))</f>
        <v>0</v>
      </c>
      <c r="J312" s="20">
        <f>IF(OR($E312="",$D312=""),"",IF(AND($L312&gt;0.005,$D312&lt;Hoje),Hoje-$D312,0))</f>
        <v>0</v>
      </c>
      <c r="K312" s="20">
        <f>IF($J312="","",IF($L312&lt;=0.005,"Pago",IF($J312&lt;=0,"A vencer",IF($J312&lt;=15,"1-15 dias",IF($J312&lt;=30,"16-30 dias",IF($J312&lt;=60,"31-60 dias","Mais de 60 dias"))))))</f>
        <v>0</v>
      </c>
      <c r="L312" s="21">
        <f>IF($E312="","",MAX(0,$E312-N($G312)))</f>
        <v>0</v>
      </c>
      <c r="M312" s="21">
        <f>IF(OR($L312="",$J312=""),"",IF($J312&gt;0,ROUND($L312*Multa+$L312*Juros/30*$J312,2),0))</f>
        <v>0</v>
      </c>
      <c r="N312" s="22">
        <f>IF($L312="","",IF($L312&lt;=0.005,0,$L312+N($M312)))</f>
        <v>0</v>
      </c>
      <c r="O312" s="23">
        <f>IF(OR($I312="Vencido",$I312="Vencido (parcial)"),"Olá, "&amp;$A312&amp;"! Consta em aberto '"&amp;$B312&amp;"' com vencimento em "&amp;DAY($D312)&amp;"/"&amp;MONTH($D312)&amp;"/"&amp;YEAR($D312)&amp;", no valor de R$ "&amp;FIXED($N312,2)&amp;" (com multa e juros). Podemos ajudar a regularizar hoje? Obrigado!",IF($I312="Vence hoje","Olá, "&amp;$A312&amp;"! Lembrete: '"&amp;$B312&amp;"' vence hoje, no valor de R$ "&amp;FIXED($L312,2)&amp;". Obrigado!",""))</f>
        <v>0</v>
      </c>
    </row>
    <row r="313" spans="1:15">
      <c r="A313" s="13"/>
      <c r="B313" s="13"/>
      <c r="C313" s="17"/>
      <c r="D313" s="17"/>
      <c r="E313" s="18"/>
      <c r="F313" s="17"/>
      <c r="G313" s="18"/>
      <c r="H313" s="13"/>
      <c r="I313" s="19">
        <f>IF($E313="","",IF($L313&lt;=0.005,"Pago",IF($D313="","Sem vencimento",IF($D313&lt;Hoje,IF(N($G313)&gt;0,"Vencido (parcial)","Vencido"),IF($D313=Hoje,"Vence hoje","A vencer")))))</f>
        <v>0</v>
      </c>
      <c r="J313" s="20">
        <f>IF(OR($E313="",$D313=""),"",IF(AND($L313&gt;0.005,$D313&lt;Hoje),Hoje-$D313,0))</f>
        <v>0</v>
      </c>
      <c r="K313" s="20">
        <f>IF($J313="","",IF($L313&lt;=0.005,"Pago",IF($J313&lt;=0,"A vencer",IF($J313&lt;=15,"1-15 dias",IF($J313&lt;=30,"16-30 dias",IF($J313&lt;=60,"31-60 dias","Mais de 60 dias"))))))</f>
        <v>0</v>
      </c>
      <c r="L313" s="21">
        <f>IF($E313="","",MAX(0,$E313-N($G313)))</f>
        <v>0</v>
      </c>
      <c r="M313" s="21">
        <f>IF(OR($L313="",$J313=""),"",IF($J313&gt;0,ROUND($L313*Multa+$L313*Juros/30*$J313,2),0))</f>
        <v>0</v>
      </c>
      <c r="N313" s="22">
        <f>IF($L313="","",IF($L313&lt;=0.005,0,$L313+N($M313)))</f>
        <v>0</v>
      </c>
      <c r="O313" s="23">
        <f>IF(OR($I313="Vencido",$I313="Vencido (parcial)"),"Olá, "&amp;$A313&amp;"! Consta em aberto '"&amp;$B313&amp;"' com vencimento em "&amp;DAY($D313)&amp;"/"&amp;MONTH($D313)&amp;"/"&amp;YEAR($D313)&amp;", no valor de R$ "&amp;FIXED($N313,2)&amp;" (com multa e juros). Podemos ajudar a regularizar hoje? Obrigado!",IF($I313="Vence hoje","Olá, "&amp;$A313&amp;"! Lembrete: '"&amp;$B313&amp;"' vence hoje, no valor de R$ "&amp;FIXED($L313,2)&amp;". Obrigado!",""))</f>
        <v>0</v>
      </c>
    </row>
    <row r="314" spans="1:15">
      <c r="A314" s="13"/>
      <c r="B314" s="13"/>
      <c r="C314" s="17"/>
      <c r="D314" s="17"/>
      <c r="E314" s="18"/>
      <c r="F314" s="17"/>
      <c r="G314" s="18"/>
      <c r="H314" s="13"/>
      <c r="I314" s="19">
        <f>IF($E314="","",IF($L314&lt;=0.005,"Pago",IF($D314="","Sem vencimento",IF($D314&lt;Hoje,IF(N($G314)&gt;0,"Vencido (parcial)","Vencido"),IF($D314=Hoje,"Vence hoje","A vencer")))))</f>
        <v>0</v>
      </c>
      <c r="J314" s="20">
        <f>IF(OR($E314="",$D314=""),"",IF(AND($L314&gt;0.005,$D314&lt;Hoje),Hoje-$D314,0))</f>
        <v>0</v>
      </c>
      <c r="K314" s="20">
        <f>IF($J314="","",IF($L314&lt;=0.005,"Pago",IF($J314&lt;=0,"A vencer",IF($J314&lt;=15,"1-15 dias",IF($J314&lt;=30,"16-30 dias",IF($J314&lt;=60,"31-60 dias","Mais de 60 dias"))))))</f>
        <v>0</v>
      </c>
      <c r="L314" s="21">
        <f>IF($E314="","",MAX(0,$E314-N($G314)))</f>
        <v>0</v>
      </c>
      <c r="M314" s="21">
        <f>IF(OR($L314="",$J314=""),"",IF($J314&gt;0,ROUND($L314*Multa+$L314*Juros/30*$J314,2),0))</f>
        <v>0</v>
      </c>
      <c r="N314" s="22">
        <f>IF($L314="","",IF($L314&lt;=0.005,0,$L314+N($M314)))</f>
        <v>0</v>
      </c>
      <c r="O314" s="23">
        <f>IF(OR($I314="Vencido",$I314="Vencido (parcial)"),"Olá, "&amp;$A314&amp;"! Consta em aberto '"&amp;$B314&amp;"' com vencimento em "&amp;DAY($D314)&amp;"/"&amp;MONTH($D314)&amp;"/"&amp;YEAR($D314)&amp;", no valor de R$ "&amp;FIXED($N314,2)&amp;" (com multa e juros). Podemos ajudar a regularizar hoje? Obrigado!",IF($I314="Vence hoje","Olá, "&amp;$A314&amp;"! Lembrete: '"&amp;$B314&amp;"' vence hoje, no valor de R$ "&amp;FIXED($L314,2)&amp;". Obrigado!",""))</f>
        <v>0</v>
      </c>
    </row>
    <row r="315" spans="1:15">
      <c r="A315" s="13"/>
      <c r="B315" s="13"/>
      <c r="C315" s="17"/>
      <c r="D315" s="17"/>
      <c r="E315" s="18"/>
      <c r="F315" s="17"/>
      <c r="G315" s="18"/>
      <c r="H315" s="13"/>
      <c r="I315" s="19">
        <f>IF($E315="","",IF($L315&lt;=0.005,"Pago",IF($D315="","Sem vencimento",IF($D315&lt;Hoje,IF(N($G315)&gt;0,"Vencido (parcial)","Vencido"),IF($D315=Hoje,"Vence hoje","A vencer")))))</f>
        <v>0</v>
      </c>
      <c r="J315" s="20">
        <f>IF(OR($E315="",$D315=""),"",IF(AND($L315&gt;0.005,$D315&lt;Hoje),Hoje-$D315,0))</f>
        <v>0</v>
      </c>
      <c r="K315" s="20">
        <f>IF($J315="","",IF($L315&lt;=0.005,"Pago",IF($J315&lt;=0,"A vencer",IF($J315&lt;=15,"1-15 dias",IF($J315&lt;=30,"16-30 dias",IF($J315&lt;=60,"31-60 dias","Mais de 60 dias"))))))</f>
        <v>0</v>
      </c>
      <c r="L315" s="21">
        <f>IF($E315="","",MAX(0,$E315-N($G315)))</f>
        <v>0</v>
      </c>
      <c r="M315" s="21">
        <f>IF(OR($L315="",$J315=""),"",IF($J315&gt;0,ROUND($L315*Multa+$L315*Juros/30*$J315,2),0))</f>
        <v>0</v>
      </c>
      <c r="N315" s="22">
        <f>IF($L315="","",IF($L315&lt;=0.005,0,$L315+N($M315)))</f>
        <v>0</v>
      </c>
      <c r="O315" s="23">
        <f>IF(OR($I315="Vencido",$I315="Vencido (parcial)"),"Olá, "&amp;$A315&amp;"! Consta em aberto '"&amp;$B315&amp;"' com vencimento em "&amp;DAY($D315)&amp;"/"&amp;MONTH($D315)&amp;"/"&amp;YEAR($D315)&amp;", no valor de R$ "&amp;FIXED($N315,2)&amp;" (com multa e juros). Podemos ajudar a regularizar hoje? Obrigado!",IF($I315="Vence hoje","Olá, "&amp;$A315&amp;"! Lembrete: '"&amp;$B315&amp;"' vence hoje, no valor de R$ "&amp;FIXED($L315,2)&amp;". Obrigado!",""))</f>
        <v>0</v>
      </c>
    </row>
    <row r="316" spans="1:15">
      <c r="A316" s="13"/>
      <c r="B316" s="13"/>
      <c r="C316" s="17"/>
      <c r="D316" s="17"/>
      <c r="E316" s="18"/>
      <c r="F316" s="17"/>
      <c r="G316" s="18"/>
      <c r="H316" s="13"/>
      <c r="I316" s="19">
        <f>IF($E316="","",IF($L316&lt;=0.005,"Pago",IF($D316="","Sem vencimento",IF($D316&lt;Hoje,IF(N($G316)&gt;0,"Vencido (parcial)","Vencido"),IF($D316=Hoje,"Vence hoje","A vencer")))))</f>
        <v>0</v>
      </c>
      <c r="J316" s="20">
        <f>IF(OR($E316="",$D316=""),"",IF(AND($L316&gt;0.005,$D316&lt;Hoje),Hoje-$D316,0))</f>
        <v>0</v>
      </c>
      <c r="K316" s="20">
        <f>IF($J316="","",IF($L316&lt;=0.005,"Pago",IF($J316&lt;=0,"A vencer",IF($J316&lt;=15,"1-15 dias",IF($J316&lt;=30,"16-30 dias",IF($J316&lt;=60,"31-60 dias","Mais de 60 dias"))))))</f>
        <v>0</v>
      </c>
      <c r="L316" s="21">
        <f>IF($E316="","",MAX(0,$E316-N($G316)))</f>
        <v>0</v>
      </c>
      <c r="M316" s="21">
        <f>IF(OR($L316="",$J316=""),"",IF($J316&gt;0,ROUND($L316*Multa+$L316*Juros/30*$J316,2),0))</f>
        <v>0</v>
      </c>
      <c r="N316" s="22">
        <f>IF($L316="","",IF($L316&lt;=0.005,0,$L316+N($M316)))</f>
        <v>0</v>
      </c>
      <c r="O316" s="23">
        <f>IF(OR($I316="Vencido",$I316="Vencido (parcial)"),"Olá, "&amp;$A316&amp;"! Consta em aberto '"&amp;$B316&amp;"' com vencimento em "&amp;DAY($D316)&amp;"/"&amp;MONTH($D316)&amp;"/"&amp;YEAR($D316)&amp;", no valor de R$ "&amp;FIXED($N316,2)&amp;" (com multa e juros). Podemos ajudar a regularizar hoje? Obrigado!",IF($I316="Vence hoje","Olá, "&amp;$A316&amp;"! Lembrete: '"&amp;$B316&amp;"' vence hoje, no valor de R$ "&amp;FIXED($L316,2)&amp;". Obrigado!",""))</f>
        <v>0</v>
      </c>
    </row>
    <row r="317" spans="1:15">
      <c r="A317" s="13"/>
      <c r="B317" s="13"/>
      <c r="C317" s="17"/>
      <c r="D317" s="17"/>
      <c r="E317" s="18"/>
      <c r="F317" s="17"/>
      <c r="G317" s="18"/>
      <c r="H317" s="13"/>
      <c r="I317" s="19">
        <f>IF($E317="","",IF($L317&lt;=0.005,"Pago",IF($D317="","Sem vencimento",IF($D317&lt;Hoje,IF(N($G317)&gt;0,"Vencido (parcial)","Vencido"),IF($D317=Hoje,"Vence hoje","A vencer")))))</f>
        <v>0</v>
      </c>
      <c r="J317" s="20">
        <f>IF(OR($E317="",$D317=""),"",IF(AND($L317&gt;0.005,$D317&lt;Hoje),Hoje-$D317,0))</f>
        <v>0</v>
      </c>
      <c r="K317" s="20">
        <f>IF($J317="","",IF($L317&lt;=0.005,"Pago",IF($J317&lt;=0,"A vencer",IF($J317&lt;=15,"1-15 dias",IF($J317&lt;=30,"16-30 dias",IF($J317&lt;=60,"31-60 dias","Mais de 60 dias"))))))</f>
        <v>0</v>
      </c>
      <c r="L317" s="21">
        <f>IF($E317="","",MAX(0,$E317-N($G317)))</f>
        <v>0</v>
      </c>
      <c r="M317" s="21">
        <f>IF(OR($L317="",$J317=""),"",IF($J317&gt;0,ROUND($L317*Multa+$L317*Juros/30*$J317,2),0))</f>
        <v>0</v>
      </c>
      <c r="N317" s="22">
        <f>IF($L317="","",IF($L317&lt;=0.005,0,$L317+N($M317)))</f>
        <v>0</v>
      </c>
      <c r="O317" s="23">
        <f>IF(OR($I317="Vencido",$I317="Vencido (parcial)"),"Olá, "&amp;$A317&amp;"! Consta em aberto '"&amp;$B317&amp;"' com vencimento em "&amp;DAY($D317)&amp;"/"&amp;MONTH($D317)&amp;"/"&amp;YEAR($D317)&amp;", no valor de R$ "&amp;FIXED($N317,2)&amp;" (com multa e juros). Podemos ajudar a regularizar hoje? Obrigado!",IF($I317="Vence hoje","Olá, "&amp;$A317&amp;"! Lembrete: '"&amp;$B317&amp;"' vence hoje, no valor de R$ "&amp;FIXED($L317,2)&amp;". Obrigado!",""))</f>
        <v>0</v>
      </c>
    </row>
    <row r="318" spans="1:15">
      <c r="A318" s="13"/>
      <c r="B318" s="13"/>
      <c r="C318" s="17"/>
      <c r="D318" s="17"/>
      <c r="E318" s="18"/>
      <c r="F318" s="17"/>
      <c r="G318" s="18"/>
      <c r="H318" s="13"/>
      <c r="I318" s="19">
        <f>IF($E318="","",IF($L318&lt;=0.005,"Pago",IF($D318="","Sem vencimento",IF($D318&lt;Hoje,IF(N($G318)&gt;0,"Vencido (parcial)","Vencido"),IF($D318=Hoje,"Vence hoje","A vencer")))))</f>
        <v>0</v>
      </c>
      <c r="J318" s="20">
        <f>IF(OR($E318="",$D318=""),"",IF(AND($L318&gt;0.005,$D318&lt;Hoje),Hoje-$D318,0))</f>
        <v>0</v>
      </c>
      <c r="K318" s="20">
        <f>IF($J318="","",IF($L318&lt;=0.005,"Pago",IF($J318&lt;=0,"A vencer",IF($J318&lt;=15,"1-15 dias",IF($J318&lt;=30,"16-30 dias",IF($J318&lt;=60,"31-60 dias","Mais de 60 dias"))))))</f>
        <v>0</v>
      </c>
      <c r="L318" s="21">
        <f>IF($E318="","",MAX(0,$E318-N($G318)))</f>
        <v>0</v>
      </c>
      <c r="M318" s="21">
        <f>IF(OR($L318="",$J318=""),"",IF($J318&gt;0,ROUND($L318*Multa+$L318*Juros/30*$J318,2),0))</f>
        <v>0</v>
      </c>
      <c r="N318" s="22">
        <f>IF($L318="","",IF($L318&lt;=0.005,0,$L318+N($M318)))</f>
        <v>0</v>
      </c>
      <c r="O318" s="23">
        <f>IF(OR($I318="Vencido",$I318="Vencido (parcial)"),"Olá, "&amp;$A318&amp;"! Consta em aberto '"&amp;$B318&amp;"' com vencimento em "&amp;DAY($D318)&amp;"/"&amp;MONTH($D318)&amp;"/"&amp;YEAR($D318)&amp;", no valor de R$ "&amp;FIXED($N318,2)&amp;" (com multa e juros). Podemos ajudar a regularizar hoje? Obrigado!",IF($I318="Vence hoje","Olá, "&amp;$A318&amp;"! Lembrete: '"&amp;$B318&amp;"' vence hoje, no valor de R$ "&amp;FIXED($L318,2)&amp;". Obrigado!",""))</f>
        <v>0</v>
      </c>
    </row>
    <row r="319" spans="1:15">
      <c r="A319" s="13"/>
      <c r="B319" s="13"/>
      <c r="C319" s="17"/>
      <c r="D319" s="17"/>
      <c r="E319" s="18"/>
      <c r="F319" s="17"/>
      <c r="G319" s="18"/>
      <c r="H319" s="13"/>
      <c r="I319" s="19">
        <f>IF($E319="","",IF($L319&lt;=0.005,"Pago",IF($D319="","Sem vencimento",IF($D319&lt;Hoje,IF(N($G319)&gt;0,"Vencido (parcial)","Vencido"),IF($D319=Hoje,"Vence hoje","A vencer")))))</f>
        <v>0</v>
      </c>
      <c r="J319" s="20">
        <f>IF(OR($E319="",$D319=""),"",IF(AND($L319&gt;0.005,$D319&lt;Hoje),Hoje-$D319,0))</f>
        <v>0</v>
      </c>
      <c r="K319" s="20">
        <f>IF($J319="","",IF($L319&lt;=0.005,"Pago",IF($J319&lt;=0,"A vencer",IF($J319&lt;=15,"1-15 dias",IF($J319&lt;=30,"16-30 dias",IF($J319&lt;=60,"31-60 dias","Mais de 60 dias"))))))</f>
        <v>0</v>
      </c>
      <c r="L319" s="21">
        <f>IF($E319="","",MAX(0,$E319-N($G319)))</f>
        <v>0</v>
      </c>
      <c r="M319" s="21">
        <f>IF(OR($L319="",$J319=""),"",IF($J319&gt;0,ROUND($L319*Multa+$L319*Juros/30*$J319,2),0))</f>
        <v>0</v>
      </c>
      <c r="N319" s="22">
        <f>IF($L319="","",IF($L319&lt;=0.005,0,$L319+N($M319)))</f>
        <v>0</v>
      </c>
      <c r="O319" s="23">
        <f>IF(OR($I319="Vencido",$I319="Vencido (parcial)"),"Olá, "&amp;$A319&amp;"! Consta em aberto '"&amp;$B319&amp;"' com vencimento em "&amp;DAY($D319)&amp;"/"&amp;MONTH($D319)&amp;"/"&amp;YEAR($D319)&amp;", no valor de R$ "&amp;FIXED($N319,2)&amp;" (com multa e juros). Podemos ajudar a regularizar hoje? Obrigado!",IF($I319="Vence hoje","Olá, "&amp;$A319&amp;"! Lembrete: '"&amp;$B319&amp;"' vence hoje, no valor de R$ "&amp;FIXED($L319,2)&amp;". Obrigado!",""))</f>
        <v>0</v>
      </c>
    </row>
    <row r="320" spans="1:15">
      <c r="A320" s="13"/>
      <c r="B320" s="13"/>
      <c r="C320" s="17"/>
      <c r="D320" s="17"/>
      <c r="E320" s="18"/>
      <c r="F320" s="17"/>
      <c r="G320" s="18"/>
      <c r="H320" s="13"/>
      <c r="I320" s="19">
        <f>IF($E320="","",IF($L320&lt;=0.005,"Pago",IF($D320="","Sem vencimento",IF($D320&lt;Hoje,IF(N($G320)&gt;0,"Vencido (parcial)","Vencido"),IF($D320=Hoje,"Vence hoje","A vencer")))))</f>
        <v>0</v>
      </c>
      <c r="J320" s="20">
        <f>IF(OR($E320="",$D320=""),"",IF(AND($L320&gt;0.005,$D320&lt;Hoje),Hoje-$D320,0))</f>
        <v>0</v>
      </c>
      <c r="K320" s="20">
        <f>IF($J320="","",IF($L320&lt;=0.005,"Pago",IF($J320&lt;=0,"A vencer",IF($J320&lt;=15,"1-15 dias",IF($J320&lt;=30,"16-30 dias",IF($J320&lt;=60,"31-60 dias","Mais de 60 dias"))))))</f>
        <v>0</v>
      </c>
      <c r="L320" s="21">
        <f>IF($E320="","",MAX(0,$E320-N($G320)))</f>
        <v>0</v>
      </c>
      <c r="M320" s="21">
        <f>IF(OR($L320="",$J320=""),"",IF($J320&gt;0,ROUND($L320*Multa+$L320*Juros/30*$J320,2),0))</f>
        <v>0</v>
      </c>
      <c r="N320" s="22">
        <f>IF($L320="","",IF($L320&lt;=0.005,0,$L320+N($M320)))</f>
        <v>0</v>
      </c>
      <c r="O320" s="23">
        <f>IF(OR($I320="Vencido",$I320="Vencido (parcial)"),"Olá, "&amp;$A320&amp;"! Consta em aberto '"&amp;$B320&amp;"' com vencimento em "&amp;DAY($D320)&amp;"/"&amp;MONTH($D320)&amp;"/"&amp;YEAR($D320)&amp;", no valor de R$ "&amp;FIXED($N320,2)&amp;" (com multa e juros). Podemos ajudar a regularizar hoje? Obrigado!",IF($I320="Vence hoje","Olá, "&amp;$A320&amp;"! Lembrete: '"&amp;$B320&amp;"' vence hoje, no valor de R$ "&amp;FIXED($L320,2)&amp;". Obrigado!",""))</f>
        <v>0</v>
      </c>
    </row>
    <row r="321" spans="1:15">
      <c r="A321" s="13"/>
      <c r="B321" s="13"/>
      <c r="C321" s="17"/>
      <c r="D321" s="17"/>
      <c r="E321" s="18"/>
      <c r="F321" s="17"/>
      <c r="G321" s="18"/>
      <c r="H321" s="13"/>
      <c r="I321" s="19">
        <f>IF($E321="","",IF($L321&lt;=0.005,"Pago",IF($D321="","Sem vencimento",IF($D321&lt;Hoje,IF(N($G321)&gt;0,"Vencido (parcial)","Vencido"),IF($D321=Hoje,"Vence hoje","A vencer")))))</f>
        <v>0</v>
      </c>
      <c r="J321" s="20">
        <f>IF(OR($E321="",$D321=""),"",IF(AND($L321&gt;0.005,$D321&lt;Hoje),Hoje-$D321,0))</f>
        <v>0</v>
      </c>
      <c r="K321" s="20">
        <f>IF($J321="","",IF($L321&lt;=0.005,"Pago",IF($J321&lt;=0,"A vencer",IF($J321&lt;=15,"1-15 dias",IF($J321&lt;=30,"16-30 dias",IF($J321&lt;=60,"31-60 dias","Mais de 60 dias"))))))</f>
        <v>0</v>
      </c>
      <c r="L321" s="21">
        <f>IF($E321="","",MAX(0,$E321-N($G321)))</f>
        <v>0</v>
      </c>
      <c r="M321" s="21">
        <f>IF(OR($L321="",$J321=""),"",IF($J321&gt;0,ROUND($L321*Multa+$L321*Juros/30*$J321,2),0))</f>
        <v>0</v>
      </c>
      <c r="N321" s="22">
        <f>IF($L321="","",IF($L321&lt;=0.005,0,$L321+N($M321)))</f>
        <v>0</v>
      </c>
      <c r="O321" s="23">
        <f>IF(OR($I321="Vencido",$I321="Vencido (parcial)"),"Olá, "&amp;$A321&amp;"! Consta em aberto '"&amp;$B321&amp;"' com vencimento em "&amp;DAY($D321)&amp;"/"&amp;MONTH($D321)&amp;"/"&amp;YEAR($D321)&amp;", no valor de R$ "&amp;FIXED($N321,2)&amp;" (com multa e juros). Podemos ajudar a regularizar hoje? Obrigado!",IF($I321="Vence hoje","Olá, "&amp;$A321&amp;"! Lembrete: '"&amp;$B321&amp;"' vence hoje, no valor de R$ "&amp;FIXED($L321,2)&amp;". Obrigado!",""))</f>
        <v>0</v>
      </c>
    </row>
    <row r="322" spans="1:15">
      <c r="A322" s="13"/>
      <c r="B322" s="13"/>
      <c r="C322" s="17"/>
      <c r="D322" s="17"/>
      <c r="E322" s="18"/>
      <c r="F322" s="17"/>
      <c r="G322" s="18"/>
      <c r="H322" s="13"/>
      <c r="I322" s="19">
        <f>IF($E322="","",IF($L322&lt;=0.005,"Pago",IF($D322="","Sem vencimento",IF($D322&lt;Hoje,IF(N($G322)&gt;0,"Vencido (parcial)","Vencido"),IF($D322=Hoje,"Vence hoje","A vencer")))))</f>
        <v>0</v>
      </c>
      <c r="J322" s="20">
        <f>IF(OR($E322="",$D322=""),"",IF(AND($L322&gt;0.005,$D322&lt;Hoje),Hoje-$D322,0))</f>
        <v>0</v>
      </c>
      <c r="K322" s="20">
        <f>IF($J322="","",IF($L322&lt;=0.005,"Pago",IF($J322&lt;=0,"A vencer",IF($J322&lt;=15,"1-15 dias",IF($J322&lt;=30,"16-30 dias",IF($J322&lt;=60,"31-60 dias","Mais de 60 dias"))))))</f>
        <v>0</v>
      </c>
      <c r="L322" s="21">
        <f>IF($E322="","",MAX(0,$E322-N($G322)))</f>
        <v>0</v>
      </c>
      <c r="M322" s="21">
        <f>IF(OR($L322="",$J322=""),"",IF($J322&gt;0,ROUND($L322*Multa+$L322*Juros/30*$J322,2),0))</f>
        <v>0</v>
      </c>
      <c r="N322" s="22">
        <f>IF($L322="","",IF($L322&lt;=0.005,0,$L322+N($M322)))</f>
        <v>0</v>
      </c>
      <c r="O322" s="23">
        <f>IF(OR($I322="Vencido",$I322="Vencido (parcial)"),"Olá, "&amp;$A322&amp;"! Consta em aberto '"&amp;$B322&amp;"' com vencimento em "&amp;DAY($D322)&amp;"/"&amp;MONTH($D322)&amp;"/"&amp;YEAR($D322)&amp;", no valor de R$ "&amp;FIXED($N322,2)&amp;" (com multa e juros). Podemos ajudar a regularizar hoje? Obrigado!",IF($I322="Vence hoje","Olá, "&amp;$A322&amp;"! Lembrete: '"&amp;$B322&amp;"' vence hoje, no valor de R$ "&amp;FIXED($L322,2)&amp;". Obrigado!",""))</f>
        <v>0</v>
      </c>
    </row>
    <row r="323" spans="1:15">
      <c r="A323" s="13"/>
      <c r="B323" s="13"/>
      <c r="C323" s="17"/>
      <c r="D323" s="17"/>
      <c r="E323" s="18"/>
      <c r="F323" s="17"/>
      <c r="G323" s="18"/>
      <c r="H323" s="13"/>
      <c r="I323" s="19">
        <f>IF($E323="","",IF($L323&lt;=0.005,"Pago",IF($D323="","Sem vencimento",IF($D323&lt;Hoje,IF(N($G323)&gt;0,"Vencido (parcial)","Vencido"),IF($D323=Hoje,"Vence hoje","A vencer")))))</f>
        <v>0</v>
      </c>
      <c r="J323" s="20">
        <f>IF(OR($E323="",$D323=""),"",IF(AND($L323&gt;0.005,$D323&lt;Hoje),Hoje-$D323,0))</f>
        <v>0</v>
      </c>
      <c r="K323" s="20">
        <f>IF($J323="","",IF($L323&lt;=0.005,"Pago",IF($J323&lt;=0,"A vencer",IF($J323&lt;=15,"1-15 dias",IF($J323&lt;=30,"16-30 dias",IF($J323&lt;=60,"31-60 dias","Mais de 60 dias"))))))</f>
        <v>0</v>
      </c>
      <c r="L323" s="21">
        <f>IF($E323="","",MAX(0,$E323-N($G323)))</f>
        <v>0</v>
      </c>
      <c r="M323" s="21">
        <f>IF(OR($L323="",$J323=""),"",IF($J323&gt;0,ROUND($L323*Multa+$L323*Juros/30*$J323,2),0))</f>
        <v>0</v>
      </c>
      <c r="N323" s="22">
        <f>IF($L323="","",IF($L323&lt;=0.005,0,$L323+N($M323)))</f>
        <v>0</v>
      </c>
      <c r="O323" s="23">
        <f>IF(OR($I323="Vencido",$I323="Vencido (parcial)"),"Olá, "&amp;$A323&amp;"! Consta em aberto '"&amp;$B323&amp;"' com vencimento em "&amp;DAY($D323)&amp;"/"&amp;MONTH($D323)&amp;"/"&amp;YEAR($D323)&amp;", no valor de R$ "&amp;FIXED($N323,2)&amp;" (com multa e juros). Podemos ajudar a regularizar hoje? Obrigado!",IF($I323="Vence hoje","Olá, "&amp;$A323&amp;"! Lembrete: '"&amp;$B323&amp;"' vence hoje, no valor de R$ "&amp;FIXED($L323,2)&amp;". Obrigado!",""))</f>
        <v>0</v>
      </c>
    </row>
    <row r="324" spans="1:15">
      <c r="A324" s="13"/>
      <c r="B324" s="13"/>
      <c r="C324" s="17"/>
      <c r="D324" s="17"/>
      <c r="E324" s="18"/>
      <c r="F324" s="17"/>
      <c r="G324" s="18"/>
      <c r="H324" s="13"/>
      <c r="I324" s="19">
        <f>IF($E324="","",IF($L324&lt;=0.005,"Pago",IF($D324="","Sem vencimento",IF($D324&lt;Hoje,IF(N($G324)&gt;0,"Vencido (parcial)","Vencido"),IF($D324=Hoje,"Vence hoje","A vencer")))))</f>
        <v>0</v>
      </c>
      <c r="J324" s="20">
        <f>IF(OR($E324="",$D324=""),"",IF(AND($L324&gt;0.005,$D324&lt;Hoje),Hoje-$D324,0))</f>
        <v>0</v>
      </c>
      <c r="K324" s="20">
        <f>IF($J324="","",IF($L324&lt;=0.005,"Pago",IF($J324&lt;=0,"A vencer",IF($J324&lt;=15,"1-15 dias",IF($J324&lt;=30,"16-30 dias",IF($J324&lt;=60,"31-60 dias","Mais de 60 dias"))))))</f>
        <v>0</v>
      </c>
      <c r="L324" s="21">
        <f>IF($E324="","",MAX(0,$E324-N($G324)))</f>
        <v>0</v>
      </c>
      <c r="M324" s="21">
        <f>IF(OR($L324="",$J324=""),"",IF($J324&gt;0,ROUND($L324*Multa+$L324*Juros/30*$J324,2),0))</f>
        <v>0</v>
      </c>
      <c r="N324" s="22">
        <f>IF($L324="","",IF($L324&lt;=0.005,0,$L324+N($M324)))</f>
        <v>0</v>
      </c>
      <c r="O324" s="23">
        <f>IF(OR($I324="Vencido",$I324="Vencido (parcial)"),"Olá, "&amp;$A324&amp;"! Consta em aberto '"&amp;$B324&amp;"' com vencimento em "&amp;DAY($D324)&amp;"/"&amp;MONTH($D324)&amp;"/"&amp;YEAR($D324)&amp;", no valor de R$ "&amp;FIXED($N324,2)&amp;" (com multa e juros). Podemos ajudar a regularizar hoje? Obrigado!",IF($I324="Vence hoje","Olá, "&amp;$A324&amp;"! Lembrete: '"&amp;$B324&amp;"' vence hoje, no valor de R$ "&amp;FIXED($L324,2)&amp;". Obrigado!",""))</f>
        <v>0</v>
      </c>
    </row>
    <row r="325" spans="1:15">
      <c r="A325" s="13"/>
      <c r="B325" s="13"/>
      <c r="C325" s="17"/>
      <c r="D325" s="17"/>
      <c r="E325" s="18"/>
      <c r="F325" s="17"/>
      <c r="G325" s="18"/>
      <c r="H325" s="13"/>
      <c r="I325" s="19">
        <f>IF($E325="","",IF($L325&lt;=0.005,"Pago",IF($D325="","Sem vencimento",IF($D325&lt;Hoje,IF(N($G325)&gt;0,"Vencido (parcial)","Vencido"),IF($D325=Hoje,"Vence hoje","A vencer")))))</f>
        <v>0</v>
      </c>
      <c r="J325" s="20">
        <f>IF(OR($E325="",$D325=""),"",IF(AND($L325&gt;0.005,$D325&lt;Hoje),Hoje-$D325,0))</f>
        <v>0</v>
      </c>
      <c r="K325" s="20">
        <f>IF($J325="","",IF($L325&lt;=0.005,"Pago",IF($J325&lt;=0,"A vencer",IF($J325&lt;=15,"1-15 dias",IF($J325&lt;=30,"16-30 dias",IF($J325&lt;=60,"31-60 dias","Mais de 60 dias"))))))</f>
        <v>0</v>
      </c>
      <c r="L325" s="21">
        <f>IF($E325="","",MAX(0,$E325-N($G325)))</f>
        <v>0</v>
      </c>
      <c r="M325" s="21">
        <f>IF(OR($L325="",$J325=""),"",IF($J325&gt;0,ROUND($L325*Multa+$L325*Juros/30*$J325,2),0))</f>
        <v>0</v>
      </c>
      <c r="N325" s="22">
        <f>IF($L325="","",IF($L325&lt;=0.005,0,$L325+N($M325)))</f>
        <v>0</v>
      </c>
      <c r="O325" s="23">
        <f>IF(OR($I325="Vencido",$I325="Vencido (parcial)"),"Olá, "&amp;$A325&amp;"! Consta em aberto '"&amp;$B325&amp;"' com vencimento em "&amp;DAY($D325)&amp;"/"&amp;MONTH($D325)&amp;"/"&amp;YEAR($D325)&amp;", no valor de R$ "&amp;FIXED($N325,2)&amp;" (com multa e juros). Podemos ajudar a regularizar hoje? Obrigado!",IF($I325="Vence hoje","Olá, "&amp;$A325&amp;"! Lembrete: '"&amp;$B325&amp;"' vence hoje, no valor de R$ "&amp;FIXED($L325,2)&amp;". Obrigado!",""))</f>
        <v>0</v>
      </c>
    </row>
    <row r="326" spans="1:15">
      <c r="A326" s="13"/>
      <c r="B326" s="13"/>
      <c r="C326" s="17"/>
      <c r="D326" s="17"/>
      <c r="E326" s="18"/>
      <c r="F326" s="17"/>
      <c r="G326" s="18"/>
      <c r="H326" s="13"/>
      <c r="I326" s="19">
        <f>IF($E326="","",IF($L326&lt;=0.005,"Pago",IF($D326="","Sem vencimento",IF($D326&lt;Hoje,IF(N($G326)&gt;0,"Vencido (parcial)","Vencido"),IF($D326=Hoje,"Vence hoje","A vencer")))))</f>
        <v>0</v>
      </c>
      <c r="J326" s="20">
        <f>IF(OR($E326="",$D326=""),"",IF(AND($L326&gt;0.005,$D326&lt;Hoje),Hoje-$D326,0))</f>
        <v>0</v>
      </c>
      <c r="K326" s="20">
        <f>IF($J326="","",IF($L326&lt;=0.005,"Pago",IF($J326&lt;=0,"A vencer",IF($J326&lt;=15,"1-15 dias",IF($J326&lt;=30,"16-30 dias",IF($J326&lt;=60,"31-60 dias","Mais de 60 dias"))))))</f>
        <v>0</v>
      </c>
      <c r="L326" s="21">
        <f>IF($E326="","",MAX(0,$E326-N($G326)))</f>
        <v>0</v>
      </c>
      <c r="M326" s="21">
        <f>IF(OR($L326="",$J326=""),"",IF($J326&gt;0,ROUND($L326*Multa+$L326*Juros/30*$J326,2),0))</f>
        <v>0</v>
      </c>
      <c r="N326" s="22">
        <f>IF($L326="","",IF($L326&lt;=0.005,0,$L326+N($M326)))</f>
        <v>0</v>
      </c>
      <c r="O326" s="23">
        <f>IF(OR($I326="Vencido",$I326="Vencido (parcial)"),"Olá, "&amp;$A326&amp;"! Consta em aberto '"&amp;$B326&amp;"' com vencimento em "&amp;DAY($D326)&amp;"/"&amp;MONTH($D326)&amp;"/"&amp;YEAR($D326)&amp;", no valor de R$ "&amp;FIXED($N326,2)&amp;" (com multa e juros). Podemos ajudar a regularizar hoje? Obrigado!",IF($I326="Vence hoje","Olá, "&amp;$A326&amp;"! Lembrete: '"&amp;$B326&amp;"' vence hoje, no valor de R$ "&amp;FIXED($L326,2)&amp;". Obrigado!",""))</f>
        <v>0</v>
      </c>
    </row>
    <row r="327" spans="1:15">
      <c r="A327" s="13"/>
      <c r="B327" s="13"/>
      <c r="C327" s="17"/>
      <c r="D327" s="17"/>
      <c r="E327" s="18"/>
      <c r="F327" s="17"/>
      <c r="G327" s="18"/>
      <c r="H327" s="13"/>
      <c r="I327" s="19">
        <f>IF($E327="","",IF($L327&lt;=0.005,"Pago",IF($D327="","Sem vencimento",IF($D327&lt;Hoje,IF(N($G327)&gt;0,"Vencido (parcial)","Vencido"),IF($D327=Hoje,"Vence hoje","A vencer")))))</f>
        <v>0</v>
      </c>
      <c r="J327" s="20">
        <f>IF(OR($E327="",$D327=""),"",IF(AND($L327&gt;0.005,$D327&lt;Hoje),Hoje-$D327,0))</f>
        <v>0</v>
      </c>
      <c r="K327" s="20">
        <f>IF($J327="","",IF($L327&lt;=0.005,"Pago",IF($J327&lt;=0,"A vencer",IF($J327&lt;=15,"1-15 dias",IF($J327&lt;=30,"16-30 dias",IF($J327&lt;=60,"31-60 dias","Mais de 60 dias"))))))</f>
        <v>0</v>
      </c>
      <c r="L327" s="21">
        <f>IF($E327="","",MAX(0,$E327-N($G327)))</f>
        <v>0</v>
      </c>
      <c r="M327" s="21">
        <f>IF(OR($L327="",$J327=""),"",IF($J327&gt;0,ROUND($L327*Multa+$L327*Juros/30*$J327,2),0))</f>
        <v>0</v>
      </c>
      <c r="N327" s="22">
        <f>IF($L327="","",IF($L327&lt;=0.005,0,$L327+N($M327)))</f>
        <v>0</v>
      </c>
      <c r="O327" s="23">
        <f>IF(OR($I327="Vencido",$I327="Vencido (parcial)"),"Olá, "&amp;$A327&amp;"! Consta em aberto '"&amp;$B327&amp;"' com vencimento em "&amp;DAY($D327)&amp;"/"&amp;MONTH($D327)&amp;"/"&amp;YEAR($D327)&amp;", no valor de R$ "&amp;FIXED($N327,2)&amp;" (com multa e juros). Podemos ajudar a regularizar hoje? Obrigado!",IF($I327="Vence hoje","Olá, "&amp;$A327&amp;"! Lembrete: '"&amp;$B327&amp;"' vence hoje, no valor de R$ "&amp;FIXED($L327,2)&amp;". Obrigado!",""))</f>
        <v>0</v>
      </c>
    </row>
    <row r="328" spans="1:15">
      <c r="A328" s="13"/>
      <c r="B328" s="13"/>
      <c r="C328" s="17"/>
      <c r="D328" s="17"/>
      <c r="E328" s="18"/>
      <c r="F328" s="17"/>
      <c r="G328" s="18"/>
      <c r="H328" s="13"/>
      <c r="I328" s="19">
        <f>IF($E328="","",IF($L328&lt;=0.005,"Pago",IF($D328="","Sem vencimento",IF($D328&lt;Hoje,IF(N($G328)&gt;0,"Vencido (parcial)","Vencido"),IF($D328=Hoje,"Vence hoje","A vencer")))))</f>
        <v>0</v>
      </c>
      <c r="J328" s="20">
        <f>IF(OR($E328="",$D328=""),"",IF(AND($L328&gt;0.005,$D328&lt;Hoje),Hoje-$D328,0))</f>
        <v>0</v>
      </c>
      <c r="K328" s="20">
        <f>IF($J328="","",IF($L328&lt;=0.005,"Pago",IF($J328&lt;=0,"A vencer",IF($J328&lt;=15,"1-15 dias",IF($J328&lt;=30,"16-30 dias",IF($J328&lt;=60,"31-60 dias","Mais de 60 dias"))))))</f>
        <v>0</v>
      </c>
      <c r="L328" s="21">
        <f>IF($E328="","",MAX(0,$E328-N($G328)))</f>
        <v>0</v>
      </c>
      <c r="M328" s="21">
        <f>IF(OR($L328="",$J328=""),"",IF($J328&gt;0,ROUND($L328*Multa+$L328*Juros/30*$J328,2),0))</f>
        <v>0</v>
      </c>
      <c r="N328" s="22">
        <f>IF($L328="","",IF($L328&lt;=0.005,0,$L328+N($M328)))</f>
        <v>0</v>
      </c>
      <c r="O328" s="23">
        <f>IF(OR($I328="Vencido",$I328="Vencido (parcial)"),"Olá, "&amp;$A328&amp;"! Consta em aberto '"&amp;$B328&amp;"' com vencimento em "&amp;DAY($D328)&amp;"/"&amp;MONTH($D328)&amp;"/"&amp;YEAR($D328)&amp;", no valor de R$ "&amp;FIXED($N328,2)&amp;" (com multa e juros). Podemos ajudar a regularizar hoje? Obrigado!",IF($I328="Vence hoje","Olá, "&amp;$A328&amp;"! Lembrete: '"&amp;$B328&amp;"' vence hoje, no valor de R$ "&amp;FIXED($L328,2)&amp;". Obrigado!",""))</f>
        <v>0</v>
      </c>
    </row>
    <row r="329" spans="1:15">
      <c r="A329" s="13"/>
      <c r="B329" s="13"/>
      <c r="C329" s="17"/>
      <c r="D329" s="17"/>
      <c r="E329" s="18"/>
      <c r="F329" s="17"/>
      <c r="G329" s="18"/>
      <c r="H329" s="13"/>
      <c r="I329" s="19">
        <f>IF($E329="","",IF($L329&lt;=0.005,"Pago",IF($D329="","Sem vencimento",IF($D329&lt;Hoje,IF(N($G329)&gt;0,"Vencido (parcial)","Vencido"),IF($D329=Hoje,"Vence hoje","A vencer")))))</f>
        <v>0</v>
      </c>
      <c r="J329" s="20">
        <f>IF(OR($E329="",$D329=""),"",IF(AND($L329&gt;0.005,$D329&lt;Hoje),Hoje-$D329,0))</f>
        <v>0</v>
      </c>
      <c r="K329" s="20">
        <f>IF($J329="","",IF($L329&lt;=0.005,"Pago",IF($J329&lt;=0,"A vencer",IF($J329&lt;=15,"1-15 dias",IF($J329&lt;=30,"16-30 dias",IF($J329&lt;=60,"31-60 dias","Mais de 60 dias"))))))</f>
        <v>0</v>
      </c>
      <c r="L329" s="21">
        <f>IF($E329="","",MAX(0,$E329-N($G329)))</f>
        <v>0</v>
      </c>
      <c r="M329" s="21">
        <f>IF(OR($L329="",$J329=""),"",IF($J329&gt;0,ROUND($L329*Multa+$L329*Juros/30*$J329,2),0))</f>
        <v>0</v>
      </c>
      <c r="N329" s="22">
        <f>IF($L329="","",IF($L329&lt;=0.005,0,$L329+N($M329)))</f>
        <v>0</v>
      </c>
      <c r="O329" s="23">
        <f>IF(OR($I329="Vencido",$I329="Vencido (parcial)"),"Olá, "&amp;$A329&amp;"! Consta em aberto '"&amp;$B329&amp;"' com vencimento em "&amp;DAY($D329)&amp;"/"&amp;MONTH($D329)&amp;"/"&amp;YEAR($D329)&amp;", no valor de R$ "&amp;FIXED($N329,2)&amp;" (com multa e juros). Podemos ajudar a regularizar hoje? Obrigado!",IF($I329="Vence hoje","Olá, "&amp;$A329&amp;"! Lembrete: '"&amp;$B329&amp;"' vence hoje, no valor de R$ "&amp;FIXED($L329,2)&amp;". Obrigado!",""))</f>
        <v>0</v>
      </c>
    </row>
    <row r="330" spans="1:15">
      <c r="A330" s="13"/>
      <c r="B330" s="13"/>
      <c r="C330" s="17"/>
      <c r="D330" s="17"/>
      <c r="E330" s="18"/>
      <c r="F330" s="17"/>
      <c r="G330" s="18"/>
      <c r="H330" s="13"/>
      <c r="I330" s="19">
        <f>IF($E330="","",IF($L330&lt;=0.005,"Pago",IF($D330="","Sem vencimento",IF($D330&lt;Hoje,IF(N($G330)&gt;0,"Vencido (parcial)","Vencido"),IF($D330=Hoje,"Vence hoje","A vencer")))))</f>
        <v>0</v>
      </c>
      <c r="J330" s="20">
        <f>IF(OR($E330="",$D330=""),"",IF(AND($L330&gt;0.005,$D330&lt;Hoje),Hoje-$D330,0))</f>
        <v>0</v>
      </c>
      <c r="K330" s="20">
        <f>IF($J330="","",IF($L330&lt;=0.005,"Pago",IF($J330&lt;=0,"A vencer",IF($J330&lt;=15,"1-15 dias",IF($J330&lt;=30,"16-30 dias",IF($J330&lt;=60,"31-60 dias","Mais de 60 dias"))))))</f>
        <v>0</v>
      </c>
      <c r="L330" s="21">
        <f>IF($E330="","",MAX(0,$E330-N($G330)))</f>
        <v>0</v>
      </c>
      <c r="M330" s="21">
        <f>IF(OR($L330="",$J330=""),"",IF($J330&gt;0,ROUND($L330*Multa+$L330*Juros/30*$J330,2),0))</f>
        <v>0</v>
      </c>
      <c r="N330" s="22">
        <f>IF($L330="","",IF($L330&lt;=0.005,0,$L330+N($M330)))</f>
        <v>0</v>
      </c>
      <c r="O330" s="23">
        <f>IF(OR($I330="Vencido",$I330="Vencido (parcial)"),"Olá, "&amp;$A330&amp;"! Consta em aberto '"&amp;$B330&amp;"' com vencimento em "&amp;DAY($D330)&amp;"/"&amp;MONTH($D330)&amp;"/"&amp;YEAR($D330)&amp;", no valor de R$ "&amp;FIXED($N330,2)&amp;" (com multa e juros). Podemos ajudar a regularizar hoje? Obrigado!",IF($I330="Vence hoje","Olá, "&amp;$A330&amp;"! Lembrete: '"&amp;$B330&amp;"' vence hoje, no valor de R$ "&amp;FIXED($L330,2)&amp;". Obrigado!",""))</f>
        <v>0</v>
      </c>
    </row>
    <row r="331" spans="1:15">
      <c r="A331" s="13"/>
      <c r="B331" s="13"/>
      <c r="C331" s="17"/>
      <c r="D331" s="17"/>
      <c r="E331" s="18"/>
      <c r="F331" s="17"/>
      <c r="G331" s="18"/>
      <c r="H331" s="13"/>
      <c r="I331" s="19">
        <f>IF($E331="","",IF($L331&lt;=0.005,"Pago",IF($D331="","Sem vencimento",IF($D331&lt;Hoje,IF(N($G331)&gt;0,"Vencido (parcial)","Vencido"),IF($D331=Hoje,"Vence hoje","A vencer")))))</f>
        <v>0</v>
      </c>
      <c r="J331" s="20">
        <f>IF(OR($E331="",$D331=""),"",IF(AND($L331&gt;0.005,$D331&lt;Hoje),Hoje-$D331,0))</f>
        <v>0</v>
      </c>
      <c r="K331" s="20">
        <f>IF($J331="","",IF($L331&lt;=0.005,"Pago",IF($J331&lt;=0,"A vencer",IF($J331&lt;=15,"1-15 dias",IF($J331&lt;=30,"16-30 dias",IF($J331&lt;=60,"31-60 dias","Mais de 60 dias"))))))</f>
        <v>0</v>
      </c>
      <c r="L331" s="21">
        <f>IF($E331="","",MAX(0,$E331-N($G331)))</f>
        <v>0</v>
      </c>
      <c r="M331" s="21">
        <f>IF(OR($L331="",$J331=""),"",IF($J331&gt;0,ROUND($L331*Multa+$L331*Juros/30*$J331,2),0))</f>
        <v>0</v>
      </c>
      <c r="N331" s="22">
        <f>IF($L331="","",IF($L331&lt;=0.005,0,$L331+N($M331)))</f>
        <v>0</v>
      </c>
      <c r="O331" s="23">
        <f>IF(OR($I331="Vencido",$I331="Vencido (parcial)"),"Olá, "&amp;$A331&amp;"! Consta em aberto '"&amp;$B331&amp;"' com vencimento em "&amp;DAY($D331)&amp;"/"&amp;MONTH($D331)&amp;"/"&amp;YEAR($D331)&amp;", no valor de R$ "&amp;FIXED($N331,2)&amp;" (com multa e juros). Podemos ajudar a regularizar hoje? Obrigado!",IF($I331="Vence hoje","Olá, "&amp;$A331&amp;"! Lembrete: '"&amp;$B331&amp;"' vence hoje, no valor de R$ "&amp;FIXED($L331,2)&amp;". Obrigado!",""))</f>
        <v>0</v>
      </c>
    </row>
    <row r="332" spans="1:15">
      <c r="A332" s="13"/>
      <c r="B332" s="13"/>
      <c r="C332" s="17"/>
      <c r="D332" s="17"/>
      <c r="E332" s="18"/>
      <c r="F332" s="17"/>
      <c r="G332" s="18"/>
      <c r="H332" s="13"/>
      <c r="I332" s="19">
        <f>IF($E332="","",IF($L332&lt;=0.005,"Pago",IF($D332="","Sem vencimento",IF($D332&lt;Hoje,IF(N($G332)&gt;0,"Vencido (parcial)","Vencido"),IF($D332=Hoje,"Vence hoje","A vencer")))))</f>
        <v>0</v>
      </c>
      <c r="J332" s="20">
        <f>IF(OR($E332="",$D332=""),"",IF(AND($L332&gt;0.005,$D332&lt;Hoje),Hoje-$D332,0))</f>
        <v>0</v>
      </c>
      <c r="K332" s="20">
        <f>IF($J332="","",IF($L332&lt;=0.005,"Pago",IF($J332&lt;=0,"A vencer",IF($J332&lt;=15,"1-15 dias",IF($J332&lt;=30,"16-30 dias",IF($J332&lt;=60,"31-60 dias","Mais de 60 dias"))))))</f>
        <v>0</v>
      </c>
      <c r="L332" s="21">
        <f>IF($E332="","",MAX(0,$E332-N($G332)))</f>
        <v>0</v>
      </c>
      <c r="M332" s="21">
        <f>IF(OR($L332="",$J332=""),"",IF($J332&gt;0,ROUND($L332*Multa+$L332*Juros/30*$J332,2),0))</f>
        <v>0</v>
      </c>
      <c r="N332" s="22">
        <f>IF($L332="","",IF($L332&lt;=0.005,0,$L332+N($M332)))</f>
        <v>0</v>
      </c>
      <c r="O332" s="23">
        <f>IF(OR($I332="Vencido",$I332="Vencido (parcial)"),"Olá, "&amp;$A332&amp;"! Consta em aberto '"&amp;$B332&amp;"' com vencimento em "&amp;DAY($D332)&amp;"/"&amp;MONTH($D332)&amp;"/"&amp;YEAR($D332)&amp;", no valor de R$ "&amp;FIXED($N332,2)&amp;" (com multa e juros). Podemos ajudar a regularizar hoje? Obrigado!",IF($I332="Vence hoje","Olá, "&amp;$A332&amp;"! Lembrete: '"&amp;$B332&amp;"' vence hoje, no valor de R$ "&amp;FIXED($L332,2)&amp;". Obrigado!",""))</f>
        <v>0</v>
      </c>
    </row>
    <row r="333" spans="1:15">
      <c r="A333" s="13"/>
      <c r="B333" s="13"/>
      <c r="C333" s="17"/>
      <c r="D333" s="17"/>
      <c r="E333" s="18"/>
      <c r="F333" s="17"/>
      <c r="G333" s="18"/>
      <c r="H333" s="13"/>
      <c r="I333" s="19">
        <f>IF($E333="","",IF($L333&lt;=0.005,"Pago",IF($D333="","Sem vencimento",IF($D333&lt;Hoje,IF(N($G333)&gt;0,"Vencido (parcial)","Vencido"),IF($D333=Hoje,"Vence hoje","A vencer")))))</f>
        <v>0</v>
      </c>
      <c r="J333" s="20">
        <f>IF(OR($E333="",$D333=""),"",IF(AND($L333&gt;0.005,$D333&lt;Hoje),Hoje-$D333,0))</f>
        <v>0</v>
      </c>
      <c r="K333" s="20">
        <f>IF($J333="","",IF($L333&lt;=0.005,"Pago",IF($J333&lt;=0,"A vencer",IF($J333&lt;=15,"1-15 dias",IF($J333&lt;=30,"16-30 dias",IF($J333&lt;=60,"31-60 dias","Mais de 60 dias"))))))</f>
        <v>0</v>
      </c>
      <c r="L333" s="21">
        <f>IF($E333="","",MAX(0,$E333-N($G333)))</f>
        <v>0</v>
      </c>
      <c r="M333" s="21">
        <f>IF(OR($L333="",$J333=""),"",IF($J333&gt;0,ROUND($L333*Multa+$L333*Juros/30*$J333,2),0))</f>
        <v>0</v>
      </c>
      <c r="N333" s="22">
        <f>IF($L333="","",IF($L333&lt;=0.005,0,$L333+N($M333)))</f>
        <v>0</v>
      </c>
      <c r="O333" s="23">
        <f>IF(OR($I333="Vencido",$I333="Vencido (parcial)"),"Olá, "&amp;$A333&amp;"! Consta em aberto '"&amp;$B333&amp;"' com vencimento em "&amp;DAY($D333)&amp;"/"&amp;MONTH($D333)&amp;"/"&amp;YEAR($D333)&amp;", no valor de R$ "&amp;FIXED($N333,2)&amp;" (com multa e juros). Podemos ajudar a regularizar hoje? Obrigado!",IF($I333="Vence hoje","Olá, "&amp;$A333&amp;"! Lembrete: '"&amp;$B333&amp;"' vence hoje, no valor de R$ "&amp;FIXED($L333,2)&amp;". Obrigado!",""))</f>
        <v>0</v>
      </c>
    </row>
    <row r="334" spans="1:15">
      <c r="A334" s="13"/>
      <c r="B334" s="13"/>
      <c r="C334" s="17"/>
      <c r="D334" s="17"/>
      <c r="E334" s="18"/>
      <c r="F334" s="17"/>
      <c r="G334" s="18"/>
      <c r="H334" s="13"/>
      <c r="I334" s="19">
        <f>IF($E334="","",IF($L334&lt;=0.005,"Pago",IF($D334="","Sem vencimento",IF($D334&lt;Hoje,IF(N($G334)&gt;0,"Vencido (parcial)","Vencido"),IF($D334=Hoje,"Vence hoje","A vencer")))))</f>
        <v>0</v>
      </c>
      <c r="J334" s="20">
        <f>IF(OR($E334="",$D334=""),"",IF(AND($L334&gt;0.005,$D334&lt;Hoje),Hoje-$D334,0))</f>
        <v>0</v>
      </c>
      <c r="K334" s="20">
        <f>IF($J334="","",IF($L334&lt;=0.005,"Pago",IF($J334&lt;=0,"A vencer",IF($J334&lt;=15,"1-15 dias",IF($J334&lt;=30,"16-30 dias",IF($J334&lt;=60,"31-60 dias","Mais de 60 dias"))))))</f>
        <v>0</v>
      </c>
      <c r="L334" s="21">
        <f>IF($E334="","",MAX(0,$E334-N($G334)))</f>
        <v>0</v>
      </c>
      <c r="M334" s="21">
        <f>IF(OR($L334="",$J334=""),"",IF($J334&gt;0,ROUND($L334*Multa+$L334*Juros/30*$J334,2),0))</f>
        <v>0</v>
      </c>
      <c r="N334" s="22">
        <f>IF($L334="","",IF($L334&lt;=0.005,0,$L334+N($M334)))</f>
        <v>0</v>
      </c>
      <c r="O334" s="23">
        <f>IF(OR($I334="Vencido",$I334="Vencido (parcial)"),"Olá, "&amp;$A334&amp;"! Consta em aberto '"&amp;$B334&amp;"' com vencimento em "&amp;DAY($D334)&amp;"/"&amp;MONTH($D334)&amp;"/"&amp;YEAR($D334)&amp;", no valor de R$ "&amp;FIXED($N334,2)&amp;" (com multa e juros). Podemos ajudar a regularizar hoje? Obrigado!",IF($I334="Vence hoje","Olá, "&amp;$A334&amp;"! Lembrete: '"&amp;$B334&amp;"' vence hoje, no valor de R$ "&amp;FIXED($L334,2)&amp;". Obrigado!",""))</f>
        <v>0</v>
      </c>
    </row>
    <row r="335" spans="1:15">
      <c r="A335" s="13"/>
      <c r="B335" s="13"/>
      <c r="C335" s="17"/>
      <c r="D335" s="17"/>
      <c r="E335" s="18"/>
      <c r="F335" s="17"/>
      <c r="G335" s="18"/>
      <c r="H335" s="13"/>
      <c r="I335" s="19">
        <f>IF($E335="","",IF($L335&lt;=0.005,"Pago",IF($D335="","Sem vencimento",IF($D335&lt;Hoje,IF(N($G335)&gt;0,"Vencido (parcial)","Vencido"),IF($D335=Hoje,"Vence hoje","A vencer")))))</f>
        <v>0</v>
      </c>
      <c r="J335" s="20">
        <f>IF(OR($E335="",$D335=""),"",IF(AND($L335&gt;0.005,$D335&lt;Hoje),Hoje-$D335,0))</f>
        <v>0</v>
      </c>
      <c r="K335" s="20">
        <f>IF($J335="","",IF($L335&lt;=0.005,"Pago",IF($J335&lt;=0,"A vencer",IF($J335&lt;=15,"1-15 dias",IF($J335&lt;=30,"16-30 dias",IF($J335&lt;=60,"31-60 dias","Mais de 60 dias"))))))</f>
        <v>0</v>
      </c>
      <c r="L335" s="21">
        <f>IF($E335="","",MAX(0,$E335-N($G335)))</f>
        <v>0</v>
      </c>
      <c r="M335" s="21">
        <f>IF(OR($L335="",$J335=""),"",IF($J335&gt;0,ROUND($L335*Multa+$L335*Juros/30*$J335,2),0))</f>
        <v>0</v>
      </c>
      <c r="N335" s="22">
        <f>IF($L335="","",IF($L335&lt;=0.005,0,$L335+N($M335)))</f>
        <v>0</v>
      </c>
      <c r="O335" s="23">
        <f>IF(OR($I335="Vencido",$I335="Vencido (parcial)"),"Olá, "&amp;$A335&amp;"! Consta em aberto '"&amp;$B335&amp;"' com vencimento em "&amp;DAY($D335)&amp;"/"&amp;MONTH($D335)&amp;"/"&amp;YEAR($D335)&amp;", no valor de R$ "&amp;FIXED($N335,2)&amp;" (com multa e juros). Podemos ajudar a regularizar hoje? Obrigado!",IF($I335="Vence hoje","Olá, "&amp;$A335&amp;"! Lembrete: '"&amp;$B335&amp;"' vence hoje, no valor de R$ "&amp;FIXED($L335,2)&amp;". Obrigado!",""))</f>
        <v>0</v>
      </c>
    </row>
    <row r="336" spans="1:15">
      <c r="A336" s="13"/>
      <c r="B336" s="13"/>
      <c r="C336" s="17"/>
      <c r="D336" s="17"/>
      <c r="E336" s="18"/>
      <c r="F336" s="17"/>
      <c r="G336" s="18"/>
      <c r="H336" s="13"/>
      <c r="I336" s="19">
        <f>IF($E336="","",IF($L336&lt;=0.005,"Pago",IF($D336="","Sem vencimento",IF($D336&lt;Hoje,IF(N($G336)&gt;0,"Vencido (parcial)","Vencido"),IF($D336=Hoje,"Vence hoje","A vencer")))))</f>
        <v>0</v>
      </c>
      <c r="J336" s="20">
        <f>IF(OR($E336="",$D336=""),"",IF(AND($L336&gt;0.005,$D336&lt;Hoje),Hoje-$D336,0))</f>
        <v>0</v>
      </c>
      <c r="K336" s="20">
        <f>IF($J336="","",IF($L336&lt;=0.005,"Pago",IF($J336&lt;=0,"A vencer",IF($J336&lt;=15,"1-15 dias",IF($J336&lt;=30,"16-30 dias",IF($J336&lt;=60,"31-60 dias","Mais de 60 dias"))))))</f>
        <v>0</v>
      </c>
      <c r="L336" s="21">
        <f>IF($E336="","",MAX(0,$E336-N($G336)))</f>
        <v>0</v>
      </c>
      <c r="M336" s="21">
        <f>IF(OR($L336="",$J336=""),"",IF($J336&gt;0,ROUND($L336*Multa+$L336*Juros/30*$J336,2),0))</f>
        <v>0</v>
      </c>
      <c r="N336" s="22">
        <f>IF($L336="","",IF($L336&lt;=0.005,0,$L336+N($M336)))</f>
        <v>0</v>
      </c>
      <c r="O336" s="23">
        <f>IF(OR($I336="Vencido",$I336="Vencido (parcial)"),"Olá, "&amp;$A336&amp;"! Consta em aberto '"&amp;$B336&amp;"' com vencimento em "&amp;DAY($D336)&amp;"/"&amp;MONTH($D336)&amp;"/"&amp;YEAR($D336)&amp;", no valor de R$ "&amp;FIXED($N336,2)&amp;" (com multa e juros). Podemos ajudar a regularizar hoje? Obrigado!",IF($I336="Vence hoje","Olá, "&amp;$A336&amp;"! Lembrete: '"&amp;$B336&amp;"' vence hoje, no valor de R$ "&amp;FIXED($L336,2)&amp;". Obrigado!",""))</f>
        <v>0</v>
      </c>
    </row>
    <row r="337" spans="1:15">
      <c r="A337" s="13"/>
      <c r="B337" s="13"/>
      <c r="C337" s="17"/>
      <c r="D337" s="17"/>
      <c r="E337" s="18"/>
      <c r="F337" s="17"/>
      <c r="G337" s="18"/>
      <c r="H337" s="13"/>
      <c r="I337" s="19">
        <f>IF($E337="","",IF($L337&lt;=0.005,"Pago",IF($D337="","Sem vencimento",IF($D337&lt;Hoje,IF(N($G337)&gt;0,"Vencido (parcial)","Vencido"),IF($D337=Hoje,"Vence hoje","A vencer")))))</f>
        <v>0</v>
      </c>
      <c r="J337" s="20">
        <f>IF(OR($E337="",$D337=""),"",IF(AND($L337&gt;0.005,$D337&lt;Hoje),Hoje-$D337,0))</f>
        <v>0</v>
      </c>
      <c r="K337" s="20">
        <f>IF($J337="","",IF($L337&lt;=0.005,"Pago",IF($J337&lt;=0,"A vencer",IF($J337&lt;=15,"1-15 dias",IF($J337&lt;=30,"16-30 dias",IF($J337&lt;=60,"31-60 dias","Mais de 60 dias"))))))</f>
        <v>0</v>
      </c>
      <c r="L337" s="21">
        <f>IF($E337="","",MAX(0,$E337-N($G337)))</f>
        <v>0</v>
      </c>
      <c r="M337" s="21">
        <f>IF(OR($L337="",$J337=""),"",IF($J337&gt;0,ROUND($L337*Multa+$L337*Juros/30*$J337,2),0))</f>
        <v>0</v>
      </c>
      <c r="N337" s="22">
        <f>IF($L337="","",IF($L337&lt;=0.005,0,$L337+N($M337)))</f>
        <v>0</v>
      </c>
      <c r="O337" s="23">
        <f>IF(OR($I337="Vencido",$I337="Vencido (parcial)"),"Olá, "&amp;$A337&amp;"! Consta em aberto '"&amp;$B337&amp;"' com vencimento em "&amp;DAY($D337)&amp;"/"&amp;MONTH($D337)&amp;"/"&amp;YEAR($D337)&amp;", no valor de R$ "&amp;FIXED($N337,2)&amp;" (com multa e juros). Podemos ajudar a regularizar hoje? Obrigado!",IF($I337="Vence hoje","Olá, "&amp;$A337&amp;"! Lembrete: '"&amp;$B337&amp;"' vence hoje, no valor de R$ "&amp;FIXED($L337,2)&amp;". Obrigado!",""))</f>
        <v>0</v>
      </c>
    </row>
    <row r="338" spans="1:15">
      <c r="A338" s="13"/>
      <c r="B338" s="13"/>
      <c r="C338" s="17"/>
      <c r="D338" s="17"/>
      <c r="E338" s="18"/>
      <c r="F338" s="17"/>
      <c r="G338" s="18"/>
      <c r="H338" s="13"/>
      <c r="I338" s="19">
        <f>IF($E338="","",IF($L338&lt;=0.005,"Pago",IF($D338="","Sem vencimento",IF($D338&lt;Hoje,IF(N($G338)&gt;0,"Vencido (parcial)","Vencido"),IF($D338=Hoje,"Vence hoje","A vencer")))))</f>
        <v>0</v>
      </c>
      <c r="J338" s="20">
        <f>IF(OR($E338="",$D338=""),"",IF(AND($L338&gt;0.005,$D338&lt;Hoje),Hoje-$D338,0))</f>
        <v>0</v>
      </c>
      <c r="K338" s="20">
        <f>IF($J338="","",IF($L338&lt;=0.005,"Pago",IF($J338&lt;=0,"A vencer",IF($J338&lt;=15,"1-15 dias",IF($J338&lt;=30,"16-30 dias",IF($J338&lt;=60,"31-60 dias","Mais de 60 dias"))))))</f>
        <v>0</v>
      </c>
      <c r="L338" s="21">
        <f>IF($E338="","",MAX(0,$E338-N($G338)))</f>
        <v>0</v>
      </c>
      <c r="M338" s="21">
        <f>IF(OR($L338="",$J338=""),"",IF($J338&gt;0,ROUND($L338*Multa+$L338*Juros/30*$J338,2),0))</f>
        <v>0</v>
      </c>
      <c r="N338" s="22">
        <f>IF($L338="","",IF($L338&lt;=0.005,0,$L338+N($M338)))</f>
        <v>0</v>
      </c>
      <c r="O338" s="23">
        <f>IF(OR($I338="Vencido",$I338="Vencido (parcial)"),"Olá, "&amp;$A338&amp;"! Consta em aberto '"&amp;$B338&amp;"' com vencimento em "&amp;DAY($D338)&amp;"/"&amp;MONTH($D338)&amp;"/"&amp;YEAR($D338)&amp;", no valor de R$ "&amp;FIXED($N338,2)&amp;" (com multa e juros). Podemos ajudar a regularizar hoje? Obrigado!",IF($I338="Vence hoje","Olá, "&amp;$A338&amp;"! Lembrete: '"&amp;$B338&amp;"' vence hoje, no valor de R$ "&amp;FIXED($L338,2)&amp;". Obrigado!",""))</f>
        <v>0</v>
      </c>
    </row>
    <row r="339" spans="1:15">
      <c r="A339" s="13"/>
      <c r="B339" s="13"/>
      <c r="C339" s="17"/>
      <c r="D339" s="17"/>
      <c r="E339" s="18"/>
      <c r="F339" s="17"/>
      <c r="G339" s="18"/>
      <c r="H339" s="13"/>
      <c r="I339" s="19">
        <f>IF($E339="","",IF($L339&lt;=0.005,"Pago",IF($D339="","Sem vencimento",IF($D339&lt;Hoje,IF(N($G339)&gt;0,"Vencido (parcial)","Vencido"),IF($D339=Hoje,"Vence hoje","A vencer")))))</f>
        <v>0</v>
      </c>
      <c r="J339" s="20">
        <f>IF(OR($E339="",$D339=""),"",IF(AND($L339&gt;0.005,$D339&lt;Hoje),Hoje-$D339,0))</f>
        <v>0</v>
      </c>
      <c r="K339" s="20">
        <f>IF($J339="","",IF($L339&lt;=0.005,"Pago",IF($J339&lt;=0,"A vencer",IF($J339&lt;=15,"1-15 dias",IF($J339&lt;=30,"16-30 dias",IF($J339&lt;=60,"31-60 dias","Mais de 60 dias"))))))</f>
        <v>0</v>
      </c>
      <c r="L339" s="21">
        <f>IF($E339="","",MAX(0,$E339-N($G339)))</f>
        <v>0</v>
      </c>
      <c r="M339" s="21">
        <f>IF(OR($L339="",$J339=""),"",IF($J339&gt;0,ROUND($L339*Multa+$L339*Juros/30*$J339,2),0))</f>
        <v>0</v>
      </c>
      <c r="N339" s="22">
        <f>IF($L339="","",IF($L339&lt;=0.005,0,$L339+N($M339)))</f>
        <v>0</v>
      </c>
      <c r="O339" s="23">
        <f>IF(OR($I339="Vencido",$I339="Vencido (parcial)"),"Olá, "&amp;$A339&amp;"! Consta em aberto '"&amp;$B339&amp;"' com vencimento em "&amp;DAY($D339)&amp;"/"&amp;MONTH($D339)&amp;"/"&amp;YEAR($D339)&amp;", no valor de R$ "&amp;FIXED($N339,2)&amp;" (com multa e juros). Podemos ajudar a regularizar hoje? Obrigado!",IF($I339="Vence hoje","Olá, "&amp;$A339&amp;"! Lembrete: '"&amp;$B339&amp;"' vence hoje, no valor de R$ "&amp;FIXED($L339,2)&amp;". Obrigado!",""))</f>
        <v>0</v>
      </c>
    </row>
    <row r="340" spans="1:15">
      <c r="A340" s="13"/>
      <c r="B340" s="13"/>
      <c r="C340" s="17"/>
      <c r="D340" s="17"/>
      <c r="E340" s="18"/>
      <c r="F340" s="17"/>
      <c r="G340" s="18"/>
      <c r="H340" s="13"/>
      <c r="I340" s="19">
        <f>IF($E340="","",IF($L340&lt;=0.005,"Pago",IF($D340="","Sem vencimento",IF($D340&lt;Hoje,IF(N($G340)&gt;0,"Vencido (parcial)","Vencido"),IF($D340=Hoje,"Vence hoje","A vencer")))))</f>
        <v>0</v>
      </c>
      <c r="J340" s="20">
        <f>IF(OR($E340="",$D340=""),"",IF(AND($L340&gt;0.005,$D340&lt;Hoje),Hoje-$D340,0))</f>
        <v>0</v>
      </c>
      <c r="K340" s="20">
        <f>IF($J340="","",IF($L340&lt;=0.005,"Pago",IF($J340&lt;=0,"A vencer",IF($J340&lt;=15,"1-15 dias",IF($J340&lt;=30,"16-30 dias",IF($J340&lt;=60,"31-60 dias","Mais de 60 dias"))))))</f>
        <v>0</v>
      </c>
      <c r="L340" s="21">
        <f>IF($E340="","",MAX(0,$E340-N($G340)))</f>
        <v>0</v>
      </c>
      <c r="M340" s="21">
        <f>IF(OR($L340="",$J340=""),"",IF($J340&gt;0,ROUND($L340*Multa+$L340*Juros/30*$J340,2),0))</f>
        <v>0</v>
      </c>
      <c r="N340" s="22">
        <f>IF($L340="","",IF($L340&lt;=0.005,0,$L340+N($M340)))</f>
        <v>0</v>
      </c>
      <c r="O340" s="23">
        <f>IF(OR($I340="Vencido",$I340="Vencido (parcial)"),"Olá, "&amp;$A340&amp;"! Consta em aberto '"&amp;$B340&amp;"' com vencimento em "&amp;DAY($D340)&amp;"/"&amp;MONTH($D340)&amp;"/"&amp;YEAR($D340)&amp;", no valor de R$ "&amp;FIXED($N340,2)&amp;" (com multa e juros). Podemos ajudar a regularizar hoje? Obrigado!",IF($I340="Vence hoje","Olá, "&amp;$A340&amp;"! Lembrete: '"&amp;$B340&amp;"' vence hoje, no valor de R$ "&amp;FIXED($L340,2)&amp;". Obrigado!",""))</f>
        <v>0</v>
      </c>
    </row>
    <row r="341" spans="1:15">
      <c r="A341" s="13"/>
      <c r="B341" s="13"/>
      <c r="C341" s="17"/>
      <c r="D341" s="17"/>
      <c r="E341" s="18"/>
      <c r="F341" s="17"/>
      <c r="G341" s="18"/>
      <c r="H341" s="13"/>
      <c r="I341" s="19">
        <f>IF($E341="","",IF($L341&lt;=0.005,"Pago",IF($D341="","Sem vencimento",IF($D341&lt;Hoje,IF(N($G341)&gt;0,"Vencido (parcial)","Vencido"),IF($D341=Hoje,"Vence hoje","A vencer")))))</f>
        <v>0</v>
      </c>
      <c r="J341" s="20">
        <f>IF(OR($E341="",$D341=""),"",IF(AND($L341&gt;0.005,$D341&lt;Hoje),Hoje-$D341,0))</f>
        <v>0</v>
      </c>
      <c r="K341" s="20">
        <f>IF($J341="","",IF($L341&lt;=0.005,"Pago",IF($J341&lt;=0,"A vencer",IF($J341&lt;=15,"1-15 dias",IF($J341&lt;=30,"16-30 dias",IF($J341&lt;=60,"31-60 dias","Mais de 60 dias"))))))</f>
        <v>0</v>
      </c>
      <c r="L341" s="21">
        <f>IF($E341="","",MAX(0,$E341-N($G341)))</f>
        <v>0</v>
      </c>
      <c r="M341" s="21">
        <f>IF(OR($L341="",$J341=""),"",IF($J341&gt;0,ROUND($L341*Multa+$L341*Juros/30*$J341,2),0))</f>
        <v>0</v>
      </c>
      <c r="N341" s="22">
        <f>IF($L341="","",IF($L341&lt;=0.005,0,$L341+N($M341)))</f>
        <v>0</v>
      </c>
      <c r="O341" s="23">
        <f>IF(OR($I341="Vencido",$I341="Vencido (parcial)"),"Olá, "&amp;$A341&amp;"! Consta em aberto '"&amp;$B341&amp;"' com vencimento em "&amp;DAY($D341)&amp;"/"&amp;MONTH($D341)&amp;"/"&amp;YEAR($D341)&amp;", no valor de R$ "&amp;FIXED($N341,2)&amp;" (com multa e juros). Podemos ajudar a regularizar hoje? Obrigado!",IF($I341="Vence hoje","Olá, "&amp;$A341&amp;"! Lembrete: '"&amp;$B341&amp;"' vence hoje, no valor de R$ "&amp;FIXED($L341,2)&amp;". Obrigado!",""))</f>
        <v>0</v>
      </c>
    </row>
    <row r="342" spans="1:15">
      <c r="A342" s="13"/>
      <c r="B342" s="13"/>
      <c r="C342" s="17"/>
      <c r="D342" s="17"/>
      <c r="E342" s="18"/>
      <c r="F342" s="17"/>
      <c r="G342" s="18"/>
      <c r="H342" s="13"/>
      <c r="I342" s="19">
        <f>IF($E342="","",IF($L342&lt;=0.005,"Pago",IF($D342="","Sem vencimento",IF($D342&lt;Hoje,IF(N($G342)&gt;0,"Vencido (parcial)","Vencido"),IF($D342=Hoje,"Vence hoje","A vencer")))))</f>
        <v>0</v>
      </c>
      <c r="J342" s="20">
        <f>IF(OR($E342="",$D342=""),"",IF(AND($L342&gt;0.005,$D342&lt;Hoje),Hoje-$D342,0))</f>
        <v>0</v>
      </c>
      <c r="K342" s="20">
        <f>IF($J342="","",IF($L342&lt;=0.005,"Pago",IF($J342&lt;=0,"A vencer",IF($J342&lt;=15,"1-15 dias",IF($J342&lt;=30,"16-30 dias",IF($J342&lt;=60,"31-60 dias","Mais de 60 dias"))))))</f>
        <v>0</v>
      </c>
      <c r="L342" s="21">
        <f>IF($E342="","",MAX(0,$E342-N($G342)))</f>
        <v>0</v>
      </c>
      <c r="M342" s="21">
        <f>IF(OR($L342="",$J342=""),"",IF($J342&gt;0,ROUND($L342*Multa+$L342*Juros/30*$J342,2),0))</f>
        <v>0</v>
      </c>
      <c r="N342" s="22">
        <f>IF($L342="","",IF($L342&lt;=0.005,0,$L342+N($M342)))</f>
        <v>0</v>
      </c>
      <c r="O342" s="23">
        <f>IF(OR($I342="Vencido",$I342="Vencido (parcial)"),"Olá, "&amp;$A342&amp;"! Consta em aberto '"&amp;$B342&amp;"' com vencimento em "&amp;DAY($D342)&amp;"/"&amp;MONTH($D342)&amp;"/"&amp;YEAR($D342)&amp;", no valor de R$ "&amp;FIXED($N342,2)&amp;" (com multa e juros). Podemos ajudar a regularizar hoje? Obrigado!",IF($I342="Vence hoje","Olá, "&amp;$A342&amp;"! Lembrete: '"&amp;$B342&amp;"' vence hoje, no valor de R$ "&amp;FIXED($L342,2)&amp;". Obrigado!",""))</f>
        <v>0</v>
      </c>
    </row>
    <row r="343" spans="1:15">
      <c r="A343" s="13"/>
      <c r="B343" s="13"/>
      <c r="C343" s="17"/>
      <c r="D343" s="17"/>
      <c r="E343" s="18"/>
      <c r="F343" s="17"/>
      <c r="G343" s="18"/>
      <c r="H343" s="13"/>
      <c r="I343" s="19">
        <f>IF($E343="","",IF($L343&lt;=0.005,"Pago",IF($D343="","Sem vencimento",IF($D343&lt;Hoje,IF(N($G343)&gt;0,"Vencido (parcial)","Vencido"),IF($D343=Hoje,"Vence hoje","A vencer")))))</f>
        <v>0</v>
      </c>
      <c r="J343" s="20">
        <f>IF(OR($E343="",$D343=""),"",IF(AND($L343&gt;0.005,$D343&lt;Hoje),Hoje-$D343,0))</f>
        <v>0</v>
      </c>
      <c r="K343" s="20">
        <f>IF($J343="","",IF($L343&lt;=0.005,"Pago",IF($J343&lt;=0,"A vencer",IF($J343&lt;=15,"1-15 dias",IF($J343&lt;=30,"16-30 dias",IF($J343&lt;=60,"31-60 dias","Mais de 60 dias"))))))</f>
        <v>0</v>
      </c>
      <c r="L343" s="21">
        <f>IF($E343="","",MAX(0,$E343-N($G343)))</f>
        <v>0</v>
      </c>
      <c r="M343" s="21">
        <f>IF(OR($L343="",$J343=""),"",IF($J343&gt;0,ROUND($L343*Multa+$L343*Juros/30*$J343,2),0))</f>
        <v>0</v>
      </c>
      <c r="N343" s="22">
        <f>IF($L343="","",IF($L343&lt;=0.005,0,$L343+N($M343)))</f>
        <v>0</v>
      </c>
      <c r="O343" s="23">
        <f>IF(OR($I343="Vencido",$I343="Vencido (parcial)"),"Olá, "&amp;$A343&amp;"! Consta em aberto '"&amp;$B343&amp;"' com vencimento em "&amp;DAY($D343)&amp;"/"&amp;MONTH($D343)&amp;"/"&amp;YEAR($D343)&amp;", no valor de R$ "&amp;FIXED($N343,2)&amp;" (com multa e juros). Podemos ajudar a regularizar hoje? Obrigado!",IF($I343="Vence hoje","Olá, "&amp;$A343&amp;"! Lembrete: '"&amp;$B343&amp;"' vence hoje, no valor de R$ "&amp;FIXED($L343,2)&amp;". Obrigado!",""))</f>
        <v>0</v>
      </c>
    </row>
    <row r="344" spans="1:15">
      <c r="A344" s="13"/>
      <c r="B344" s="13"/>
      <c r="C344" s="17"/>
      <c r="D344" s="17"/>
      <c r="E344" s="18"/>
      <c r="F344" s="17"/>
      <c r="G344" s="18"/>
      <c r="H344" s="13"/>
      <c r="I344" s="19">
        <f>IF($E344="","",IF($L344&lt;=0.005,"Pago",IF($D344="","Sem vencimento",IF($D344&lt;Hoje,IF(N($G344)&gt;0,"Vencido (parcial)","Vencido"),IF($D344=Hoje,"Vence hoje","A vencer")))))</f>
        <v>0</v>
      </c>
      <c r="J344" s="20">
        <f>IF(OR($E344="",$D344=""),"",IF(AND($L344&gt;0.005,$D344&lt;Hoje),Hoje-$D344,0))</f>
        <v>0</v>
      </c>
      <c r="K344" s="20">
        <f>IF($J344="","",IF($L344&lt;=0.005,"Pago",IF($J344&lt;=0,"A vencer",IF($J344&lt;=15,"1-15 dias",IF($J344&lt;=30,"16-30 dias",IF($J344&lt;=60,"31-60 dias","Mais de 60 dias"))))))</f>
        <v>0</v>
      </c>
      <c r="L344" s="21">
        <f>IF($E344="","",MAX(0,$E344-N($G344)))</f>
        <v>0</v>
      </c>
      <c r="M344" s="21">
        <f>IF(OR($L344="",$J344=""),"",IF($J344&gt;0,ROUND($L344*Multa+$L344*Juros/30*$J344,2),0))</f>
        <v>0</v>
      </c>
      <c r="N344" s="22">
        <f>IF($L344="","",IF($L344&lt;=0.005,0,$L344+N($M344)))</f>
        <v>0</v>
      </c>
      <c r="O344" s="23">
        <f>IF(OR($I344="Vencido",$I344="Vencido (parcial)"),"Olá, "&amp;$A344&amp;"! Consta em aberto '"&amp;$B344&amp;"' com vencimento em "&amp;DAY($D344)&amp;"/"&amp;MONTH($D344)&amp;"/"&amp;YEAR($D344)&amp;", no valor de R$ "&amp;FIXED($N344,2)&amp;" (com multa e juros). Podemos ajudar a regularizar hoje? Obrigado!",IF($I344="Vence hoje","Olá, "&amp;$A344&amp;"! Lembrete: '"&amp;$B344&amp;"' vence hoje, no valor de R$ "&amp;FIXED($L344,2)&amp;". Obrigado!",""))</f>
        <v>0</v>
      </c>
    </row>
    <row r="345" spans="1:15">
      <c r="A345" s="13"/>
      <c r="B345" s="13"/>
      <c r="C345" s="17"/>
      <c r="D345" s="17"/>
      <c r="E345" s="18"/>
      <c r="F345" s="17"/>
      <c r="G345" s="18"/>
      <c r="H345" s="13"/>
      <c r="I345" s="19">
        <f>IF($E345="","",IF($L345&lt;=0.005,"Pago",IF($D345="","Sem vencimento",IF($D345&lt;Hoje,IF(N($G345)&gt;0,"Vencido (parcial)","Vencido"),IF($D345=Hoje,"Vence hoje","A vencer")))))</f>
        <v>0</v>
      </c>
      <c r="J345" s="20">
        <f>IF(OR($E345="",$D345=""),"",IF(AND($L345&gt;0.005,$D345&lt;Hoje),Hoje-$D345,0))</f>
        <v>0</v>
      </c>
      <c r="K345" s="20">
        <f>IF($J345="","",IF($L345&lt;=0.005,"Pago",IF($J345&lt;=0,"A vencer",IF($J345&lt;=15,"1-15 dias",IF($J345&lt;=30,"16-30 dias",IF($J345&lt;=60,"31-60 dias","Mais de 60 dias"))))))</f>
        <v>0</v>
      </c>
      <c r="L345" s="21">
        <f>IF($E345="","",MAX(0,$E345-N($G345)))</f>
        <v>0</v>
      </c>
      <c r="M345" s="21">
        <f>IF(OR($L345="",$J345=""),"",IF($J345&gt;0,ROUND($L345*Multa+$L345*Juros/30*$J345,2),0))</f>
        <v>0</v>
      </c>
      <c r="N345" s="22">
        <f>IF($L345="","",IF($L345&lt;=0.005,0,$L345+N($M345)))</f>
        <v>0</v>
      </c>
      <c r="O345" s="23">
        <f>IF(OR($I345="Vencido",$I345="Vencido (parcial)"),"Olá, "&amp;$A345&amp;"! Consta em aberto '"&amp;$B345&amp;"' com vencimento em "&amp;DAY($D345)&amp;"/"&amp;MONTH($D345)&amp;"/"&amp;YEAR($D345)&amp;", no valor de R$ "&amp;FIXED($N345,2)&amp;" (com multa e juros). Podemos ajudar a regularizar hoje? Obrigado!",IF($I345="Vence hoje","Olá, "&amp;$A345&amp;"! Lembrete: '"&amp;$B345&amp;"' vence hoje, no valor de R$ "&amp;FIXED($L345,2)&amp;". Obrigado!",""))</f>
        <v>0</v>
      </c>
    </row>
    <row r="346" spans="1:15">
      <c r="A346" s="13"/>
      <c r="B346" s="13"/>
      <c r="C346" s="17"/>
      <c r="D346" s="17"/>
      <c r="E346" s="18"/>
      <c r="F346" s="17"/>
      <c r="G346" s="18"/>
      <c r="H346" s="13"/>
      <c r="I346" s="19">
        <f>IF($E346="","",IF($L346&lt;=0.005,"Pago",IF($D346="","Sem vencimento",IF($D346&lt;Hoje,IF(N($G346)&gt;0,"Vencido (parcial)","Vencido"),IF($D346=Hoje,"Vence hoje","A vencer")))))</f>
        <v>0</v>
      </c>
      <c r="J346" s="20">
        <f>IF(OR($E346="",$D346=""),"",IF(AND($L346&gt;0.005,$D346&lt;Hoje),Hoje-$D346,0))</f>
        <v>0</v>
      </c>
      <c r="K346" s="20">
        <f>IF($J346="","",IF($L346&lt;=0.005,"Pago",IF($J346&lt;=0,"A vencer",IF($J346&lt;=15,"1-15 dias",IF($J346&lt;=30,"16-30 dias",IF($J346&lt;=60,"31-60 dias","Mais de 60 dias"))))))</f>
        <v>0</v>
      </c>
      <c r="L346" s="21">
        <f>IF($E346="","",MAX(0,$E346-N($G346)))</f>
        <v>0</v>
      </c>
      <c r="M346" s="21">
        <f>IF(OR($L346="",$J346=""),"",IF($J346&gt;0,ROUND($L346*Multa+$L346*Juros/30*$J346,2),0))</f>
        <v>0</v>
      </c>
      <c r="N346" s="22">
        <f>IF($L346="","",IF($L346&lt;=0.005,0,$L346+N($M346)))</f>
        <v>0</v>
      </c>
      <c r="O346" s="23">
        <f>IF(OR($I346="Vencido",$I346="Vencido (parcial)"),"Olá, "&amp;$A346&amp;"! Consta em aberto '"&amp;$B346&amp;"' com vencimento em "&amp;DAY($D346)&amp;"/"&amp;MONTH($D346)&amp;"/"&amp;YEAR($D346)&amp;", no valor de R$ "&amp;FIXED($N346,2)&amp;" (com multa e juros). Podemos ajudar a regularizar hoje? Obrigado!",IF($I346="Vence hoje","Olá, "&amp;$A346&amp;"! Lembrete: '"&amp;$B346&amp;"' vence hoje, no valor de R$ "&amp;FIXED($L346,2)&amp;". Obrigado!",""))</f>
        <v>0</v>
      </c>
    </row>
    <row r="347" spans="1:15">
      <c r="A347" s="13"/>
      <c r="B347" s="13"/>
      <c r="C347" s="17"/>
      <c r="D347" s="17"/>
      <c r="E347" s="18"/>
      <c r="F347" s="17"/>
      <c r="G347" s="18"/>
      <c r="H347" s="13"/>
      <c r="I347" s="19">
        <f>IF($E347="","",IF($L347&lt;=0.005,"Pago",IF($D347="","Sem vencimento",IF($D347&lt;Hoje,IF(N($G347)&gt;0,"Vencido (parcial)","Vencido"),IF($D347=Hoje,"Vence hoje","A vencer")))))</f>
        <v>0</v>
      </c>
      <c r="J347" s="20">
        <f>IF(OR($E347="",$D347=""),"",IF(AND($L347&gt;0.005,$D347&lt;Hoje),Hoje-$D347,0))</f>
        <v>0</v>
      </c>
      <c r="K347" s="20">
        <f>IF($J347="","",IF($L347&lt;=0.005,"Pago",IF($J347&lt;=0,"A vencer",IF($J347&lt;=15,"1-15 dias",IF($J347&lt;=30,"16-30 dias",IF($J347&lt;=60,"31-60 dias","Mais de 60 dias"))))))</f>
        <v>0</v>
      </c>
      <c r="L347" s="21">
        <f>IF($E347="","",MAX(0,$E347-N($G347)))</f>
        <v>0</v>
      </c>
      <c r="M347" s="21">
        <f>IF(OR($L347="",$J347=""),"",IF($J347&gt;0,ROUND($L347*Multa+$L347*Juros/30*$J347,2),0))</f>
        <v>0</v>
      </c>
      <c r="N347" s="22">
        <f>IF($L347="","",IF($L347&lt;=0.005,0,$L347+N($M347)))</f>
        <v>0</v>
      </c>
      <c r="O347" s="23">
        <f>IF(OR($I347="Vencido",$I347="Vencido (parcial)"),"Olá, "&amp;$A347&amp;"! Consta em aberto '"&amp;$B347&amp;"' com vencimento em "&amp;DAY($D347)&amp;"/"&amp;MONTH($D347)&amp;"/"&amp;YEAR($D347)&amp;", no valor de R$ "&amp;FIXED($N347,2)&amp;" (com multa e juros). Podemos ajudar a regularizar hoje? Obrigado!",IF($I347="Vence hoje","Olá, "&amp;$A347&amp;"! Lembrete: '"&amp;$B347&amp;"' vence hoje, no valor de R$ "&amp;FIXED($L347,2)&amp;". Obrigado!",""))</f>
        <v>0</v>
      </c>
    </row>
    <row r="348" spans="1:15">
      <c r="A348" s="13"/>
      <c r="B348" s="13"/>
      <c r="C348" s="17"/>
      <c r="D348" s="17"/>
      <c r="E348" s="18"/>
      <c r="F348" s="17"/>
      <c r="G348" s="18"/>
      <c r="H348" s="13"/>
      <c r="I348" s="19">
        <f>IF($E348="","",IF($L348&lt;=0.005,"Pago",IF($D348="","Sem vencimento",IF($D348&lt;Hoje,IF(N($G348)&gt;0,"Vencido (parcial)","Vencido"),IF($D348=Hoje,"Vence hoje","A vencer")))))</f>
        <v>0</v>
      </c>
      <c r="J348" s="20">
        <f>IF(OR($E348="",$D348=""),"",IF(AND($L348&gt;0.005,$D348&lt;Hoje),Hoje-$D348,0))</f>
        <v>0</v>
      </c>
      <c r="K348" s="20">
        <f>IF($J348="","",IF($L348&lt;=0.005,"Pago",IF($J348&lt;=0,"A vencer",IF($J348&lt;=15,"1-15 dias",IF($J348&lt;=30,"16-30 dias",IF($J348&lt;=60,"31-60 dias","Mais de 60 dias"))))))</f>
        <v>0</v>
      </c>
      <c r="L348" s="21">
        <f>IF($E348="","",MAX(0,$E348-N($G348)))</f>
        <v>0</v>
      </c>
      <c r="M348" s="21">
        <f>IF(OR($L348="",$J348=""),"",IF($J348&gt;0,ROUND($L348*Multa+$L348*Juros/30*$J348,2),0))</f>
        <v>0</v>
      </c>
      <c r="N348" s="22">
        <f>IF($L348="","",IF($L348&lt;=0.005,0,$L348+N($M348)))</f>
        <v>0</v>
      </c>
      <c r="O348" s="23">
        <f>IF(OR($I348="Vencido",$I348="Vencido (parcial)"),"Olá, "&amp;$A348&amp;"! Consta em aberto '"&amp;$B348&amp;"' com vencimento em "&amp;DAY($D348)&amp;"/"&amp;MONTH($D348)&amp;"/"&amp;YEAR($D348)&amp;", no valor de R$ "&amp;FIXED($N348,2)&amp;" (com multa e juros). Podemos ajudar a regularizar hoje? Obrigado!",IF($I348="Vence hoje","Olá, "&amp;$A348&amp;"! Lembrete: '"&amp;$B348&amp;"' vence hoje, no valor de R$ "&amp;FIXED($L348,2)&amp;". Obrigado!",""))</f>
        <v>0</v>
      </c>
    </row>
    <row r="349" spans="1:15">
      <c r="A349" s="13"/>
      <c r="B349" s="13"/>
      <c r="C349" s="17"/>
      <c r="D349" s="17"/>
      <c r="E349" s="18"/>
      <c r="F349" s="17"/>
      <c r="G349" s="18"/>
      <c r="H349" s="13"/>
      <c r="I349" s="19">
        <f>IF($E349="","",IF($L349&lt;=0.005,"Pago",IF($D349="","Sem vencimento",IF($D349&lt;Hoje,IF(N($G349)&gt;0,"Vencido (parcial)","Vencido"),IF($D349=Hoje,"Vence hoje","A vencer")))))</f>
        <v>0</v>
      </c>
      <c r="J349" s="20">
        <f>IF(OR($E349="",$D349=""),"",IF(AND($L349&gt;0.005,$D349&lt;Hoje),Hoje-$D349,0))</f>
        <v>0</v>
      </c>
      <c r="K349" s="20">
        <f>IF($J349="","",IF($L349&lt;=0.005,"Pago",IF($J349&lt;=0,"A vencer",IF($J349&lt;=15,"1-15 dias",IF($J349&lt;=30,"16-30 dias",IF($J349&lt;=60,"31-60 dias","Mais de 60 dias"))))))</f>
        <v>0</v>
      </c>
      <c r="L349" s="21">
        <f>IF($E349="","",MAX(0,$E349-N($G349)))</f>
        <v>0</v>
      </c>
      <c r="M349" s="21">
        <f>IF(OR($L349="",$J349=""),"",IF($J349&gt;0,ROUND($L349*Multa+$L349*Juros/30*$J349,2),0))</f>
        <v>0</v>
      </c>
      <c r="N349" s="22">
        <f>IF($L349="","",IF($L349&lt;=0.005,0,$L349+N($M349)))</f>
        <v>0</v>
      </c>
      <c r="O349" s="23">
        <f>IF(OR($I349="Vencido",$I349="Vencido (parcial)"),"Olá, "&amp;$A349&amp;"! Consta em aberto '"&amp;$B349&amp;"' com vencimento em "&amp;DAY($D349)&amp;"/"&amp;MONTH($D349)&amp;"/"&amp;YEAR($D349)&amp;", no valor de R$ "&amp;FIXED($N349,2)&amp;" (com multa e juros). Podemos ajudar a regularizar hoje? Obrigado!",IF($I349="Vence hoje","Olá, "&amp;$A349&amp;"! Lembrete: '"&amp;$B349&amp;"' vence hoje, no valor de R$ "&amp;FIXED($L349,2)&amp;". Obrigado!",""))</f>
        <v>0</v>
      </c>
    </row>
    <row r="350" spans="1:15">
      <c r="A350" s="13"/>
      <c r="B350" s="13"/>
      <c r="C350" s="17"/>
      <c r="D350" s="17"/>
      <c r="E350" s="18"/>
      <c r="F350" s="17"/>
      <c r="G350" s="18"/>
      <c r="H350" s="13"/>
      <c r="I350" s="19">
        <f>IF($E350="","",IF($L350&lt;=0.005,"Pago",IF($D350="","Sem vencimento",IF($D350&lt;Hoje,IF(N($G350)&gt;0,"Vencido (parcial)","Vencido"),IF($D350=Hoje,"Vence hoje","A vencer")))))</f>
        <v>0</v>
      </c>
      <c r="J350" s="20">
        <f>IF(OR($E350="",$D350=""),"",IF(AND($L350&gt;0.005,$D350&lt;Hoje),Hoje-$D350,0))</f>
        <v>0</v>
      </c>
      <c r="K350" s="20">
        <f>IF($J350="","",IF($L350&lt;=0.005,"Pago",IF($J350&lt;=0,"A vencer",IF($J350&lt;=15,"1-15 dias",IF($J350&lt;=30,"16-30 dias",IF($J350&lt;=60,"31-60 dias","Mais de 60 dias"))))))</f>
        <v>0</v>
      </c>
      <c r="L350" s="21">
        <f>IF($E350="","",MAX(0,$E350-N($G350)))</f>
        <v>0</v>
      </c>
      <c r="M350" s="21">
        <f>IF(OR($L350="",$J350=""),"",IF($J350&gt;0,ROUND($L350*Multa+$L350*Juros/30*$J350,2),0))</f>
        <v>0</v>
      </c>
      <c r="N350" s="22">
        <f>IF($L350="","",IF($L350&lt;=0.005,0,$L350+N($M350)))</f>
        <v>0</v>
      </c>
      <c r="O350" s="23">
        <f>IF(OR($I350="Vencido",$I350="Vencido (parcial)"),"Olá, "&amp;$A350&amp;"! Consta em aberto '"&amp;$B350&amp;"' com vencimento em "&amp;DAY($D350)&amp;"/"&amp;MONTH($D350)&amp;"/"&amp;YEAR($D350)&amp;", no valor de R$ "&amp;FIXED($N350,2)&amp;" (com multa e juros). Podemos ajudar a regularizar hoje? Obrigado!",IF($I350="Vence hoje","Olá, "&amp;$A350&amp;"! Lembrete: '"&amp;$B350&amp;"' vence hoje, no valor de R$ "&amp;FIXED($L350,2)&amp;". Obrigado!",""))</f>
        <v>0</v>
      </c>
    </row>
    <row r="351" spans="1:15">
      <c r="A351" s="13"/>
      <c r="B351" s="13"/>
      <c r="C351" s="17"/>
      <c r="D351" s="17"/>
      <c r="E351" s="18"/>
      <c r="F351" s="17"/>
      <c r="G351" s="18"/>
      <c r="H351" s="13"/>
      <c r="I351" s="19">
        <f>IF($E351="","",IF($L351&lt;=0.005,"Pago",IF($D351="","Sem vencimento",IF($D351&lt;Hoje,IF(N($G351)&gt;0,"Vencido (parcial)","Vencido"),IF($D351=Hoje,"Vence hoje","A vencer")))))</f>
        <v>0</v>
      </c>
      <c r="J351" s="20">
        <f>IF(OR($E351="",$D351=""),"",IF(AND($L351&gt;0.005,$D351&lt;Hoje),Hoje-$D351,0))</f>
        <v>0</v>
      </c>
      <c r="K351" s="20">
        <f>IF($J351="","",IF($L351&lt;=0.005,"Pago",IF($J351&lt;=0,"A vencer",IF($J351&lt;=15,"1-15 dias",IF($J351&lt;=30,"16-30 dias",IF($J351&lt;=60,"31-60 dias","Mais de 60 dias"))))))</f>
        <v>0</v>
      </c>
      <c r="L351" s="21">
        <f>IF($E351="","",MAX(0,$E351-N($G351)))</f>
        <v>0</v>
      </c>
      <c r="M351" s="21">
        <f>IF(OR($L351="",$J351=""),"",IF($J351&gt;0,ROUND($L351*Multa+$L351*Juros/30*$J351,2),0))</f>
        <v>0</v>
      </c>
      <c r="N351" s="22">
        <f>IF($L351="","",IF($L351&lt;=0.005,0,$L351+N($M351)))</f>
        <v>0</v>
      </c>
      <c r="O351" s="23">
        <f>IF(OR($I351="Vencido",$I351="Vencido (parcial)"),"Olá, "&amp;$A351&amp;"! Consta em aberto '"&amp;$B351&amp;"' com vencimento em "&amp;DAY($D351)&amp;"/"&amp;MONTH($D351)&amp;"/"&amp;YEAR($D351)&amp;", no valor de R$ "&amp;FIXED($N351,2)&amp;" (com multa e juros). Podemos ajudar a regularizar hoje? Obrigado!",IF($I351="Vence hoje","Olá, "&amp;$A351&amp;"! Lembrete: '"&amp;$B351&amp;"' vence hoje, no valor de R$ "&amp;FIXED($L351,2)&amp;". Obrigado!",""))</f>
        <v>0</v>
      </c>
    </row>
    <row r="352" spans="1:15">
      <c r="A352" s="13"/>
      <c r="B352" s="13"/>
      <c r="C352" s="17"/>
      <c r="D352" s="17"/>
      <c r="E352" s="18"/>
      <c r="F352" s="17"/>
      <c r="G352" s="18"/>
      <c r="H352" s="13"/>
      <c r="I352" s="19">
        <f>IF($E352="","",IF($L352&lt;=0.005,"Pago",IF($D352="","Sem vencimento",IF($D352&lt;Hoje,IF(N($G352)&gt;0,"Vencido (parcial)","Vencido"),IF($D352=Hoje,"Vence hoje","A vencer")))))</f>
        <v>0</v>
      </c>
      <c r="J352" s="20">
        <f>IF(OR($E352="",$D352=""),"",IF(AND($L352&gt;0.005,$D352&lt;Hoje),Hoje-$D352,0))</f>
        <v>0</v>
      </c>
      <c r="K352" s="20">
        <f>IF($J352="","",IF($L352&lt;=0.005,"Pago",IF($J352&lt;=0,"A vencer",IF($J352&lt;=15,"1-15 dias",IF($J352&lt;=30,"16-30 dias",IF($J352&lt;=60,"31-60 dias","Mais de 60 dias"))))))</f>
        <v>0</v>
      </c>
      <c r="L352" s="21">
        <f>IF($E352="","",MAX(0,$E352-N($G352)))</f>
        <v>0</v>
      </c>
      <c r="M352" s="21">
        <f>IF(OR($L352="",$J352=""),"",IF($J352&gt;0,ROUND($L352*Multa+$L352*Juros/30*$J352,2),0))</f>
        <v>0</v>
      </c>
      <c r="N352" s="22">
        <f>IF($L352="","",IF($L352&lt;=0.005,0,$L352+N($M352)))</f>
        <v>0</v>
      </c>
      <c r="O352" s="23">
        <f>IF(OR($I352="Vencido",$I352="Vencido (parcial)"),"Olá, "&amp;$A352&amp;"! Consta em aberto '"&amp;$B352&amp;"' com vencimento em "&amp;DAY($D352)&amp;"/"&amp;MONTH($D352)&amp;"/"&amp;YEAR($D352)&amp;", no valor de R$ "&amp;FIXED($N352,2)&amp;" (com multa e juros). Podemos ajudar a regularizar hoje? Obrigado!",IF($I352="Vence hoje","Olá, "&amp;$A352&amp;"! Lembrete: '"&amp;$B352&amp;"' vence hoje, no valor de R$ "&amp;FIXED($L352,2)&amp;". Obrigado!",""))</f>
        <v>0</v>
      </c>
    </row>
    <row r="353" spans="1:15">
      <c r="A353" s="13"/>
      <c r="B353" s="13"/>
      <c r="C353" s="17"/>
      <c r="D353" s="17"/>
      <c r="E353" s="18"/>
      <c r="F353" s="17"/>
      <c r="G353" s="18"/>
      <c r="H353" s="13"/>
      <c r="I353" s="19">
        <f>IF($E353="","",IF($L353&lt;=0.005,"Pago",IF($D353="","Sem vencimento",IF($D353&lt;Hoje,IF(N($G353)&gt;0,"Vencido (parcial)","Vencido"),IF($D353=Hoje,"Vence hoje","A vencer")))))</f>
        <v>0</v>
      </c>
      <c r="J353" s="20">
        <f>IF(OR($E353="",$D353=""),"",IF(AND($L353&gt;0.005,$D353&lt;Hoje),Hoje-$D353,0))</f>
        <v>0</v>
      </c>
      <c r="K353" s="20">
        <f>IF($J353="","",IF($L353&lt;=0.005,"Pago",IF($J353&lt;=0,"A vencer",IF($J353&lt;=15,"1-15 dias",IF($J353&lt;=30,"16-30 dias",IF($J353&lt;=60,"31-60 dias","Mais de 60 dias"))))))</f>
        <v>0</v>
      </c>
      <c r="L353" s="21">
        <f>IF($E353="","",MAX(0,$E353-N($G353)))</f>
        <v>0</v>
      </c>
      <c r="M353" s="21">
        <f>IF(OR($L353="",$J353=""),"",IF($J353&gt;0,ROUND($L353*Multa+$L353*Juros/30*$J353,2),0))</f>
        <v>0</v>
      </c>
      <c r="N353" s="22">
        <f>IF($L353="","",IF($L353&lt;=0.005,0,$L353+N($M353)))</f>
        <v>0</v>
      </c>
      <c r="O353" s="23">
        <f>IF(OR($I353="Vencido",$I353="Vencido (parcial)"),"Olá, "&amp;$A353&amp;"! Consta em aberto '"&amp;$B353&amp;"' com vencimento em "&amp;DAY($D353)&amp;"/"&amp;MONTH($D353)&amp;"/"&amp;YEAR($D353)&amp;", no valor de R$ "&amp;FIXED($N353,2)&amp;" (com multa e juros). Podemos ajudar a regularizar hoje? Obrigado!",IF($I353="Vence hoje","Olá, "&amp;$A353&amp;"! Lembrete: '"&amp;$B353&amp;"' vence hoje, no valor de R$ "&amp;FIXED($L353,2)&amp;". Obrigado!",""))</f>
        <v>0</v>
      </c>
    </row>
    <row r="354" spans="1:15">
      <c r="A354" s="13"/>
      <c r="B354" s="13"/>
      <c r="C354" s="17"/>
      <c r="D354" s="17"/>
      <c r="E354" s="18"/>
      <c r="F354" s="17"/>
      <c r="G354" s="18"/>
      <c r="H354" s="13"/>
      <c r="I354" s="19">
        <f>IF($E354="","",IF($L354&lt;=0.005,"Pago",IF($D354="","Sem vencimento",IF($D354&lt;Hoje,IF(N($G354)&gt;0,"Vencido (parcial)","Vencido"),IF($D354=Hoje,"Vence hoje","A vencer")))))</f>
        <v>0</v>
      </c>
      <c r="J354" s="20">
        <f>IF(OR($E354="",$D354=""),"",IF(AND($L354&gt;0.005,$D354&lt;Hoje),Hoje-$D354,0))</f>
        <v>0</v>
      </c>
      <c r="K354" s="20">
        <f>IF($J354="","",IF($L354&lt;=0.005,"Pago",IF($J354&lt;=0,"A vencer",IF($J354&lt;=15,"1-15 dias",IF($J354&lt;=30,"16-30 dias",IF($J354&lt;=60,"31-60 dias","Mais de 60 dias"))))))</f>
        <v>0</v>
      </c>
      <c r="L354" s="21">
        <f>IF($E354="","",MAX(0,$E354-N($G354)))</f>
        <v>0</v>
      </c>
      <c r="M354" s="21">
        <f>IF(OR($L354="",$J354=""),"",IF($J354&gt;0,ROUND($L354*Multa+$L354*Juros/30*$J354,2),0))</f>
        <v>0</v>
      </c>
      <c r="N354" s="22">
        <f>IF($L354="","",IF($L354&lt;=0.005,0,$L354+N($M354)))</f>
        <v>0</v>
      </c>
      <c r="O354" s="23">
        <f>IF(OR($I354="Vencido",$I354="Vencido (parcial)"),"Olá, "&amp;$A354&amp;"! Consta em aberto '"&amp;$B354&amp;"' com vencimento em "&amp;DAY($D354)&amp;"/"&amp;MONTH($D354)&amp;"/"&amp;YEAR($D354)&amp;", no valor de R$ "&amp;FIXED($N354,2)&amp;" (com multa e juros). Podemos ajudar a regularizar hoje? Obrigado!",IF($I354="Vence hoje","Olá, "&amp;$A354&amp;"! Lembrete: '"&amp;$B354&amp;"' vence hoje, no valor de R$ "&amp;FIXED($L354,2)&amp;". Obrigado!",""))</f>
        <v>0</v>
      </c>
    </row>
    <row r="355" spans="1:15">
      <c r="A355" s="13"/>
      <c r="B355" s="13"/>
      <c r="C355" s="17"/>
      <c r="D355" s="17"/>
      <c r="E355" s="18"/>
      <c r="F355" s="17"/>
      <c r="G355" s="18"/>
      <c r="H355" s="13"/>
      <c r="I355" s="19">
        <f>IF($E355="","",IF($L355&lt;=0.005,"Pago",IF($D355="","Sem vencimento",IF($D355&lt;Hoje,IF(N($G355)&gt;0,"Vencido (parcial)","Vencido"),IF($D355=Hoje,"Vence hoje","A vencer")))))</f>
        <v>0</v>
      </c>
      <c r="J355" s="20">
        <f>IF(OR($E355="",$D355=""),"",IF(AND($L355&gt;0.005,$D355&lt;Hoje),Hoje-$D355,0))</f>
        <v>0</v>
      </c>
      <c r="K355" s="20">
        <f>IF($J355="","",IF($L355&lt;=0.005,"Pago",IF($J355&lt;=0,"A vencer",IF($J355&lt;=15,"1-15 dias",IF($J355&lt;=30,"16-30 dias",IF($J355&lt;=60,"31-60 dias","Mais de 60 dias"))))))</f>
        <v>0</v>
      </c>
      <c r="L355" s="21">
        <f>IF($E355="","",MAX(0,$E355-N($G355)))</f>
        <v>0</v>
      </c>
      <c r="M355" s="21">
        <f>IF(OR($L355="",$J355=""),"",IF($J355&gt;0,ROUND($L355*Multa+$L355*Juros/30*$J355,2),0))</f>
        <v>0</v>
      </c>
      <c r="N355" s="22">
        <f>IF($L355="","",IF($L355&lt;=0.005,0,$L355+N($M355)))</f>
        <v>0</v>
      </c>
      <c r="O355" s="23">
        <f>IF(OR($I355="Vencido",$I355="Vencido (parcial)"),"Olá, "&amp;$A355&amp;"! Consta em aberto '"&amp;$B355&amp;"' com vencimento em "&amp;DAY($D355)&amp;"/"&amp;MONTH($D355)&amp;"/"&amp;YEAR($D355)&amp;", no valor de R$ "&amp;FIXED($N355,2)&amp;" (com multa e juros). Podemos ajudar a regularizar hoje? Obrigado!",IF($I355="Vence hoje","Olá, "&amp;$A355&amp;"! Lembrete: '"&amp;$B355&amp;"' vence hoje, no valor de R$ "&amp;FIXED($L355,2)&amp;". Obrigado!",""))</f>
        <v>0</v>
      </c>
    </row>
    <row r="356" spans="1:15">
      <c r="A356" s="13"/>
      <c r="B356" s="13"/>
      <c r="C356" s="17"/>
      <c r="D356" s="17"/>
      <c r="E356" s="18"/>
      <c r="F356" s="17"/>
      <c r="G356" s="18"/>
      <c r="H356" s="13"/>
      <c r="I356" s="19">
        <f>IF($E356="","",IF($L356&lt;=0.005,"Pago",IF($D356="","Sem vencimento",IF($D356&lt;Hoje,IF(N($G356)&gt;0,"Vencido (parcial)","Vencido"),IF($D356=Hoje,"Vence hoje","A vencer")))))</f>
        <v>0</v>
      </c>
      <c r="J356" s="20">
        <f>IF(OR($E356="",$D356=""),"",IF(AND($L356&gt;0.005,$D356&lt;Hoje),Hoje-$D356,0))</f>
        <v>0</v>
      </c>
      <c r="K356" s="20">
        <f>IF($J356="","",IF($L356&lt;=0.005,"Pago",IF($J356&lt;=0,"A vencer",IF($J356&lt;=15,"1-15 dias",IF($J356&lt;=30,"16-30 dias",IF($J356&lt;=60,"31-60 dias","Mais de 60 dias"))))))</f>
        <v>0</v>
      </c>
      <c r="L356" s="21">
        <f>IF($E356="","",MAX(0,$E356-N($G356)))</f>
        <v>0</v>
      </c>
      <c r="M356" s="21">
        <f>IF(OR($L356="",$J356=""),"",IF($J356&gt;0,ROUND($L356*Multa+$L356*Juros/30*$J356,2),0))</f>
        <v>0</v>
      </c>
      <c r="N356" s="22">
        <f>IF($L356="","",IF($L356&lt;=0.005,0,$L356+N($M356)))</f>
        <v>0</v>
      </c>
      <c r="O356" s="23">
        <f>IF(OR($I356="Vencido",$I356="Vencido (parcial)"),"Olá, "&amp;$A356&amp;"! Consta em aberto '"&amp;$B356&amp;"' com vencimento em "&amp;DAY($D356)&amp;"/"&amp;MONTH($D356)&amp;"/"&amp;YEAR($D356)&amp;", no valor de R$ "&amp;FIXED($N356,2)&amp;" (com multa e juros). Podemos ajudar a regularizar hoje? Obrigado!",IF($I356="Vence hoje","Olá, "&amp;$A356&amp;"! Lembrete: '"&amp;$B356&amp;"' vence hoje, no valor de R$ "&amp;FIXED($L356,2)&amp;". Obrigado!",""))</f>
        <v>0</v>
      </c>
    </row>
    <row r="357" spans="1:15">
      <c r="A357" s="13"/>
      <c r="B357" s="13"/>
      <c r="C357" s="17"/>
      <c r="D357" s="17"/>
      <c r="E357" s="18"/>
      <c r="F357" s="17"/>
      <c r="G357" s="18"/>
      <c r="H357" s="13"/>
      <c r="I357" s="19">
        <f>IF($E357="","",IF($L357&lt;=0.005,"Pago",IF($D357="","Sem vencimento",IF($D357&lt;Hoje,IF(N($G357)&gt;0,"Vencido (parcial)","Vencido"),IF($D357=Hoje,"Vence hoje","A vencer")))))</f>
        <v>0</v>
      </c>
      <c r="J357" s="20">
        <f>IF(OR($E357="",$D357=""),"",IF(AND($L357&gt;0.005,$D357&lt;Hoje),Hoje-$D357,0))</f>
        <v>0</v>
      </c>
      <c r="K357" s="20">
        <f>IF($J357="","",IF($L357&lt;=0.005,"Pago",IF($J357&lt;=0,"A vencer",IF($J357&lt;=15,"1-15 dias",IF($J357&lt;=30,"16-30 dias",IF($J357&lt;=60,"31-60 dias","Mais de 60 dias"))))))</f>
        <v>0</v>
      </c>
      <c r="L357" s="21">
        <f>IF($E357="","",MAX(0,$E357-N($G357)))</f>
        <v>0</v>
      </c>
      <c r="M357" s="21">
        <f>IF(OR($L357="",$J357=""),"",IF($J357&gt;0,ROUND($L357*Multa+$L357*Juros/30*$J357,2),0))</f>
        <v>0</v>
      </c>
      <c r="N357" s="22">
        <f>IF($L357="","",IF($L357&lt;=0.005,0,$L357+N($M357)))</f>
        <v>0</v>
      </c>
      <c r="O357" s="23">
        <f>IF(OR($I357="Vencido",$I357="Vencido (parcial)"),"Olá, "&amp;$A357&amp;"! Consta em aberto '"&amp;$B357&amp;"' com vencimento em "&amp;DAY($D357)&amp;"/"&amp;MONTH($D357)&amp;"/"&amp;YEAR($D357)&amp;", no valor de R$ "&amp;FIXED($N357,2)&amp;" (com multa e juros). Podemos ajudar a regularizar hoje? Obrigado!",IF($I357="Vence hoje","Olá, "&amp;$A357&amp;"! Lembrete: '"&amp;$B357&amp;"' vence hoje, no valor de R$ "&amp;FIXED($L357,2)&amp;". Obrigado!",""))</f>
        <v>0</v>
      </c>
    </row>
    <row r="358" spans="1:15">
      <c r="A358" s="13"/>
      <c r="B358" s="13"/>
      <c r="C358" s="17"/>
      <c r="D358" s="17"/>
      <c r="E358" s="18"/>
      <c r="F358" s="17"/>
      <c r="G358" s="18"/>
      <c r="H358" s="13"/>
      <c r="I358" s="19">
        <f>IF($E358="","",IF($L358&lt;=0.005,"Pago",IF($D358="","Sem vencimento",IF($D358&lt;Hoje,IF(N($G358)&gt;0,"Vencido (parcial)","Vencido"),IF($D358=Hoje,"Vence hoje","A vencer")))))</f>
        <v>0</v>
      </c>
      <c r="J358" s="20">
        <f>IF(OR($E358="",$D358=""),"",IF(AND($L358&gt;0.005,$D358&lt;Hoje),Hoje-$D358,0))</f>
        <v>0</v>
      </c>
      <c r="K358" s="20">
        <f>IF($J358="","",IF($L358&lt;=0.005,"Pago",IF($J358&lt;=0,"A vencer",IF($J358&lt;=15,"1-15 dias",IF($J358&lt;=30,"16-30 dias",IF($J358&lt;=60,"31-60 dias","Mais de 60 dias"))))))</f>
        <v>0</v>
      </c>
      <c r="L358" s="21">
        <f>IF($E358="","",MAX(0,$E358-N($G358)))</f>
        <v>0</v>
      </c>
      <c r="M358" s="21">
        <f>IF(OR($L358="",$J358=""),"",IF($J358&gt;0,ROUND($L358*Multa+$L358*Juros/30*$J358,2),0))</f>
        <v>0</v>
      </c>
      <c r="N358" s="22">
        <f>IF($L358="","",IF($L358&lt;=0.005,0,$L358+N($M358)))</f>
        <v>0</v>
      </c>
      <c r="O358" s="23">
        <f>IF(OR($I358="Vencido",$I358="Vencido (parcial)"),"Olá, "&amp;$A358&amp;"! Consta em aberto '"&amp;$B358&amp;"' com vencimento em "&amp;DAY($D358)&amp;"/"&amp;MONTH($D358)&amp;"/"&amp;YEAR($D358)&amp;", no valor de R$ "&amp;FIXED($N358,2)&amp;" (com multa e juros). Podemos ajudar a regularizar hoje? Obrigado!",IF($I358="Vence hoje","Olá, "&amp;$A358&amp;"! Lembrete: '"&amp;$B358&amp;"' vence hoje, no valor de R$ "&amp;FIXED($L358,2)&amp;". Obrigado!",""))</f>
        <v>0</v>
      </c>
    </row>
    <row r="359" spans="1:15">
      <c r="A359" s="13"/>
      <c r="B359" s="13"/>
      <c r="C359" s="17"/>
      <c r="D359" s="17"/>
      <c r="E359" s="18"/>
      <c r="F359" s="17"/>
      <c r="G359" s="18"/>
      <c r="H359" s="13"/>
      <c r="I359" s="19">
        <f>IF($E359="","",IF($L359&lt;=0.005,"Pago",IF($D359="","Sem vencimento",IF($D359&lt;Hoje,IF(N($G359)&gt;0,"Vencido (parcial)","Vencido"),IF($D359=Hoje,"Vence hoje","A vencer")))))</f>
        <v>0</v>
      </c>
      <c r="J359" s="20">
        <f>IF(OR($E359="",$D359=""),"",IF(AND($L359&gt;0.005,$D359&lt;Hoje),Hoje-$D359,0))</f>
        <v>0</v>
      </c>
      <c r="K359" s="20">
        <f>IF($J359="","",IF($L359&lt;=0.005,"Pago",IF($J359&lt;=0,"A vencer",IF($J359&lt;=15,"1-15 dias",IF($J359&lt;=30,"16-30 dias",IF($J359&lt;=60,"31-60 dias","Mais de 60 dias"))))))</f>
        <v>0</v>
      </c>
      <c r="L359" s="21">
        <f>IF($E359="","",MAX(0,$E359-N($G359)))</f>
        <v>0</v>
      </c>
      <c r="M359" s="21">
        <f>IF(OR($L359="",$J359=""),"",IF($J359&gt;0,ROUND($L359*Multa+$L359*Juros/30*$J359,2),0))</f>
        <v>0</v>
      </c>
      <c r="N359" s="22">
        <f>IF($L359="","",IF($L359&lt;=0.005,0,$L359+N($M359)))</f>
        <v>0</v>
      </c>
      <c r="O359" s="23">
        <f>IF(OR($I359="Vencido",$I359="Vencido (parcial)"),"Olá, "&amp;$A359&amp;"! Consta em aberto '"&amp;$B359&amp;"' com vencimento em "&amp;DAY($D359)&amp;"/"&amp;MONTH($D359)&amp;"/"&amp;YEAR($D359)&amp;", no valor de R$ "&amp;FIXED($N359,2)&amp;" (com multa e juros). Podemos ajudar a regularizar hoje? Obrigado!",IF($I359="Vence hoje","Olá, "&amp;$A359&amp;"! Lembrete: '"&amp;$B359&amp;"' vence hoje, no valor de R$ "&amp;FIXED($L359,2)&amp;". Obrigado!",""))</f>
        <v>0</v>
      </c>
    </row>
    <row r="360" spans="1:15">
      <c r="A360" s="13"/>
      <c r="B360" s="13"/>
      <c r="C360" s="17"/>
      <c r="D360" s="17"/>
      <c r="E360" s="18"/>
      <c r="F360" s="17"/>
      <c r="G360" s="18"/>
      <c r="H360" s="13"/>
      <c r="I360" s="19">
        <f>IF($E360="","",IF($L360&lt;=0.005,"Pago",IF($D360="","Sem vencimento",IF($D360&lt;Hoje,IF(N($G360)&gt;0,"Vencido (parcial)","Vencido"),IF($D360=Hoje,"Vence hoje","A vencer")))))</f>
        <v>0</v>
      </c>
      <c r="J360" s="20">
        <f>IF(OR($E360="",$D360=""),"",IF(AND($L360&gt;0.005,$D360&lt;Hoje),Hoje-$D360,0))</f>
        <v>0</v>
      </c>
      <c r="K360" s="20">
        <f>IF($J360="","",IF($L360&lt;=0.005,"Pago",IF($J360&lt;=0,"A vencer",IF($J360&lt;=15,"1-15 dias",IF($J360&lt;=30,"16-30 dias",IF($J360&lt;=60,"31-60 dias","Mais de 60 dias"))))))</f>
        <v>0</v>
      </c>
      <c r="L360" s="21">
        <f>IF($E360="","",MAX(0,$E360-N($G360)))</f>
        <v>0</v>
      </c>
      <c r="M360" s="21">
        <f>IF(OR($L360="",$J360=""),"",IF($J360&gt;0,ROUND($L360*Multa+$L360*Juros/30*$J360,2),0))</f>
        <v>0</v>
      </c>
      <c r="N360" s="22">
        <f>IF($L360="","",IF($L360&lt;=0.005,0,$L360+N($M360)))</f>
        <v>0</v>
      </c>
      <c r="O360" s="23">
        <f>IF(OR($I360="Vencido",$I360="Vencido (parcial)"),"Olá, "&amp;$A360&amp;"! Consta em aberto '"&amp;$B360&amp;"' com vencimento em "&amp;DAY($D360)&amp;"/"&amp;MONTH($D360)&amp;"/"&amp;YEAR($D360)&amp;", no valor de R$ "&amp;FIXED($N360,2)&amp;" (com multa e juros). Podemos ajudar a regularizar hoje? Obrigado!",IF($I360="Vence hoje","Olá, "&amp;$A360&amp;"! Lembrete: '"&amp;$B360&amp;"' vence hoje, no valor de R$ "&amp;FIXED($L360,2)&amp;". Obrigado!",""))</f>
        <v>0</v>
      </c>
    </row>
    <row r="361" spans="1:15">
      <c r="A361" s="13"/>
      <c r="B361" s="13"/>
      <c r="C361" s="17"/>
      <c r="D361" s="17"/>
      <c r="E361" s="18"/>
      <c r="F361" s="17"/>
      <c r="G361" s="18"/>
      <c r="H361" s="13"/>
      <c r="I361" s="19">
        <f>IF($E361="","",IF($L361&lt;=0.005,"Pago",IF($D361="","Sem vencimento",IF($D361&lt;Hoje,IF(N($G361)&gt;0,"Vencido (parcial)","Vencido"),IF($D361=Hoje,"Vence hoje","A vencer")))))</f>
        <v>0</v>
      </c>
      <c r="J361" s="20">
        <f>IF(OR($E361="",$D361=""),"",IF(AND($L361&gt;0.005,$D361&lt;Hoje),Hoje-$D361,0))</f>
        <v>0</v>
      </c>
      <c r="K361" s="20">
        <f>IF($J361="","",IF($L361&lt;=0.005,"Pago",IF($J361&lt;=0,"A vencer",IF($J361&lt;=15,"1-15 dias",IF($J361&lt;=30,"16-30 dias",IF($J361&lt;=60,"31-60 dias","Mais de 60 dias"))))))</f>
        <v>0</v>
      </c>
      <c r="L361" s="21">
        <f>IF($E361="","",MAX(0,$E361-N($G361)))</f>
        <v>0</v>
      </c>
      <c r="M361" s="21">
        <f>IF(OR($L361="",$J361=""),"",IF($J361&gt;0,ROUND($L361*Multa+$L361*Juros/30*$J361,2),0))</f>
        <v>0</v>
      </c>
      <c r="N361" s="22">
        <f>IF($L361="","",IF($L361&lt;=0.005,0,$L361+N($M361)))</f>
        <v>0</v>
      </c>
      <c r="O361" s="23">
        <f>IF(OR($I361="Vencido",$I361="Vencido (parcial)"),"Olá, "&amp;$A361&amp;"! Consta em aberto '"&amp;$B361&amp;"' com vencimento em "&amp;DAY($D361)&amp;"/"&amp;MONTH($D361)&amp;"/"&amp;YEAR($D361)&amp;", no valor de R$ "&amp;FIXED($N361,2)&amp;" (com multa e juros). Podemos ajudar a regularizar hoje? Obrigado!",IF($I361="Vence hoje","Olá, "&amp;$A361&amp;"! Lembrete: '"&amp;$B361&amp;"' vence hoje, no valor de R$ "&amp;FIXED($L361,2)&amp;". Obrigado!",""))</f>
        <v>0</v>
      </c>
    </row>
    <row r="362" spans="1:15">
      <c r="A362" s="13"/>
      <c r="B362" s="13"/>
      <c r="C362" s="17"/>
      <c r="D362" s="17"/>
      <c r="E362" s="18"/>
      <c r="F362" s="17"/>
      <c r="G362" s="18"/>
      <c r="H362" s="13"/>
      <c r="I362" s="19">
        <f>IF($E362="","",IF($L362&lt;=0.005,"Pago",IF($D362="","Sem vencimento",IF($D362&lt;Hoje,IF(N($G362)&gt;0,"Vencido (parcial)","Vencido"),IF($D362=Hoje,"Vence hoje","A vencer")))))</f>
        <v>0</v>
      </c>
      <c r="J362" s="20">
        <f>IF(OR($E362="",$D362=""),"",IF(AND($L362&gt;0.005,$D362&lt;Hoje),Hoje-$D362,0))</f>
        <v>0</v>
      </c>
      <c r="K362" s="20">
        <f>IF($J362="","",IF($L362&lt;=0.005,"Pago",IF($J362&lt;=0,"A vencer",IF($J362&lt;=15,"1-15 dias",IF($J362&lt;=30,"16-30 dias",IF($J362&lt;=60,"31-60 dias","Mais de 60 dias"))))))</f>
        <v>0</v>
      </c>
      <c r="L362" s="21">
        <f>IF($E362="","",MAX(0,$E362-N($G362)))</f>
        <v>0</v>
      </c>
      <c r="M362" s="21">
        <f>IF(OR($L362="",$J362=""),"",IF($J362&gt;0,ROUND($L362*Multa+$L362*Juros/30*$J362,2),0))</f>
        <v>0</v>
      </c>
      <c r="N362" s="22">
        <f>IF($L362="","",IF($L362&lt;=0.005,0,$L362+N($M362)))</f>
        <v>0</v>
      </c>
      <c r="O362" s="23">
        <f>IF(OR($I362="Vencido",$I362="Vencido (parcial)"),"Olá, "&amp;$A362&amp;"! Consta em aberto '"&amp;$B362&amp;"' com vencimento em "&amp;DAY($D362)&amp;"/"&amp;MONTH($D362)&amp;"/"&amp;YEAR($D362)&amp;", no valor de R$ "&amp;FIXED($N362,2)&amp;" (com multa e juros). Podemos ajudar a regularizar hoje? Obrigado!",IF($I362="Vence hoje","Olá, "&amp;$A362&amp;"! Lembrete: '"&amp;$B362&amp;"' vence hoje, no valor de R$ "&amp;FIXED($L362,2)&amp;". Obrigado!",""))</f>
        <v>0</v>
      </c>
    </row>
    <row r="363" spans="1:15">
      <c r="A363" s="13"/>
      <c r="B363" s="13"/>
      <c r="C363" s="17"/>
      <c r="D363" s="17"/>
      <c r="E363" s="18"/>
      <c r="F363" s="17"/>
      <c r="G363" s="18"/>
      <c r="H363" s="13"/>
      <c r="I363" s="19">
        <f>IF($E363="","",IF($L363&lt;=0.005,"Pago",IF($D363="","Sem vencimento",IF($D363&lt;Hoje,IF(N($G363)&gt;0,"Vencido (parcial)","Vencido"),IF($D363=Hoje,"Vence hoje","A vencer")))))</f>
        <v>0</v>
      </c>
      <c r="J363" s="20">
        <f>IF(OR($E363="",$D363=""),"",IF(AND($L363&gt;0.005,$D363&lt;Hoje),Hoje-$D363,0))</f>
        <v>0</v>
      </c>
      <c r="K363" s="20">
        <f>IF($J363="","",IF($L363&lt;=0.005,"Pago",IF($J363&lt;=0,"A vencer",IF($J363&lt;=15,"1-15 dias",IF($J363&lt;=30,"16-30 dias",IF($J363&lt;=60,"31-60 dias","Mais de 60 dias"))))))</f>
        <v>0</v>
      </c>
      <c r="L363" s="21">
        <f>IF($E363="","",MAX(0,$E363-N($G363)))</f>
        <v>0</v>
      </c>
      <c r="M363" s="21">
        <f>IF(OR($L363="",$J363=""),"",IF($J363&gt;0,ROUND($L363*Multa+$L363*Juros/30*$J363,2),0))</f>
        <v>0</v>
      </c>
      <c r="N363" s="22">
        <f>IF($L363="","",IF($L363&lt;=0.005,0,$L363+N($M363)))</f>
        <v>0</v>
      </c>
      <c r="O363" s="23">
        <f>IF(OR($I363="Vencido",$I363="Vencido (parcial)"),"Olá, "&amp;$A363&amp;"! Consta em aberto '"&amp;$B363&amp;"' com vencimento em "&amp;DAY($D363)&amp;"/"&amp;MONTH($D363)&amp;"/"&amp;YEAR($D363)&amp;", no valor de R$ "&amp;FIXED($N363,2)&amp;" (com multa e juros). Podemos ajudar a regularizar hoje? Obrigado!",IF($I363="Vence hoje","Olá, "&amp;$A363&amp;"! Lembrete: '"&amp;$B363&amp;"' vence hoje, no valor de R$ "&amp;FIXED($L363,2)&amp;". Obrigado!",""))</f>
        <v>0</v>
      </c>
    </row>
    <row r="364" spans="1:15">
      <c r="A364" s="13"/>
      <c r="B364" s="13"/>
      <c r="C364" s="17"/>
      <c r="D364" s="17"/>
      <c r="E364" s="18"/>
      <c r="F364" s="17"/>
      <c r="G364" s="18"/>
      <c r="H364" s="13"/>
      <c r="I364" s="19">
        <f>IF($E364="","",IF($L364&lt;=0.005,"Pago",IF($D364="","Sem vencimento",IF($D364&lt;Hoje,IF(N($G364)&gt;0,"Vencido (parcial)","Vencido"),IF($D364=Hoje,"Vence hoje","A vencer")))))</f>
        <v>0</v>
      </c>
      <c r="J364" s="20">
        <f>IF(OR($E364="",$D364=""),"",IF(AND($L364&gt;0.005,$D364&lt;Hoje),Hoje-$D364,0))</f>
        <v>0</v>
      </c>
      <c r="K364" s="20">
        <f>IF($J364="","",IF($L364&lt;=0.005,"Pago",IF($J364&lt;=0,"A vencer",IF($J364&lt;=15,"1-15 dias",IF($J364&lt;=30,"16-30 dias",IF($J364&lt;=60,"31-60 dias","Mais de 60 dias"))))))</f>
        <v>0</v>
      </c>
      <c r="L364" s="21">
        <f>IF($E364="","",MAX(0,$E364-N($G364)))</f>
        <v>0</v>
      </c>
      <c r="M364" s="21">
        <f>IF(OR($L364="",$J364=""),"",IF($J364&gt;0,ROUND($L364*Multa+$L364*Juros/30*$J364,2),0))</f>
        <v>0</v>
      </c>
      <c r="N364" s="22">
        <f>IF($L364="","",IF($L364&lt;=0.005,0,$L364+N($M364)))</f>
        <v>0</v>
      </c>
      <c r="O364" s="23">
        <f>IF(OR($I364="Vencido",$I364="Vencido (parcial)"),"Olá, "&amp;$A364&amp;"! Consta em aberto '"&amp;$B364&amp;"' com vencimento em "&amp;DAY($D364)&amp;"/"&amp;MONTH($D364)&amp;"/"&amp;YEAR($D364)&amp;", no valor de R$ "&amp;FIXED($N364,2)&amp;" (com multa e juros). Podemos ajudar a regularizar hoje? Obrigado!",IF($I364="Vence hoje","Olá, "&amp;$A364&amp;"! Lembrete: '"&amp;$B364&amp;"' vence hoje, no valor de R$ "&amp;FIXED($L364,2)&amp;". Obrigado!",""))</f>
        <v>0</v>
      </c>
    </row>
    <row r="365" spans="1:15">
      <c r="A365" s="13"/>
      <c r="B365" s="13"/>
      <c r="C365" s="17"/>
      <c r="D365" s="17"/>
      <c r="E365" s="18"/>
      <c r="F365" s="17"/>
      <c r="G365" s="18"/>
      <c r="H365" s="13"/>
      <c r="I365" s="19">
        <f>IF($E365="","",IF($L365&lt;=0.005,"Pago",IF($D365="","Sem vencimento",IF($D365&lt;Hoje,IF(N($G365)&gt;0,"Vencido (parcial)","Vencido"),IF($D365=Hoje,"Vence hoje","A vencer")))))</f>
        <v>0</v>
      </c>
      <c r="J365" s="20">
        <f>IF(OR($E365="",$D365=""),"",IF(AND($L365&gt;0.005,$D365&lt;Hoje),Hoje-$D365,0))</f>
        <v>0</v>
      </c>
      <c r="K365" s="20">
        <f>IF($J365="","",IF($L365&lt;=0.005,"Pago",IF($J365&lt;=0,"A vencer",IF($J365&lt;=15,"1-15 dias",IF($J365&lt;=30,"16-30 dias",IF($J365&lt;=60,"31-60 dias","Mais de 60 dias"))))))</f>
        <v>0</v>
      </c>
      <c r="L365" s="21">
        <f>IF($E365="","",MAX(0,$E365-N($G365)))</f>
        <v>0</v>
      </c>
      <c r="M365" s="21">
        <f>IF(OR($L365="",$J365=""),"",IF($J365&gt;0,ROUND($L365*Multa+$L365*Juros/30*$J365,2),0))</f>
        <v>0</v>
      </c>
      <c r="N365" s="22">
        <f>IF($L365="","",IF($L365&lt;=0.005,0,$L365+N($M365)))</f>
        <v>0</v>
      </c>
      <c r="O365" s="23">
        <f>IF(OR($I365="Vencido",$I365="Vencido (parcial)"),"Olá, "&amp;$A365&amp;"! Consta em aberto '"&amp;$B365&amp;"' com vencimento em "&amp;DAY($D365)&amp;"/"&amp;MONTH($D365)&amp;"/"&amp;YEAR($D365)&amp;", no valor de R$ "&amp;FIXED($N365,2)&amp;" (com multa e juros). Podemos ajudar a regularizar hoje? Obrigado!",IF($I365="Vence hoje","Olá, "&amp;$A365&amp;"! Lembrete: '"&amp;$B365&amp;"' vence hoje, no valor de R$ "&amp;FIXED($L365,2)&amp;". Obrigado!",""))</f>
        <v>0</v>
      </c>
    </row>
    <row r="366" spans="1:15">
      <c r="A366" s="13"/>
      <c r="B366" s="13"/>
      <c r="C366" s="17"/>
      <c r="D366" s="17"/>
      <c r="E366" s="18"/>
      <c r="F366" s="17"/>
      <c r="G366" s="18"/>
      <c r="H366" s="13"/>
      <c r="I366" s="19">
        <f>IF($E366="","",IF($L366&lt;=0.005,"Pago",IF($D366="","Sem vencimento",IF($D366&lt;Hoje,IF(N($G366)&gt;0,"Vencido (parcial)","Vencido"),IF($D366=Hoje,"Vence hoje","A vencer")))))</f>
        <v>0</v>
      </c>
      <c r="J366" s="20">
        <f>IF(OR($E366="",$D366=""),"",IF(AND($L366&gt;0.005,$D366&lt;Hoje),Hoje-$D366,0))</f>
        <v>0</v>
      </c>
      <c r="K366" s="20">
        <f>IF($J366="","",IF($L366&lt;=0.005,"Pago",IF($J366&lt;=0,"A vencer",IF($J366&lt;=15,"1-15 dias",IF($J366&lt;=30,"16-30 dias",IF($J366&lt;=60,"31-60 dias","Mais de 60 dias"))))))</f>
        <v>0</v>
      </c>
      <c r="L366" s="21">
        <f>IF($E366="","",MAX(0,$E366-N($G366)))</f>
        <v>0</v>
      </c>
      <c r="M366" s="21">
        <f>IF(OR($L366="",$J366=""),"",IF($J366&gt;0,ROUND($L366*Multa+$L366*Juros/30*$J366,2),0))</f>
        <v>0</v>
      </c>
      <c r="N366" s="22">
        <f>IF($L366="","",IF($L366&lt;=0.005,0,$L366+N($M366)))</f>
        <v>0</v>
      </c>
      <c r="O366" s="23">
        <f>IF(OR($I366="Vencido",$I366="Vencido (parcial)"),"Olá, "&amp;$A366&amp;"! Consta em aberto '"&amp;$B366&amp;"' com vencimento em "&amp;DAY($D366)&amp;"/"&amp;MONTH($D366)&amp;"/"&amp;YEAR($D366)&amp;", no valor de R$ "&amp;FIXED($N366,2)&amp;" (com multa e juros). Podemos ajudar a regularizar hoje? Obrigado!",IF($I366="Vence hoje","Olá, "&amp;$A366&amp;"! Lembrete: '"&amp;$B366&amp;"' vence hoje, no valor de R$ "&amp;FIXED($L366,2)&amp;". Obrigado!",""))</f>
        <v>0</v>
      </c>
    </row>
    <row r="367" spans="1:15">
      <c r="A367" s="13"/>
      <c r="B367" s="13"/>
      <c r="C367" s="17"/>
      <c r="D367" s="17"/>
      <c r="E367" s="18"/>
      <c r="F367" s="17"/>
      <c r="G367" s="18"/>
      <c r="H367" s="13"/>
      <c r="I367" s="19">
        <f>IF($E367="","",IF($L367&lt;=0.005,"Pago",IF($D367="","Sem vencimento",IF($D367&lt;Hoje,IF(N($G367)&gt;0,"Vencido (parcial)","Vencido"),IF($D367=Hoje,"Vence hoje","A vencer")))))</f>
        <v>0</v>
      </c>
      <c r="J367" s="20">
        <f>IF(OR($E367="",$D367=""),"",IF(AND($L367&gt;0.005,$D367&lt;Hoje),Hoje-$D367,0))</f>
        <v>0</v>
      </c>
      <c r="K367" s="20">
        <f>IF($J367="","",IF($L367&lt;=0.005,"Pago",IF($J367&lt;=0,"A vencer",IF($J367&lt;=15,"1-15 dias",IF($J367&lt;=30,"16-30 dias",IF($J367&lt;=60,"31-60 dias","Mais de 60 dias"))))))</f>
        <v>0</v>
      </c>
      <c r="L367" s="21">
        <f>IF($E367="","",MAX(0,$E367-N($G367)))</f>
        <v>0</v>
      </c>
      <c r="M367" s="21">
        <f>IF(OR($L367="",$J367=""),"",IF($J367&gt;0,ROUND($L367*Multa+$L367*Juros/30*$J367,2),0))</f>
        <v>0</v>
      </c>
      <c r="N367" s="22">
        <f>IF($L367="","",IF($L367&lt;=0.005,0,$L367+N($M367)))</f>
        <v>0</v>
      </c>
      <c r="O367" s="23">
        <f>IF(OR($I367="Vencido",$I367="Vencido (parcial)"),"Olá, "&amp;$A367&amp;"! Consta em aberto '"&amp;$B367&amp;"' com vencimento em "&amp;DAY($D367)&amp;"/"&amp;MONTH($D367)&amp;"/"&amp;YEAR($D367)&amp;", no valor de R$ "&amp;FIXED($N367,2)&amp;" (com multa e juros). Podemos ajudar a regularizar hoje? Obrigado!",IF($I367="Vence hoje","Olá, "&amp;$A367&amp;"! Lembrete: '"&amp;$B367&amp;"' vence hoje, no valor de R$ "&amp;FIXED($L367,2)&amp;". Obrigado!",""))</f>
        <v>0</v>
      </c>
    </row>
    <row r="368" spans="1:15">
      <c r="A368" s="13"/>
      <c r="B368" s="13"/>
      <c r="C368" s="17"/>
      <c r="D368" s="17"/>
      <c r="E368" s="18"/>
      <c r="F368" s="17"/>
      <c r="G368" s="18"/>
      <c r="H368" s="13"/>
      <c r="I368" s="19">
        <f>IF($E368="","",IF($L368&lt;=0.005,"Pago",IF($D368="","Sem vencimento",IF($D368&lt;Hoje,IF(N($G368)&gt;0,"Vencido (parcial)","Vencido"),IF($D368=Hoje,"Vence hoje","A vencer")))))</f>
        <v>0</v>
      </c>
      <c r="J368" s="20">
        <f>IF(OR($E368="",$D368=""),"",IF(AND($L368&gt;0.005,$D368&lt;Hoje),Hoje-$D368,0))</f>
        <v>0</v>
      </c>
      <c r="K368" s="20">
        <f>IF($J368="","",IF($L368&lt;=0.005,"Pago",IF($J368&lt;=0,"A vencer",IF($J368&lt;=15,"1-15 dias",IF($J368&lt;=30,"16-30 dias",IF($J368&lt;=60,"31-60 dias","Mais de 60 dias"))))))</f>
        <v>0</v>
      </c>
      <c r="L368" s="21">
        <f>IF($E368="","",MAX(0,$E368-N($G368)))</f>
        <v>0</v>
      </c>
      <c r="M368" s="21">
        <f>IF(OR($L368="",$J368=""),"",IF($J368&gt;0,ROUND($L368*Multa+$L368*Juros/30*$J368,2),0))</f>
        <v>0</v>
      </c>
      <c r="N368" s="22">
        <f>IF($L368="","",IF($L368&lt;=0.005,0,$L368+N($M368)))</f>
        <v>0</v>
      </c>
      <c r="O368" s="23">
        <f>IF(OR($I368="Vencido",$I368="Vencido (parcial)"),"Olá, "&amp;$A368&amp;"! Consta em aberto '"&amp;$B368&amp;"' com vencimento em "&amp;DAY($D368)&amp;"/"&amp;MONTH($D368)&amp;"/"&amp;YEAR($D368)&amp;", no valor de R$ "&amp;FIXED($N368,2)&amp;" (com multa e juros). Podemos ajudar a regularizar hoje? Obrigado!",IF($I368="Vence hoje","Olá, "&amp;$A368&amp;"! Lembrete: '"&amp;$B368&amp;"' vence hoje, no valor de R$ "&amp;FIXED($L368,2)&amp;". Obrigado!",""))</f>
        <v>0</v>
      </c>
    </row>
    <row r="369" spans="1:15">
      <c r="A369" s="13"/>
      <c r="B369" s="13"/>
      <c r="C369" s="17"/>
      <c r="D369" s="17"/>
      <c r="E369" s="18"/>
      <c r="F369" s="17"/>
      <c r="G369" s="18"/>
      <c r="H369" s="13"/>
      <c r="I369" s="19">
        <f>IF($E369="","",IF($L369&lt;=0.005,"Pago",IF($D369="","Sem vencimento",IF($D369&lt;Hoje,IF(N($G369)&gt;0,"Vencido (parcial)","Vencido"),IF($D369=Hoje,"Vence hoje","A vencer")))))</f>
        <v>0</v>
      </c>
      <c r="J369" s="20">
        <f>IF(OR($E369="",$D369=""),"",IF(AND($L369&gt;0.005,$D369&lt;Hoje),Hoje-$D369,0))</f>
        <v>0</v>
      </c>
      <c r="K369" s="20">
        <f>IF($J369="","",IF($L369&lt;=0.005,"Pago",IF($J369&lt;=0,"A vencer",IF($J369&lt;=15,"1-15 dias",IF($J369&lt;=30,"16-30 dias",IF($J369&lt;=60,"31-60 dias","Mais de 60 dias"))))))</f>
        <v>0</v>
      </c>
      <c r="L369" s="21">
        <f>IF($E369="","",MAX(0,$E369-N($G369)))</f>
        <v>0</v>
      </c>
      <c r="M369" s="21">
        <f>IF(OR($L369="",$J369=""),"",IF($J369&gt;0,ROUND($L369*Multa+$L369*Juros/30*$J369,2),0))</f>
        <v>0</v>
      </c>
      <c r="N369" s="22">
        <f>IF($L369="","",IF($L369&lt;=0.005,0,$L369+N($M369)))</f>
        <v>0</v>
      </c>
      <c r="O369" s="23">
        <f>IF(OR($I369="Vencido",$I369="Vencido (parcial)"),"Olá, "&amp;$A369&amp;"! Consta em aberto '"&amp;$B369&amp;"' com vencimento em "&amp;DAY($D369)&amp;"/"&amp;MONTH($D369)&amp;"/"&amp;YEAR($D369)&amp;", no valor de R$ "&amp;FIXED($N369,2)&amp;" (com multa e juros). Podemos ajudar a regularizar hoje? Obrigado!",IF($I369="Vence hoje","Olá, "&amp;$A369&amp;"! Lembrete: '"&amp;$B369&amp;"' vence hoje, no valor de R$ "&amp;FIXED($L369,2)&amp;". Obrigado!",""))</f>
        <v>0</v>
      </c>
    </row>
    <row r="370" spans="1:15">
      <c r="A370" s="13"/>
      <c r="B370" s="13"/>
      <c r="C370" s="17"/>
      <c r="D370" s="17"/>
      <c r="E370" s="18"/>
      <c r="F370" s="17"/>
      <c r="G370" s="18"/>
      <c r="H370" s="13"/>
      <c r="I370" s="19">
        <f>IF($E370="","",IF($L370&lt;=0.005,"Pago",IF($D370="","Sem vencimento",IF($D370&lt;Hoje,IF(N($G370)&gt;0,"Vencido (parcial)","Vencido"),IF($D370=Hoje,"Vence hoje","A vencer")))))</f>
        <v>0</v>
      </c>
      <c r="J370" s="20">
        <f>IF(OR($E370="",$D370=""),"",IF(AND($L370&gt;0.005,$D370&lt;Hoje),Hoje-$D370,0))</f>
        <v>0</v>
      </c>
      <c r="K370" s="20">
        <f>IF($J370="","",IF($L370&lt;=0.005,"Pago",IF($J370&lt;=0,"A vencer",IF($J370&lt;=15,"1-15 dias",IF($J370&lt;=30,"16-30 dias",IF($J370&lt;=60,"31-60 dias","Mais de 60 dias"))))))</f>
        <v>0</v>
      </c>
      <c r="L370" s="21">
        <f>IF($E370="","",MAX(0,$E370-N($G370)))</f>
        <v>0</v>
      </c>
      <c r="M370" s="21">
        <f>IF(OR($L370="",$J370=""),"",IF($J370&gt;0,ROUND($L370*Multa+$L370*Juros/30*$J370,2),0))</f>
        <v>0</v>
      </c>
      <c r="N370" s="22">
        <f>IF($L370="","",IF($L370&lt;=0.005,0,$L370+N($M370)))</f>
        <v>0</v>
      </c>
      <c r="O370" s="23">
        <f>IF(OR($I370="Vencido",$I370="Vencido (parcial)"),"Olá, "&amp;$A370&amp;"! Consta em aberto '"&amp;$B370&amp;"' com vencimento em "&amp;DAY($D370)&amp;"/"&amp;MONTH($D370)&amp;"/"&amp;YEAR($D370)&amp;", no valor de R$ "&amp;FIXED($N370,2)&amp;" (com multa e juros). Podemos ajudar a regularizar hoje? Obrigado!",IF($I370="Vence hoje","Olá, "&amp;$A370&amp;"! Lembrete: '"&amp;$B370&amp;"' vence hoje, no valor de R$ "&amp;FIXED($L370,2)&amp;". Obrigado!",""))</f>
        <v>0</v>
      </c>
    </row>
    <row r="371" spans="1:15">
      <c r="A371" s="13"/>
      <c r="B371" s="13"/>
      <c r="C371" s="17"/>
      <c r="D371" s="17"/>
      <c r="E371" s="18"/>
      <c r="F371" s="17"/>
      <c r="G371" s="18"/>
      <c r="H371" s="13"/>
      <c r="I371" s="19">
        <f>IF($E371="","",IF($L371&lt;=0.005,"Pago",IF($D371="","Sem vencimento",IF($D371&lt;Hoje,IF(N($G371)&gt;0,"Vencido (parcial)","Vencido"),IF($D371=Hoje,"Vence hoje","A vencer")))))</f>
        <v>0</v>
      </c>
      <c r="J371" s="20">
        <f>IF(OR($E371="",$D371=""),"",IF(AND($L371&gt;0.005,$D371&lt;Hoje),Hoje-$D371,0))</f>
        <v>0</v>
      </c>
      <c r="K371" s="20">
        <f>IF($J371="","",IF($L371&lt;=0.005,"Pago",IF($J371&lt;=0,"A vencer",IF($J371&lt;=15,"1-15 dias",IF($J371&lt;=30,"16-30 dias",IF($J371&lt;=60,"31-60 dias","Mais de 60 dias"))))))</f>
        <v>0</v>
      </c>
      <c r="L371" s="21">
        <f>IF($E371="","",MAX(0,$E371-N($G371)))</f>
        <v>0</v>
      </c>
      <c r="M371" s="21">
        <f>IF(OR($L371="",$J371=""),"",IF($J371&gt;0,ROUND($L371*Multa+$L371*Juros/30*$J371,2),0))</f>
        <v>0</v>
      </c>
      <c r="N371" s="22">
        <f>IF($L371="","",IF($L371&lt;=0.005,0,$L371+N($M371)))</f>
        <v>0</v>
      </c>
      <c r="O371" s="23">
        <f>IF(OR($I371="Vencido",$I371="Vencido (parcial)"),"Olá, "&amp;$A371&amp;"! Consta em aberto '"&amp;$B371&amp;"' com vencimento em "&amp;DAY($D371)&amp;"/"&amp;MONTH($D371)&amp;"/"&amp;YEAR($D371)&amp;", no valor de R$ "&amp;FIXED($N371,2)&amp;" (com multa e juros). Podemos ajudar a regularizar hoje? Obrigado!",IF($I371="Vence hoje","Olá, "&amp;$A371&amp;"! Lembrete: '"&amp;$B371&amp;"' vence hoje, no valor de R$ "&amp;FIXED($L371,2)&amp;". Obrigado!",""))</f>
        <v>0</v>
      </c>
    </row>
    <row r="372" spans="1:15">
      <c r="A372" s="13"/>
      <c r="B372" s="13"/>
      <c r="C372" s="17"/>
      <c r="D372" s="17"/>
      <c r="E372" s="18"/>
      <c r="F372" s="17"/>
      <c r="G372" s="18"/>
      <c r="H372" s="13"/>
      <c r="I372" s="19">
        <f>IF($E372="","",IF($L372&lt;=0.005,"Pago",IF($D372="","Sem vencimento",IF($D372&lt;Hoje,IF(N($G372)&gt;0,"Vencido (parcial)","Vencido"),IF($D372=Hoje,"Vence hoje","A vencer")))))</f>
        <v>0</v>
      </c>
      <c r="J372" s="20">
        <f>IF(OR($E372="",$D372=""),"",IF(AND($L372&gt;0.005,$D372&lt;Hoje),Hoje-$D372,0))</f>
        <v>0</v>
      </c>
      <c r="K372" s="20">
        <f>IF($J372="","",IF($L372&lt;=0.005,"Pago",IF($J372&lt;=0,"A vencer",IF($J372&lt;=15,"1-15 dias",IF($J372&lt;=30,"16-30 dias",IF($J372&lt;=60,"31-60 dias","Mais de 60 dias"))))))</f>
        <v>0</v>
      </c>
      <c r="L372" s="21">
        <f>IF($E372="","",MAX(0,$E372-N($G372)))</f>
        <v>0</v>
      </c>
      <c r="M372" s="21">
        <f>IF(OR($L372="",$J372=""),"",IF($J372&gt;0,ROUND($L372*Multa+$L372*Juros/30*$J372,2),0))</f>
        <v>0</v>
      </c>
      <c r="N372" s="22">
        <f>IF($L372="","",IF($L372&lt;=0.005,0,$L372+N($M372)))</f>
        <v>0</v>
      </c>
      <c r="O372" s="23">
        <f>IF(OR($I372="Vencido",$I372="Vencido (parcial)"),"Olá, "&amp;$A372&amp;"! Consta em aberto '"&amp;$B372&amp;"' com vencimento em "&amp;DAY($D372)&amp;"/"&amp;MONTH($D372)&amp;"/"&amp;YEAR($D372)&amp;", no valor de R$ "&amp;FIXED($N372,2)&amp;" (com multa e juros). Podemos ajudar a regularizar hoje? Obrigado!",IF($I372="Vence hoje","Olá, "&amp;$A372&amp;"! Lembrete: '"&amp;$B372&amp;"' vence hoje, no valor de R$ "&amp;FIXED($L372,2)&amp;". Obrigado!",""))</f>
        <v>0</v>
      </c>
    </row>
    <row r="373" spans="1:15">
      <c r="A373" s="13"/>
      <c r="B373" s="13"/>
      <c r="C373" s="17"/>
      <c r="D373" s="17"/>
      <c r="E373" s="18"/>
      <c r="F373" s="17"/>
      <c r="G373" s="18"/>
      <c r="H373" s="13"/>
      <c r="I373" s="19">
        <f>IF($E373="","",IF($L373&lt;=0.005,"Pago",IF($D373="","Sem vencimento",IF($D373&lt;Hoje,IF(N($G373)&gt;0,"Vencido (parcial)","Vencido"),IF($D373=Hoje,"Vence hoje","A vencer")))))</f>
        <v>0</v>
      </c>
      <c r="J373" s="20">
        <f>IF(OR($E373="",$D373=""),"",IF(AND($L373&gt;0.005,$D373&lt;Hoje),Hoje-$D373,0))</f>
        <v>0</v>
      </c>
      <c r="K373" s="20">
        <f>IF($J373="","",IF($L373&lt;=0.005,"Pago",IF($J373&lt;=0,"A vencer",IF($J373&lt;=15,"1-15 dias",IF($J373&lt;=30,"16-30 dias",IF($J373&lt;=60,"31-60 dias","Mais de 60 dias"))))))</f>
        <v>0</v>
      </c>
      <c r="L373" s="21">
        <f>IF($E373="","",MAX(0,$E373-N($G373)))</f>
        <v>0</v>
      </c>
      <c r="M373" s="21">
        <f>IF(OR($L373="",$J373=""),"",IF($J373&gt;0,ROUND($L373*Multa+$L373*Juros/30*$J373,2),0))</f>
        <v>0</v>
      </c>
      <c r="N373" s="22">
        <f>IF($L373="","",IF($L373&lt;=0.005,0,$L373+N($M373)))</f>
        <v>0</v>
      </c>
      <c r="O373" s="23">
        <f>IF(OR($I373="Vencido",$I373="Vencido (parcial)"),"Olá, "&amp;$A373&amp;"! Consta em aberto '"&amp;$B373&amp;"' com vencimento em "&amp;DAY($D373)&amp;"/"&amp;MONTH($D373)&amp;"/"&amp;YEAR($D373)&amp;", no valor de R$ "&amp;FIXED($N373,2)&amp;" (com multa e juros). Podemos ajudar a regularizar hoje? Obrigado!",IF($I373="Vence hoje","Olá, "&amp;$A373&amp;"! Lembrete: '"&amp;$B373&amp;"' vence hoje, no valor de R$ "&amp;FIXED($L373,2)&amp;". Obrigado!",""))</f>
        <v>0</v>
      </c>
    </row>
    <row r="374" spans="1:15">
      <c r="A374" s="13"/>
      <c r="B374" s="13"/>
      <c r="C374" s="17"/>
      <c r="D374" s="17"/>
      <c r="E374" s="18"/>
      <c r="F374" s="17"/>
      <c r="G374" s="18"/>
      <c r="H374" s="13"/>
      <c r="I374" s="19">
        <f>IF($E374="","",IF($L374&lt;=0.005,"Pago",IF($D374="","Sem vencimento",IF($D374&lt;Hoje,IF(N($G374)&gt;0,"Vencido (parcial)","Vencido"),IF($D374=Hoje,"Vence hoje","A vencer")))))</f>
        <v>0</v>
      </c>
      <c r="J374" s="20">
        <f>IF(OR($E374="",$D374=""),"",IF(AND($L374&gt;0.005,$D374&lt;Hoje),Hoje-$D374,0))</f>
        <v>0</v>
      </c>
      <c r="K374" s="20">
        <f>IF($J374="","",IF($L374&lt;=0.005,"Pago",IF($J374&lt;=0,"A vencer",IF($J374&lt;=15,"1-15 dias",IF($J374&lt;=30,"16-30 dias",IF($J374&lt;=60,"31-60 dias","Mais de 60 dias"))))))</f>
        <v>0</v>
      </c>
      <c r="L374" s="21">
        <f>IF($E374="","",MAX(0,$E374-N($G374)))</f>
        <v>0</v>
      </c>
      <c r="M374" s="21">
        <f>IF(OR($L374="",$J374=""),"",IF($J374&gt;0,ROUND($L374*Multa+$L374*Juros/30*$J374,2),0))</f>
        <v>0</v>
      </c>
      <c r="N374" s="22">
        <f>IF($L374="","",IF($L374&lt;=0.005,0,$L374+N($M374)))</f>
        <v>0</v>
      </c>
      <c r="O374" s="23">
        <f>IF(OR($I374="Vencido",$I374="Vencido (parcial)"),"Olá, "&amp;$A374&amp;"! Consta em aberto '"&amp;$B374&amp;"' com vencimento em "&amp;DAY($D374)&amp;"/"&amp;MONTH($D374)&amp;"/"&amp;YEAR($D374)&amp;", no valor de R$ "&amp;FIXED($N374,2)&amp;" (com multa e juros). Podemos ajudar a regularizar hoje? Obrigado!",IF($I374="Vence hoje","Olá, "&amp;$A374&amp;"! Lembrete: '"&amp;$B374&amp;"' vence hoje, no valor de R$ "&amp;FIXED($L374,2)&amp;". Obrigado!",""))</f>
        <v>0</v>
      </c>
    </row>
    <row r="375" spans="1:15">
      <c r="A375" s="13"/>
      <c r="B375" s="13"/>
      <c r="C375" s="17"/>
      <c r="D375" s="17"/>
      <c r="E375" s="18"/>
      <c r="F375" s="17"/>
      <c r="G375" s="18"/>
      <c r="H375" s="13"/>
      <c r="I375" s="19">
        <f>IF($E375="","",IF($L375&lt;=0.005,"Pago",IF($D375="","Sem vencimento",IF($D375&lt;Hoje,IF(N($G375)&gt;0,"Vencido (parcial)","Vencido"),IF($D375=Hoje,"Vence hoje","A vencer")))))</f>
        <v>0</v>
      </c>
      <c r="J375" s="20">
        <f>IF(OR($E375="",$D375=""),"",IF(AND($L375&gt;0.005,$D375&lt;Hoje),Hoje-$D375,0))</f>
        <v>0</v>
      </c>
      <c r="K375" s="20">
        <f>IF($J375="","",IF($L375&lt;=0.005,"Pago",IF($J375&lt;=0,"A vencer",IF($J375&lt;=15,"1-15 dias",IF($J375&lt;=30,"16-30 dias",IF($J375&lt;=60,"31-60 dias","Mais de 60 dias"))))))</f>
        <v>0</v>
      </c>
      <c r="L375" s="21">
        <f>IF($E375="","",MAX(0,$E375-N($G375)))</f>
        <v>0</v>
      </c>
      <c r="M375" s="21">
        <f>IF(OR($L375="",$J375=""),"",IF($J375&gt;0,ROUND($L375*Multa+$L375*Juros/30*$J375,2),0))</f>
        <v>0</v>
      </c>
      <c r="N375" s="22">
        <f>IF($L375="","",IF($L375&lt;=0.005,0,$L375+N($M375)))</f>
        <v>0</v>
      </c>
      <c r="O375" s="23">
        <f>IF(OR($I375="Vencido",$I375="Vencido (parcial)"),"Olá, "&amp;$A375&amp;"! Consta em aberto '"&amp;$B375&amp;"' com vencimento em "&amp;DAY($D375)&amp;"/"&amp;MONTH($D375)&amp;"/"&amp;YEAR($D375)&amp;", no valor de R$ "&amp;FIXED($N375,2)&amp;" (com multa e juros). Podemos ajudar a regularizar hoje? Obrigado!",IF($I375="Vence hoje","Olá, "&amp;$A375&amp;"! Lembrete: '"&amp;$B375&amp;"' vence hoje, no valor de R$ "&amp;FIXED($L375,2)&amp;". Obrigado!",""))</f>
        <v>0</v>
      </c>
    </row>
    <row r="376" spans="1:15">
      <c r="A376" s="13"/>
      <c r="B376" s="13"/>
      <c r="C376" s="17"/>
      <c r="D376" s="17"/>
      <c r="E376" s="18"/>
      <c r="F376" s="17"/>
      <c r="G376" s="18"/>
      <c r="H376" s="13"/>
      <c r="I376" s="19">
        <f>IF($E376="","",IF($L376&lt;=0.005,"Pago",IF($D376="","Sem vencimento",IF($D376&lt;Hoje,IF(N($G376)&gt;0,"Vencido (parcial)","Vencido"),IF($D376=Hoje,"Vence hoje","A vencer")))))</f>
        <v>0</v>
      </c>
      <c r="J376" s="20">
        <f>IF(OR($E376="",$D376=""),"",IF(AND($L376&gt;0.005,$D376&lt;Hoje),Hoje-$D376,0))</f>
        <v>0</v>
      </c>
      <c r="K376" s="20">
        <f>IF($J376="","",IF($L376&lt;=0.005,"Pago",IF($J376&lt;=0,"A vencer",IF($J376&lt;=15,"1-15 dias",IF($J376&lt;=30,"16-30 dias",IF($J376&lt;=60,"31-60 dias","Mais de 60 dias"))))))</f>
        <v>0</v>
      </c>
      <c r="L376" s="21">
        <f>IF($E376="","",MAX(0,$E376-N($G376)))</f>
        <v>0</v>
      </c>
      <c r="M376" s="21">
        <f>IF(OR($L376="",$J376=""),"",IF($J376&gt;0,ROUND($L376*Multa+$L376*Juros/30*$J376,2),0))</f>
        <v>0</v>
      </c>
      <c r="N376" s="22">
        <f>IF($L376="","",IF($L376&lt;=0.005,0,$L376+N($M376)))</f>
        <v>0</v>
      </c>
      <c r="O376" s="23">
        <f>IF(OR($I376="Vencido",$I376="Vencido (parcial)"),"Olá, "&amp;$A376&amp;"! Consta em aberto '"&amp;$B376&amp;"' com vencimento em "&amp;DAY($D376)&amp;"/"&amp;MONTH($D376)&amp;"/"&amp;YEAR($D376)&amp;", no valor de R$ "&amp;FIXED($N376,2)&amp;" (com multa e juros). Podemos ajudar a regularizar hoje? Obrigado!",IF($I376="Vence hoje","Olá, "&amp;$A376&amp;"! Lembrete: '"&amp;$B376&amp;"' vence hoje, no valor de R$ "&amp;FIXED($L376,2)&amp;". Obrigado!",""))</f>
        <v>0</v>
      </c>
    </row>
    <row r="377" spans="1:15">
      <c r="A377" s="13"/>
      <c r="B377" s="13"/>
      <c r="C377" s="17"/>
      <c r="D377" s="17"/>
      <c r="E377" s="18"/>
      <c r="F377" s="17"/>
      <c r="G377" s="18"/>
      <c r="H377" s="13"/>
      <c r="I377" s="19">
        <f>IF($E377="","",IF($L377&lt;=0.005,"Pago",IF($D377="","Sem vencimento",IF($D377&lt;Hoje,IF(N($G377)&gt;0,"Vencido (parcial)","Vencido"),IF($D377=Hoje,"Vence hoje","A vencer")))))</f>
        <v>0</v>
      </c>
      <c r="J377" s="20">
        <f>IF(OR($E377="",$D377=""),"",IF(AND($L377&gt;0.005,$D377&lt;Hoje),Hoje-$D377,0))</f>
        <v>0</v>
      </c>
      <c r="K377" s="20">
        <f>IF($J377="","",IF($L377&lt;=0.005,"Pago",IF($J377&lt;=0,"A vencer",IF($J377&lt;=15,"1-15 dias",IF($J377&lt;=30,"16-30 dias",IF($J377&lt;=60,"31-60 dias","Mais de 60 dias"))))))</f>
        <v>0</v>
      </c>
      <c r="L377" s="21">
        <f>IF($E377="","",MAX(0,$E377-N($G377)))</f>
        <v>0</v>
      </c>
      <c r="M377" s="21">
        <f>IF(OR($L377="",$J377=""),"",IF($J377&gt;0,ROUND($L377*Multa+$L377*Juros/30*$J377,2),0))</f>
        <v>0</v>
      </c>
      <c r="N377" s="22">
        <f>IF($L377="","",IF($L377&lt;=0.005,0,$L377+N($M377)))</f>
        <v>0</v>
      </c>
      <c r="O377" s="23">
        <f>IF(OR($I377="Vencido",$I377="Vencido (parcial)"),"Olá, "&amp;$A377&amp;"! Consta em aberto '"&amp;$B377&amp;"' com vencimento em "&amp;DAY($D377)&amp;"/"&amp;MONTH($D377)&amp;"/"&amp;YEAR($D377)&amp;", no valor de R$ "&amp;FIXED($N377,2)&amp;" (com multa e juros). Podemos ajudar a regularizar hoje? Obrigado!",IF($I377="Vence hoje","Olá, "&amp;$A377&amp;"! Lembrete: '"&amp;$B377&amp;"' vence hoje, no valor de R$ "&amp;FIXED($L377,2)&amp;". Obrigado!",""))</f>
        <v>0</v>
      </c>
    </row>
    <row r="378" spans="1:15">
      <c r="A378" s="13"/>
      <c r="B378" s="13"/>
      <c r="C378" s="17"/>
      <c r="D378" s="17"/>
      <c r="E378" s="18"/>
      <c r="F378" s="17"/>
      <c r="G378" s="18"/>
      <c r="H378" s="13"/>
      <c r="I378" s="19">
        <f>IF($E378="","",IF($L378&lt;=0.005,"Pago",IF($D378="","Sem vencimento",IF($D378&lt;Hoje,IF(N($G378)&gt;0,"Vencido (parcial)","Vencido"),IF($D378=Hoje,"Vence hoje","A vencer")))))</f>
        <v>0</v>
      </c>
      <c r="J378" s="20">
        <f>IF(OR($E378="",$D378=""),"",IF(AND($L378&gt;0.005,$D378&lt;Hoje),Hoje-$D378,0))</f>
        <v>0</v>
      </c>
      <c r="K378" s="20">
        <f>IF($J378="","",IF($L378&lt;=0.005,"Pago",IF($J378&lt;=0,"A vencer",IF($J378&lt;=15,"1-15 dias",IF($J378&lt;=30,"16-30 dias",IF($J378&lt;=60,"31-60 dias","Mais de 60 dias"))))))</f>
        <v>0</v>
      </c>
      <c r="L378" s="21">
        <f>IF($E378="","",MAX(0,$E378-N($G378)))</f>
        <v>0</v>
      </c>
      <c r="M378" s="21">
        <f>IF(OR($L378="",$J378=""),"",IF($J378&gt;0,ROUND($L378*Multa+$L378*Juros/30*$J378,2),0))</f>
        <v>0</v>
      </c>
      <c r="N378" s="22">
        <f>IF($L378="","",IF($L378&lt;=0.005,0,$L378+N($M378)))</f>
        <v>0</v>
      </c>
      <c r="O378" s="23">
        <f>IF(OR($I378="Vencido",$I378="Vencido (parcial)"),"Olá, "&amp;$A378&amp;"! Consta em aberto '"&amp;$B378&amp;"' com vencimento em "&amp;DAY($D378)&amp;"/"&amp;MONTH($D378)&amp;"/"&amp;YEAR($D378)&amp;", no valor de R$ "&amp;FIXED($N378,2)&amp;" (com multa e juros). Podemos ajudar a regularizar hoje? Obrigado!",IF($I378="Vence hoje","Olá, "&amp;$A378&amp;"! Lembrete: '"&amp;$B378&amp;"' vence hoje, no valor de R$ "&amp;FIXED($L378,2)&amp;". Obrigado!",""))</f>
        <v>0</v>
      </c>
    </row>
    <row r="379" spans="1:15">
      <c r="A379" s="13"/>
      <c r="B379" s="13"/>
      <c r="C379" s="17"/>
      <c r="D379" s="17"/>
      <c r="E379" s="18"/>
      <c r="F379" s="17"/>
      <c r="G379" s="18"/>
      <c r="H379" s="13"/>
      <c r="I379" s="19">
        <f>IF($E379="","",IF($L379&lt;=0.005,"Pago",IF($D379="","Sem vencimento",IF($D379&lt;Hoje,IF(N($G379)&gt;0,"Vencido (parcial)","Vencido"),IF($D379=Hoje,"Vence hoje","A vencer")))))</f>
        <v>0</v>
      </c>
      <c r="J379" s="20">
        <f>IF(OR($E379="",$D379=""),"",IF(AND($L379&gt;0.005,$D379&lt;Hoje),Hoje-$D379,0))</f>
        <v>0</v>
      </c>
      <c r="K379" s="20">
        <f>IF($J379="","",IF($L379&lt;=0.005,"Pago",IF($J379&lt;=0,"A vencer",IF($J379&lt;=15,"1-15 dias",IF($J379&lt;=30,"16-30 dias",IF($J379&lt;=60,"31-60 dias","Mais de 60 dias"))))))</f>
        <v>0</v>
      </c>
      <c r="L379" s="21">
        <f>IF($E379="","",MAX(0,$E379-N($G379)))</f>
        <v>0</v>
      </c>
      <c r="M379" s="21">
        <f>IF(OR($L379="",$J379=""),"",IF($J379&gt;0,ROUND($L379*Multa+$L379*Juros/30*$J379,2),0))</f>
        <v>0</v>
      </c>
      <c r="N379" s="22">
        <f>IF($L379="","",IF($L379&lt;=0.005,0,$L379+N($M379)))</f>
        <v>0</v>
      </c>
      <c r="O379" s="23">
        <f>IF(OR($I379="Vencido",$I379="Vencido (parcial)"),"Olá, "&amp;$A379&amp;"! Consta em aberto '"&amp;$B379&amp;"' com vencimento em "&amp;DAY($D379)&amp;"/"&amp;MONTH($D379)&amp;"/"&amp;YEAR($D379)&amp;", no valor de R$ "&amp;FIXED($N379,2)&amp;" (com multa e juros). Podemos ajudar a regularizar hoje? Obrigado!",IF($I379="Vence hoje","Olá, "&amp;$A379&amp;"! Lembrete: '"&amp;$B379&amp;"' vence hoje, no valor de R$ "&amp;FIXED($L379,2)&amp;". Obrigado!",""))</f>
        <v>0</v>
      </c>
    </row>
    <row r="380" spans="1:15">
      <c r="A380" s="13"/>
      <c r="B380" s="13"/>
      <c r="C380" s="17"/>
      <c r="D380" s="17"/>
      <c r="E380" s="18"/>
      <c r="F380" s="17"/>
      <c r="G380" s="18"/>
      <c r="H380" s="13"/>
      <c r="I380" s="19">
        <f>IF($E380="","",IF($L380&lt;=0.005,"Pago",IF($D380="","Sem vencimento",IF($D380&lt;Hoje,IF(N($G380)&gt;0,"Vencido (parcial)","Vencido"),IF($D380=Hoje,"Vence hoje","A vencer")))))</f>
        <v>0</v>
      </c>
      <c r="J380" s="20">
        <f>IF(OR($E380="",$D380=""),"",IF(AND($L380&gt;0.005,$D380&lt;Hoje),Hoje-$D380,0))</f>
        <v>0</v>
      </c>
      <c r="K380" s="20">
        <f>IF($J380="","",IF($L380&lt;=0.005,"Pago",IF($J380&lt;=0,"A vencer",IF($J380&lt;=15,"1-15 dias",IF($J380&lt;=30,"16-30 dias",IF($J380&lt;=60,"31-60 dias","Mais de 60 dias"))))))</f>
        <v>0</v>
      </c>
      <c r="L380" s="21">
        <f>IF($E380="","",MAX(0,$E380-N($G380)))</f>
        <v>0</v>
      </c>
      <c r="M380" s="21">
        <f>IF(OR($L380="",$J380=""),"",IF($J380&gt;0,ROUND($L380*Multa+$L380*Juros/30*$J380,2),0))</f>
        <v>0</v>
      </c>
      <c r="N380" s="22">
        <f>IF($L380="","",IF($L380&lt;=0.005,0,$L380+N($M380)))</f>
        <v>0</v>
      </c>
      <c r="O380" s="23">
        <f>IF(OR($I380="Vencido",$I380="Vencido (parcial)"),"Olá, "&amp;$A380&amp;"! Consta em aberto '"&amp;$B380&amp;"' com vencimento em "&amp;DAY($D380)&amp;"/"&amp;MONTH($D380)&amp;"/"&amp;YEAR($D380)&amp;", no valor de R$ "&amp;FIXED($N380,2)&amp;" (com multa e juros). Podemos ajudar a regularizar hoje? Obrigado!",IF($I380="Vence hoje","Olá, "&amp;$A380&amp;"! Lembrete: '"&amp;$B380&amp;"' vence hoje, no valor de R$ "&amp;FIXED($L380,2)&amp;". Obrigado!",""))</f>
        <v>0</v>
      </c>
    </row>
    <row r="381" spans="1:15">
      <c r="A381" s="13"/>
      <c r="B381" s="13"/>
      <c r="C381" s="17"/>
      <c r="D381" s="17"/>
      <c r="E381" s="18"/>
      <c r="F381" s="17"/>
      <c r="G381" s="18"/>
      <c r="H381" s="13"/>
      <c r="I381" s="19">
        <f>IF($E381="","",IF($L381&lt;=0.005,"Pago",IF($D381="","Sem vencimento",IF($D381&lt;Hoje,IF(N($G381)&gt;0,"Vencido (parcial)","Vencido"),IF($D381=Hoje,"Vence hoje","A vencer")))))</f>
        <v>0</v>
      </c>
      <c r="J381" s="20">
        <f>IF(OR($E381="",$D381=""),"",IF(AND($L381&gt;0.005,$D381&lt;Hoje),Hoje-$D381,0))</f>
        <v>0</v>
      </c>
      <c r="K381" s="20">
        <f>IF($J381="","",IF($L381&lt;=0.005,"Pago",IF($J381&lt;=0,"A vencer",IF($J381&lt;=15,"1-15 dias",IF($J381&lt;=30,"16-30 dias",IF($J381&lt;=60,"31-60 dias","Mais de 60 dias"))))))</f>
        <v>0</v>
      </c>
      <c r="L381" s="21">
        <f>IF($E381="","",MAX(0,$E381-N($G381)))</f>
        <v>0</v>
      </c>
      <c r="M381" s="21">
        <f>IF(OR($L381="",$J381=""),"",IF($J381&gt;0,ROUND($L381*Multa+$L381*Juros/30*$J381,2),0))</f>
        <v>0</v>
      </c>
      <c r="N381" s="22">
        <f>IF($L381="","",IF($L381&lt;=0.005,0,$L381+N($M381)))</f>
        <v>0</v>
      </c>
      <c r="O381" s="23">
        <f>IF(OR($I381="Vencido",$I381="Vencido (parcial)"),"Olá, "&amp;$A381&amp;"! Consta em aberto '"&amp;$B381&amp;"' com vencimento em "&amp;DAY($D381)&amp;"/"&amp;MONTH($D381)&amp;"/"&amp;YEAR($D381)&amp;", no valor de R$ "&amp;FIXED($N381,2)&amp;" (com multa e juros). Podemos ajudar a regularizar hoje? Obrigado!",IF($I381="Vence hoje","Olá, "&amp;$A381&amp;"! Lembrete: '"&amp;$B381&amp;"' vence hoje, no valor de R$ "&amp;FIXED($L381,2)&amp;". Obrigado!",""))</f>
        <v>0</v>
      </c>
    </row>
    <row r="382" spans="1:15">
      <c r="A382" s="13"/>
      <c r="B382" s="13"/>
      <c r="C382" s="17"/>
      <c r="D382" s="17"/>
      <c r="E382" s="18"/>
      <c r="F382" s="17"/>
      <c r="G382" s="18"/>
      <c r="H382" s="13"/>
      <c r="I382" s="19">
        <f>IF($E382="","",IF($L382&lt;=0.005,"Pago",IF($D382="","Sem vencimento",IF($D382&lt;Hoje,IF(N($G382)&gt;0,"Vencido (parcial)","Vencido"),IF($D382=Hoje,"Vence hoje","A vencer")))))</f>
        <v>0</v>
      </c>
      <c r="J382" s="20">
        <f>IF(OR($E382="",$D382=""),"",IF(AND($L382&gt;0.005,$D382&lt;Hoje),Hoje-$D382,0))</f>
        <v>0</v>
      </c>
      <c r="K382" s="20">
        <f>IF($J382="","",IF($L382&lt;=0.005,"Pago",IF($J382&lt;=0,"A vencer",IF($J382&lt;=15,"1-15 dias",IF($J382&lt;=30,"16-30 dias",IF($J382&lt;=60,"31-60 dias","Mais de 60 dias"))))))</f>
        <v>0</v>
      </c>
      <c r="L382" s="21">
        <f>IF($E382="","",MAX(0,$E382-N($G382)))</f>
        <v>0</v>
      </c>
      <c r="M382" s="21">
        <f>IF(OR($L382="",$J382=""),"",IF($J382&gt;0,ROUND($L382*Multa+$L382*Juros/30*$J382,2),0))</f>
        <v>0</v>
      </c>
      <c r="N382" s="22">
        <f>IF($L382="","",IF($L382&lt;=0.005,0,$L382+N($M382)))</f>
        <v>0</v>
      </c>
      <c r="O382" s="23">
        <f>IF(OR($I382="Vencido",$I382="Vencido (parcial)"),"Olá, "&amp;$A382&amp;"! Consta em aberto '"&amp;$B382&amp;"' com vencimento em "&amp;DAY($D382)&amp;"/"&amp;MONTH($D382)&amp;"/"&amp;YEAR($D382)&amp;", no valor de R$ "&amp;FIXED($N382,2)&amp;" (com multa e juros). Podemos ajudar a regularizar hoje? Obrigado!",IF($I382="Vence hoje","Olá, "&amp;$A382&amp;"! Lembrete: '"&amp;$B382&amp;"' vence hoje, no valor de R$ "&amp;FIXED($L382,2)&amp;". Obrigado!",""))</f>
        <v>0</v>
      </c>
    </row>
    <row r="383" spans="1:15">
      <c r="A383" s="13"/>
      <c r="B383" s="13"/>
      <c r="C383" s="17"/>
      <c r="D383" s="17"/>
      <c r="E383" s="18"/>
      <c r="F383" s="17"/>
      <c r="G383" s="18"/>
      <c r="H383" s="13"/>
      <c r="I383" s="19">
        <f>IF($E383="","",IF($L383&lt;=0.005,"Pago",IF($D383="","Sem vencimento",IF($D383&lt;Hoje,IF(N($G383)&gt;0,"Vencido (parcial)","Vencido"),IF($D383=Hoje,"Vence hoje","A vencer")))))</f>
        <v>0</v>
      </c>
      <c r="J383" s="20">
        <f>IF(OR($E383="",$D383=""),"",IF(AND($L383&gt;0.005,$D383&lt;Hoje),Hoje-$D383,0))</f>
        <v>0</v>
      </c>
      <c r="K383" s="20">
        <f>IF($J383="","",IF($L383&lt;=0.005,"Pago",IF($J383&lt;=0,"A vencer",IF($J383&lt;=15,"1-15 dias",IF($J383&lt;=30,"16-30 dias",IF($J383&lt;=60,"31-60 dias","Mais de 60 dias"))))))</f>
        <v>0</v>
      </c>
      <c r="L383" s="21">
        <f>IF($E383="","",MAX(0,$E383-N($G383)))</f>
        <v>0</v>
      </c>
      <c r="M383" s="21">
        <f>IF(OR($L383="",$J383=""),"",IF($J383&gt;0,ROUND($L383*Multa+$L383*Juros/30*$J383,2),0))</f>
        <v>0</v>
      </c>
      <c r="N383" s="22">
        <f>IF($L383="","",IF($L383&lt;=0.005,0,$L383+N($M383)))</f>
        <v>0</v>
      </c>
      <c r="O383" s="23">
        <f>IF(OR($I383="Vencido",$I383="Vencido (parcial)"),"Olá, "&amp;$A383&amp;"! Consta em aberto '"&amp;$B383&amp;"' com vencimento em "&amp;DAY($D383)&amp;"/"&amp;MONTH($D383)&amp;"/"&amp;YEAR($D383)&amp;", no valor de R$ "&amp;FIXED($N383,2)&amp;" (com multa e juros). Podemos ajudar a regularizar hoje? Obrigado!",IF($I383="Vence hoje","Olá, "&amp;$A383&amp;"! Lembrete: '"&amp;$B383&amp;"' vence hoje, no valor de R$ "&amp;FIXED($L383,2)&amp;". Obrigado!",""))</f>
        <v>0</v>
      </c>
    </row>
    <row r="384" spans="1:15">
      <c r="A384" s="13"/>
      <c r="B384" s="13"/>
      <c r="C384" s="17"/>
      <c r="D384" s="17"/>
      <c r="E384" s="18"/>
      <c r="F384" s="17"/>
      <c r="G384" s="18"/>
      <c r="H384" s="13"/>
      <c r="I384" s="19">
        <f>IF($E384="","",IF($L384&lt;=0.005,"Pago",IF($D384="","Sem vencimento",IF($D384&lt;Hoje,IF(N($G384)&gt;0,"Vencido (parcial)","Vencido"),IF($D384=Hoje,"Vence hoje","A vencer")))))</f>
        <v>0</v>
      </c>
      <c r="J384" s="20">
        <f>IF(OR($E384="",$D384=""),"",IF(AND($L384&gt;0.005,$D384&lt;Hoje),Hoje-$D384,0))</f>
        <v>0</v>
      </c>
      <c r="K384" s="20">
        <f>IF($J384="","",IF($L384&lt;=0.005,"Pago",IF($J384&lt;=0,"A vencer",IF($J384&lt;=15,"1-15 dias",IF($J384&lt;=30,"16-30 dias",IF($J384&lt;=60,"31-60 dias","Mais de 60 dias"))))))</f>
        <v>0</v>
      </c>
      <c r="L384" s="21">
        <f>IF($E384="","",MAX(0,$E384-N($G384)))</f>
        <v>0</v>
      </c>
      <c r="M384" s="21">
        <f>IF(OR($L384="",$J384=""),"",IF($J384&gt;0,ROUND($L384*Multa+$L384*Juros/30*$J384,2),0))</f>
        <v>0</v>
      </c>
      <c r="N384" s="22">
        <f>IF($L384="","",IF($L384&lt;=0.005,0,$L384+N($M384)))</f>
        <v>0</v>
      </c>
      <c r="O384" s="23">
        <f>IF(OR($I384="Vencido",$I384="Vencido (parcial)"),"Olá, "&amp;$A384&amp;"! Consta em aberto '"&amp;$B384&amp;"' com vencimento em "&amp;DAY($D384)&amp;"/"&amp;MONTH($D384)&amp;"/"&amp;YEAR($D384)&amp;", no valor de R$ "&amp;FIXED($N384,2)&amp;" (com multa e juros). Podemos ajudar a regularizar hoje? Obrigado!",IF($I384="Vence hoje","Olá, "&amp;$A384&amp;"! Lembrete: '"&amp;$B384&amp;"' vence hoje, no valor de R$ "&amp;FIXED($L384,2)&amp;". Obrigado!",""))</f>
        <v>0</v>
      </c>
    </row>
    <row r="385" spans="1:15">
      <c r="A385" s="13"/>
      <c r="B385" s="13"/>
      <c r="C385" s="17"/>
      <c r="D385" s="17"/>
      <c r="E385" s="18"/>
      <c r="F385" s="17"/>
      <c r="G385" s="18"/>
      <c r="H385" s="13"/>
      <c r="I385" s="19">
        <f>IF($E385="","",IF($L385&lt;=0.005,"Pago",IF($D385="","Sem vencimento",IF($D385&lt;Hoje,IF(N($G385)&gt;0,"Vencido (parcial)","Vencido"),IF($D385=Hoje,"Vence hoje","A vencer")))))</f>
        <v>0</v>
      </c>
      <c r="J385" s="20">
        <f>IF(OR($E385="",$D385=""),"",IF(AND($L385&gt;0.005,$D385&lt;Hoje),Hoje-$D385,0))</f>
        <v>0</v>
      </c>
      <c r="K385" s="20">
        <f>IF($J385="","",IF($L385&lt;=0.005,"Pago",IF($J385&lt;=0,"A vencer",IF($J385&lt;=15,"1-15 dias",IF($J385&lt;=30,"16-30 dias",IF($J385&lt;=60,"31-60 dias","Mais de 60 dias"))))))</f>
        <v>0</v>
      </c>
      <c r="L385" s="21">
        <f>IF($E385="","",MAX(0,$E385-N($G385)))</f>
        <v>0</v>
      </c>
      <c r="M385" s="21">
        <f>IF(OR($L385="",$J385=""),"",IF($J385&gt;0,ROUND($L385*Multa+$L385*Juros/30*$J385,2),0))</f>
        <v>0</v>
      </c>
      <c r="N385" s="22">
        <f>IF($L385="","",IF($L385&lt;=0.005,0,$L385+N($M385)))</f>
        <v>0</v>
      </c>
      <c r="O385" s="23">
        <f>IF(OR($I385="Vencido",$I385="Vencido (parcial)"),"Olá, "&amp;$A385&amp;"! Consta em aberto '"&amp;$B385&amp;"' com vencimento em "&amp;DAY($D385)&amp;"/"&amp;MONTH($D385)&amp;"/"&amp;YEAR($D385)&amp;", no valor de R$ "&amp;FIXED($N385,2)&amp;" (com multa e juros). Podemos ajudar a regularizar hoje? Obrigado!",IF($I385="Vence hoje","Olá, "&amp;$A385&amp;"! Lembrete: '"&amp;$B385&amp;"' vence hoje, no valor de R$ "&amp;FIXED($L385,2)&amp;". Obrigado!",""))</f>
        <v>0</v>
      </c>
    </row>
    <row r="386" spans="1:15">
      <c r="A386" s="13"/>
      <c r="B386" s="13"/>
      <c r="C386" s="17"/>
      <c r="D386" s="17"/>
      <c r="E386" s="18"/>
      <c r="F386" s="17"/>
      <c r="G386" s="18"/>
      <c r="H386" s="13"/>
      <c r="I386" s="19">
        <f>IF($E386="","",IF($L386&lt;=0.005,"Pago",IF($D386="","Sem vencimento",IF($D386&lt;Hoje,IF(N($G386)&gt;0,"Vencido (parcial)","Vencido"),IF($D386=Hoje,"Vence hoje","A vencer")))))</f>
        <v>0</v>
      </c>
      <c r="J386" s="20">
        <f>IF(OR($E386="",$D386=""),"",IF(AND($L386&gt;0.005,$D386&lt;Hoje),Hoje-$D386,0))</f>
        <v>0</v>
      </c>
      <c r="K386" s="20">
        <f>IF($J386="","",IF($L386&lt;=0.005,"Pago",IF($J386&lt;=0,"A vencer",IF($J386&lt;=15,"1-15 dias",IF($J386&lt;=30,"16-30 dias",IF($J386&lt;=60,"31-60 dias","Mais de 60 dias"))))))</f>
        <v>0</v>
      </c>
      <c r="L386" s="21">
        <f>IF($E386="","",MAX(0,$E386-N($G386)))</f>
        <v>0</v>
      </c>
      <c r="M386" s="21">
        <f>IF(OR($L386="",$J386=""),"",IF($J386&gt;0,ROUND($L386*Multa+$L386*Juros/30*$J386,2),0))</f>
        <v>0</v>
      </c>
      <c r="N386" s="22">
        <f>IF($L386="","",IF($L386&lt;=0.005,0,$L386+N($M386)))</f>
        <v>0</v>
      </c>
      <c r="O386" s="23">
        <f>IF(OR($I386="Vencido",$I386="Vencido (parcial)"),"Olá, "&amp;$A386&amp;"! Consta em aberto '"&amp;$B386&amp;"' com vencimento em "&amp;DAY($D386)&amp;"/"&amp;MONTH($D386)&amp;"/"&amp;YEAR($D386)&amp;", no valor de R$ "&amp;FIXED($N386,2)&amp;" (com multa e juros). Podemos ajudar a regularizar hoje? Obrigado!",IF($I386="Vence hoje","Olá, "&amp;$A386&amp;"! Lembrete: '"&amp;$B386&amp;"' vence hoje, no valor de R$ "&amp;FIXED($L386,2)&amp;". Obrigado!",""))</f>
        <v>0</v>
      </c>
    </row>
    <row r="387" spans="1:15">
      <c r="A387" s="13"/>
      <c r="B387" s="13"/>
      <c r="C387" s="17"/>
      <c r="D387" s="17"/>
      <c r="E387" s="18"/>
      <c r="F387" s="17"/>
      <c r="G387" s="18"/>
      <c r="H387" s="13"/>
      <c r="I387" s="19">
        <f>IF($E387="","",IF($L387&lt;=0.005,"Pago",IF($D387="","Sem vencimento",IF($D387&lt;Hoje,IF(N($G387)&gt;0,"Vencido (parcial)","Vencido"),IF($D387=Hoje,"Vence hoje","A vencer")))))</f>
        <v>0</v>
      </c>
      <c r="J387" s="20">
        <f>IF(OR($E387="",$D387=""),"",IF(AND($L387&gt;0.005,$D387&lt;Hoje),Hoje-$D387,0))</f>
        <v>0</v>
      </c>
      <c r="K387" s="20">
        <f>IF($J387="","",IF($L387&lt;=0.005,"Pago",IF($J387&lt;=0,"A vencer",IF($J387&lt;=15,"1-15 dias",IF($J387&lt;=30,"16-30 dias",IF($J387&lt;=60,"31-60 dias","Mais de 60 dias"))))))</f>
        <v>0</v>
      </c>
      <c r="L387" s="21">
        <f>IF($E387="","",MAX(0,$E387-N($G387)))</f>
        <v>0</v>
      </c>
      <c r="M387" s="21">
        <f>IF(OR($L387="",$J387=""),"",IF($J387&gt;0,ROUND($L387*Multa+$L387*Juros/30*$J387,2),0))</f>
        <v>0</v>
      </c>
      <c r="N387" s="22">
        <f>IF($L387="","",IF($L387&lt;=0.005,0,$L387+N($M387)))</f>
        <v>0</v>
      </c>
      <c r="O387" s="23">
        <f>IF(OR($I387="Vencido",$I387="Vencido (parcial)"),"Olá, "&amp;$A387&amp;"! Consta em aberto '"&amp;$B387&amp;"' com vencimento em "&amp;DAY($D387)&amp;"/"&amp;MONTH($D387)&amp;"/"&amp;YEAR($D387)&amp;", no valor de R$ "&amp;FIXED($N387,2)&amp;" (com multa e juros). Podemos ajudar a regularizar hoje? Obrigado!",IF($I387="Vence hoje","Olá, "&amp;$A387&amp;"! Lembrete: '"&amp;$B387&amp;"' vence hoje, no valor de R$ "&amp;FIXED($L387,2)&amp;". Obrigado!",""))</f>
        <v>0</v>
      </c>
    </row>
    <row r="388" spans="1:15">
      <c r="A388" s="13"/>
      <c r="B388" s="13"/>
      <c r="C388" s="17"/>
      <c r="D388" s="17"/>
      <c r="E388" s="18"/>
      <c r="F388" s="17"/>
      <c r="G388" s="18"/>
      <c r="H388" s="13"/>
      <c r="I388" s="19">
        <f>IF($E388="","",IF($L388&lt;=0.005,"Pago",IF($D388="","Sem vencimento",IF($D388&lt;Hoje,IF(N($G388)&gt;0,"Vencido (parcial)","Vencido"),IF($D388=Hoje,"Vence hoje","A vencer")))))</f>
        <v>0</v>
      </c>
      <c r="J388" s="20">
        <f>IF(OR($E388="",$D388=""),"",IF(AND($L388&gt;0.005,$D388&lt;Hoje),Hoje-$D388,0))</f>
        <v>0</v>
      </c>
      <c r="K388" s="20">
        <f>IF($J388="","",IF($L388&lt;=0.005,"Pago",IF($J388&lt;=0,"A vencer",IF($J388&lt;=15,"1-15 dias",IF($J388&lt;=30,"16-30 dias",IF($J388&lt;=60,"31-60 dias","Mais de 60 dias"))))))</f>
        <v>0</v>
      </c>
      <c r="L388" s="21">
        <f>IF($E388="","",MAX(0,$E388-N($G388)))</f>
        <v>0</v>
      </c>
      <c r="M388" s="21">
        <f>IF(OR($L388="",$J388=""),"",IF($J388&gt;0,ROUND($L388*Multa+$L388*Juros/30*$J388,2),0))</f>
        <v>0</v>
      </c>
      <c r="N388" s="22">
        <f>IF($L388="","",IF($L388&lt;=0.005,0,$L388+N($M388)))</f>
        <v>0</v>
      </c>
      <c r="O388" s="23">
        <f>IF(OR($I388="Vencido",$I388="Vencido (parcial)"),"Olá, "&amp;$A388&amp;"! Consta em aberto '"&amp;$B388&amp;"' com vencimento em "&amp;DAY($D388)&amp;"/"&amp;MONTH($D388)&amp;"/"&amp;YEAR($D388)&amp;", no valor de R$ "&amp;FIXED($N388,2)&amp;" (com multa e juros). Podemos ajudar a regularizar hoje? Obrigado!",IF($I388="Vence hoje","Olá, "&amp;$A388&amp;"! Lembrete: '"&amp;$B388&amp;"' vence hoje, no valor de R$ "&amp;FIXED($L388,2)&amp;". Obrigado!",""))</f>
        <v>0</v>
      </c>
    </row>
    <row r="389" spans="1:15">
      <c r="A389" s="13"/>
      <c r="B389" s="13"/>
      <c r="C389" s="17"/>
      <c r="D389" s="17"/>
      <c r="E389" s="18"/>
      <c r="F389" s="17"/>
      <c r="G389" s="18"/>
      <c r="H389" s="13"/>
      <c r="I389" s="19">
        <f>IF($E389="","",IF($L389&lt;=0.005,"Pago",IF($D389="","Sem vencimento",IF($D389&lt;Hoje,IF(N($G389)&gt;0,"Vencido (parcial)","Vencido"),IF($D389=Hoje,"Vence hoje","A vencer")))))</f>
        <v>0</v>
      </c>
      <c r="J389" s="20">
        <f>IF(OR($E389="",$D389=""),"",IF(AND($L389&gt;0.005,$D389&lt;Hoje),Hoje-$D389,0))</f>
        <v>0</v>
      </c>
      <c r="K389" s="20">
        <f>IF($J389="","",IF($L389&lt;=0.005,"Pago",IF($J389&lt;=0,"A vencer",IF($J389&lt;=15,"1-15 dias",IF($J389&lt;=30,"16-30 dias",IF($J389&lt;=60,"31-60 dias","Mais de 60 dias"))))))</f>
        <v>0</v>
      </c>
      <c r="L389" s="21">
        <f>IF($E389="","",MAX(0,$E389-N($G389)))</f>
        <v>0</v>
      </c>
      <c r="M389" s="21">
        <f>IF(OR($L389="",$J389=""),"",IF($J389&gt;0,ROUND($L389*Multa+$L389*Juros/30*$J389,2),0))</f>
        <v>0</v>
      </c>
      <c r="N389" s="22">
        <f>IF($L389="","",IF($L389&lt;=0.005,0,$L389+N($M389)))</f>
        <v>0</v>
      </c>
      <c r="O389" s="23">
        <f>IF(OR($I389="Vencido",$I389="Vencido (parcial)"),"Olá, "&amp;$A389&amp;"! Consta em aberto '"&amp;$B389&amp;"' com vencimento em "&amp;DAY($D389)&amp;"/"&amp;MONTH($D389)&amp;"/"&amp;YEAR($D389)&amp;", no valor de R$ "&amp;FIXED($N389,2)&amp;" (com multa e juros). Podemos ajudar a regularizar hoje? Obrigado!",IF($I389="Vence hoje","Olá, "&amp;$A389&amp;"! Lembrete: '"&amp;$B389&amp;"' vence hoje, no valor de R$ "&amp;FIXED($L389,2)&amp;". Obrigado!",""))</f>
        <v>0</v>
      </c>
    </row>
    <row r="390" spans="1:15">
      <c r="A390" s="13"/>
      <c r="B390" s="13"/>
      <c r="C390" s="17"/>
      <c r="D390" s="17"/>
      <c r="E390" s="18"/>
      <c r="F390" s="17"/>
      <c r="G390" s="18"/>
      <c r="H390" s="13"/>
      <c r="I390" s="19">
        <f>IF($E390="","",IF($L390&lt;=0.005,"Pago",IF($D390="","Sem vencimento",IF($D390&lt;Hoje,IF(N($G390)&gt;0,"Vencido (parcial)","Vencido"),IF($D390=Hoje,"Vence hoje","A vencer")))))</f>
        <v>0</v>
      </c>
      <c r="J390" s="20">
        <f>IF(OR($E390="",$D390=""),"",IF(AND($L390&gt;0.005,$D390&lt;Hoje),Hoje-$D390,0))</f>
        <v>0</v>
      </c>
      <c r="K390" s="20">
        <f>IF($J390="","",IF($L390&lt;=0.005,"Pago",IF($J390&lt;=0,"A vencer",IF($J390&lt;=15,"1-15 dias",IF($J390&lt;=30,"16-30 dias",IF($J390&lt;=60,"31-60 dias","Mais de 60 dias"))))))</f>
        <v>0</v>
      </c>
      <c r="L390" s="21">
        <f>IF($E390="","",MAX(0,$E390-N($G390)))</f>
        <v>0</v>
      </c>
      <c r="M390" s="21">
        <f>IF(OR($L390="",$J390=""),"",IF($J390&gt;0,ROUND($L390*Multa+$L390*Juros/30*$J390,2),0))</f>
        <v>0</v>
      </c>
      <c r="N390" s="22">
        <f>IF($L390="","",IF($L390&lt;=0.005,0,$L390+N($M390)))</f>
        <v>0</v>
      </c>
      <c r="O390" s="23">
        <f>IF(OR($I390="Vencido",$I390="Vencido (parcial)"),"Olá, "&amp;$A390&amp;"! Consta em aberto '"&amp;$B390&amp;"' com vencimento em "&amp;DAY($D390)&amp;"/"&amp;MONTH($D390)&amp;"/"&amp;YEAR($D390)&amp;", no valor de R$ "&amp;FIXED($N390,2)&amp;" (com multa e juros). Podemos ajudar a regularizar hoje? Obrigado!",IF($I390="Vence hoje","Olá, "&amp;$A390&amp;"! Lembrete: '"&amp;$B390&amp;"' vence hoje, no valor de R$ "&amp;FIXED($L390,2)&amp;". Obrigado!",""))</f>
        <v>0</v>
      </c>
    </row>
    <row r="391" spans="1:15">
      <c r="A391" s="13"/>
      <c r="B391" s="13"/>
      <c r="C391" s="17"/>
      <c r="D391" s="17"/>
      <c r="E391" s="18"/>
      <c r="F391" s="17"/>
      <c r="G391" s="18"/>
      <c r="H391" s="13"/>
      <c r="I391" s="19">
        <f>IF($E391="","",IF($L391&lt;=0.005,"Pago",IF($D391="","Sem vencimento",IF($D391&lt;Hoje,IF(N($G391)&gt;0,"Vencido (parcial)","Vencido"),IF($D391=Hoje,"Vence hoje","A vencer")))))</f>
        <v>0</v>
      </c>
      <c r="J391" s="20">
        <f>IF(OR($E391="",$D391=""),"",IF(AND($L391&gt;0.005,$D391&lt;Hoje),Hoje-$D391,0))</f>
        <v>0</v>
      </c>
      <c r="K391" s="20">
        <f>IF($J391="","",IF($L391&lt;=0.005,"Pago",IF($J391&lt;=0,"A vencer",IF($J391&lt;=15,"1-15 dias",IF($J391&lt;=30,"16-30 dias",IF($J391&lt;=60,"31-60 dias","Mais de 60 dias"))))))</f>
        <v>0</v>
      </c>
      <c r="L391" s="21">
        <f>IF($E391="","",MAX(0,$E391-N($G391)))</f>
        <v>0</v>
      </c>
      <c r="M391" s="21">
        <f>IF(OR($L391="",$J391=""),"",IF($J391&gt;0,ROUND($L391*Multa+$L391*Juros/30*$J391,2),0))</f>
        <v>0</v>
      </c>
      <c r="N391" s="22">
        <f>IF($L391="","",IF($L391&lt;=0.005,0,$L391+N($M391)))</f>
        <v>0</v>
      </c>
      <c r="O391" s="23">
        <f>IF(OR($I391="Vencido",$I391="Vencido (parcial)"),"Olá, "&amp;$A391&amp;"! Consta em aberto '"&amp;$B391&amp;"' com vencimento em "&amp;DAY($D391)&amp;"/"&amp;MONTH($D391)&amp;"/"&amp;YEAR($D391)&amp;", no valor de R$ "&amp;FIXED($N391,2)&amp;" (com multa e juros). Podemos ajudar a regularizar hoje? Obrigado!",IF($I391="Vence hoje","Olá, "&amp;$A391&amp;"! Lembrete: '"&amp;$B391&amp;"' vence hoje, no valor de R$ "&amp;FIXED($L391,2)&amp;". Obrigado!",""))</f>
        <v>0</v>
      </c>
    </row>
    <row r="392" spans="1:15">
      <c r="A392" s="13"/>
      <c r="B392" s="13"/>
      <c r="C392" s="17"/>
      <c r="D392" s="17"/>
      <c r="E392" s="18"/>
      <c r="F392" s="17"/>
      <c r="G392" s="18"/>
      <c r="H392" s="13"/>
      <c r="I392" s="19">
        <f>IF($E392="","",IF($L392&lt;=0.005,"Pago",IF($D392="","Sem vencimento",IF($D392&lt;Hoje,IF(N($G392)&gt;0,"Vencido (parcial)","Vencido"),IF($D392=Hoje,"Vence hoje","A vencer")))))</f>
        <v>0</v>
      </c>
      <c r="J392" s="20">
        <f>IF(OR($E392="",$D392=""),"",IF(AND($L392&gt;0.005,$D392&lt;Hoje),Hoje-$D392,0))</f>
        <v>0</v>
      </c>
      <c r="K392" s="20">
        <f>IF($J392="","",IF($L392&lt;=0.005,"Pago",IF($J392&lt;=0,"A vencer",IF($J392&lt;=15,"1-15 dias",IF($J392&lt;=30,"16-30 dias",IF($J392&lt;=60,"31-60 dias","Mais de 60 dias"))))))</f>
        <v>0</v>
      </c>
      <c r="L392" s="21">
        <f>IF($E392="","",MAX(0,$E392-N($G392)))</f>
        <v>0</v>
      </c>
      <c r="M392" s="21">
        <f>IF(OR($L392="",$J392=""),"",IF($J392&gt;0,ROUND($L392*Multa+$L392*Juros/30*$J392,2),0))</f>
        <v>0</v>
      </c>
      <c r="N392" s="22">
        <f>IF($L392="","",IF($L392&lt;=0.005,0,$L392+N($M392)))</f>
        <v>0</v>
      </c>
      <c r="O392" s="23">
        <f>IF(OR($I392="Vencido",$I392="Vencido (parcial)"),"Olá, "&amp;$A392&amp;"! Consta em aberto '"&amp;$B392&amp;"' com vencimento em "&amp;DAY($D392)&amp;"/"&amp;MONTH($D392)&amp;"/"&amp;YEAR($D392)&amp;", no valor de R$ "&amp;FIXED($N392,2)&amp;" (com multa e juros). Podemos ajudar a regularizar hoje? Obrigado!",IF($I392="Vence hoje","Olá, "&amp;$A392&amp;"! Lembrete: '"&amp;$B392&amp;"' vence hoje, no valor de R$ "&amp;FIXED($L392,2)&amp;". Obrigado!",""))</f>
        <v>0</v>
      </c>
    </row>
    <row r="393" spans="1:15">
      <c r="A393" s="13"/>
      <c r="B393" s="13"/>
      <c r="C393" s="17"/>
      <c r="D393" s="17"/>
      <c r="E393" s="18"/>
      <c r="F393" s="17"/>
      <c r="G393" s="18"/>
      <c r="H393" s="13"/>
      <c r="I393" s="19">
        <f>IF($E393="","",IF($L393&lt;=0.005,"Pago",IF($D393="","Sem vencimento",IF($D393&lt;Hoje,IF(N($G393)&gt;0,"Vencido (parcial)","Vencido"),IF($D393=Hoje,"Vence hoje","A vencer")))))</f>
        <v>0</v>
      </c>
      <c r="J393" s="20">
        <f>IF(OR($E393="",$D393=""),"",IF(AND($L393&gt;0.005,$D393&lt;Hoje),Hoje-$D393,0))</f>
        <v>0</v>
      </c>
      <c r="K393" s="20">
        <f>IF($J393="","",IF($L393&lt;=0.005,"Pago",IF($J393&lt;=0,"A vencer",IF($J393&lt;=15,"1-15 dias",IF($J393&lt;=30,"16-30 dias",IF($J393&lt;=60,"31-60 dias","Mais de 60 dias"))))))</f>
        <v>0</v>
      </c>
      <c r="L393" s="21">
        <f>IF($E393="","",MAX(0,$E393-N($G393)))</f>
        <v>0</v>
      </c>
      <c r="M393" s="21">
        <f>IF(OR($L393="",$J393=""),"",IF($J393&gt;0,ROUND($L393*Multa+$L393*Juros/30*$J393,2),0))</f>
        <v>0</v>
      </c>
      <c r="N393" s="22">
        <f>IF($L393="","",IF($L393&lt;=0.005,0,$L393+N($M393)))</f>
        <v>0</v>
      </c>
      <c r="O393" s="23">
        <f>IF(OR($I393="Vencido",$I393="Vencido (parcial)"),"Olá, "&amp;$A393&amp;"! Consta em aberto '"&amp;$B393&amp;"' com vencimento em "&amp;DAY($D393)&amp;"/"&amp;MONTH($D393)&amp;"/"&amp;YEAR($D393)&amp;", no valor de R$ "&amp;FIXED($N393,2)&amp;" (com multa e juros). Podemos ajudar a regularizar hoje? Obrigado!",IF($I393="Vence hoje","Olá, "&amp;$A393&amp;"! Lembrete: '"&amp;$B393&amp;"' vence hoje, no valor de R$ "&amp;FIXED($L393,2)&amp;". Obrigado!",""))</f>
        <v>0</v>
      </c>
    </row>
    <row r="394" spans="1:15">
      <c r="A394" s="13"/>
      <c r="B394" s="13"/>
      <c r="C394" s="17"/>
      <c r="D394" s="17"/>
      <c r="E394" s="18"/>
      <c r="F394" s="17"/>
      <c r="G394" s="18"/>
      <c r="H394" s="13"/>
      <c r="I394" s="19">
        <f>IF($E394="","",IF($L394&lt;=0.005,"Pago",IF($D394="","Sem vencimento",IF($D394&lt;Hoje,IF(N($G394)&gt;0,"Vencido (parcial)","Vencido"),IF($D394=Hoje,"Vence hoje","A vencer")))))</f>
        <v>0</v>
      </c>
      <c r="J394" s="20">
        <f>IF(OR($E394="",$D394=""),"",IF(AND($L394&gt;0.005,$D394&lt;Hoje),Hoje-$D394,0))</f>
        <v>0</v>
      </c>
      <c r="K394" s="20">
        <f>IF($J394="","",IF($L394&lt;=0.005,"Pago",IF($J394&lt;=0,"A vencer",IF($J394&lt;=15,"1-15 dias",IF($J394&lt;=30,"16-30 dias",IF($J394&lt;=60,"31-60 dias","Mais de 60 dias"))))))</f>
        <v>0</v>
      </c>
      <c r="L394" s="21">
        <f>IF($E394="","",MAX(0,$E394-N($G394)))</f>
        <v>0</v>
      </c>
      <c r="M394" s="21">
        <f>IF(OR($L394="",$J394=""),"",IF($J394&gt;0,ROUND($L394*Multa+$L394*Juros/30*$J394,2),0))</f>
        <v>0</v>
      </c>
      <c r="N394" s="22">
        <f>IF($L394="","",IF($L394&lt;=0.005,0,$L394+N($M394)))</f>
        <v>0</v>
      </c>
      <c r="O394" s="23">
        <f>IF(OR($I394="Vencido",$I394="Vencido (parcial)"),"Olá, "&amp;$A394&amp;"! Consta em aberto '"&amp;$B394&amp;"' com vencimento em "&amp;DAY($D394)&amp;"/"&amp;MONTH($D394)&amp;"/"&amp;YEAR($D394)&amp;", no valor de R$ "&amp;FIXED($N394,2)&amp;" (com multa e juros). Podemos ajudar a regularizar hoje? Obrigado!",IF($I394="Vence hoje","Olá, "&amp;$A394&amp;"! Lembrete: '"&amp;$B394&amp;"' vence hoje, no valor de R$ "&amp;FIXED($L394,2)&amp;". Obrigado!",""))</f>
        <v>0</v>
      </c>
    </row>
    <row r="395" spans="1:15">
      <c r="A395" s="13"/>
      <c r="B395" s="13"/>
      <c r="C395" s="17"/>
      <c r="D395" s="17"/>
      <c r="E395" s="18"/>
      <c r="F395" s="17"/>
      <c r="G395" s="18"/>
      <c r="H395" s="13"/>
      <c r="I395" s="19">
        <f>IF($E395="","",IF($L395&lt;=0.005,"Pago",IF($D395="","Sem vencimento",IF($D395&lt;Hoje,IF(N($G395)&gt;0,"Vencido (parcial)","Vencido"),IF($D395=Hoje,"Vence hoje","A vencer")))))</f>
        <v>0</v>
      </c>
      <c r="J395" s="20">
        <f>IF(OR($E395="",$D395=""),"",IF(AND($L395&gt;0.005,$D395&lt;Hoje),Hoje-$D395,0))</f>
        <v>0</v>
      </c>
      <c r="K395" s="20">
        <f>IF($J395="","",IF($L395&lt;=0.005,"Pago",IF($J395&lt;=0,"A vencer",IF($J395&lt;=15,"1-15 dias",IF($J395&lt;=30,"16-30 dias",IF($J395&lt;=60,"31-60 dias","Mais de 60 dias"))))))</f>
        <v>0</v>
      </c>
      <c r="L395" s="21">
        <f>IF($E395="","",MAX(0,$E395-N($G395)))</f>
        <v>0</v>
      </c>
      <c r="M395" s="21">
        <f>IF(OR($L395="",$J395=""),"",IF($J395&gt;0,ROUND($L395*Multa+$L395*Juros/30*$J395,2),0))</f>
        <v>0</v>
      </c>
      <c r="N395" s="22">
        <f>IF($L395="","",IF($L395&lt;=0.005,0,$L395+N($M395)))</f>
        <v>0</v>
      </c>
      <c r="O395" s="23">
        <f>IF(OR($I395="Vencido",$I395="Vencido (parcial)"),"Olá, "&amp;$A395&amp;"! Consta em aberto '"&amp;$B395&amp;"' com vencimento em "&amp;DAY($D395)&amp;"/"&amp;MONTH($D395)&amp;"/"&amp;YEAR($D395)&amp;", no valor de R$ "&amp;FIXED($N395,2)&amp;" (com multa e juros). Podemos ajudar a regularizar hoje? Obrigado!",IF($I395="Vence hoje","Olá, "&amp;$A395&amp;"! Lembrete: '"&amp;$B395&amp;"' vence hoje, no valor de R$ "&amp;FIXED($L395,2)&amp;". Obrigado!",""))</f>
        <v>0</v>
      </c>
    </row>
    <row r="396" spans="1:15">
      <c r="A396" s="13"/>
      <c r="B396" s="13"/>
      <c r="C396" s="17"/>
      <c r="D396" s="17"/>
      <c r="E396" s="18"/>
      <c r="F396" s="17"/>
      <c r="G396" s="18"/>
      <c r="H396" s="13"/>
      <c r="I396" s="19">
        <f>IF($E396="","",IF($L396&lt;=0.005,"Pago",IF($D396="","Sem vencimento",IF($D396&lt;Hoje,IF(N($G396)&gt;0,"Vencido (parcial)","Vencido"),IF($D396=Hoje,"Vence hoje","A vencer")))))</f>
        <v>0</v>
      </c>
      <c r="J396" s="20">
        <f>IF(OR($E396="",$D396=""),"",IF(AND($L396&gt;0.005,$D396&lt;Hoje),Hoje-$D396,0))</f>
        <v>0</v>
      </c>
      <c r="K396" s="20">
        <f>IF($J396="","",IF($L396&lt;=0.005,"Pago",IF($J396&lt;=0,"A vencer",IF($J396&lt;=15,"1-15 dias",IF($J396&lt;=30,"16-30 dias",IF($J396&lt;=60,"31-60 dias","Mais de 60 dias"))))))</f>
        <v>0</v>
      </c>
      <c r="L396" s="21">
        <f>IF($E396="","",MAX(0,$E396-N($G396)))</f>
        <v>0</v>
      </c>
      <c r="M396" s="21">
        <f>IF(OR($L396="",$J396=""),"",IF($J396&gt;0,ROUND($L396*Multa+$L396*Juros/30*$J396,2),0))</f>
        <v>0</v>
      </c>
      <c r="N396" s="22">
        <f>IF($L396="","",IF($L396&lt;=0.005,0,$L396+N($M396)))</f>
        <v>0</v>
      </c>
      <c r="O396" s="23">
        <f>IF(OR($I396="Vencido",$I396="Vencido (parcial)"),"Olá, "&amp;$A396&amp;"! Consta em aberto '"&amp;$B396&amp;"' com vencimento em "&amp;DAY($D396)&amp;"/"&amp;MONTH($D396)&amp;"/"&amp;YEAR($D396)&amp;", no valor de R$ "&amp;FIXED($N396,2)&amp;" (com multa e juros). Podemos ajudar a regularizar hoje? Obrigado!",IF($I396="Vence hoje","Olá, "&amp;$A396&amp;"! Lembrete: '"&amp;$B396&amp;"' vence hoje, no valor de R$ "&amp;FIXED($L396,2)&amp;". Obrigado!",""))</f>
        <v>0</v>
      </c>
    </row>
    <row r="397" spans="1:15">
      <c r="A397" s="13"/>
      <c r="B397" s="13"/>
      <c r="C397" s="17"/>
      <c r="D397" s="17"/>
      <c r="E397" s="18"/>
      <c r="F397" s="17"/>
      <c r="G397" s="18"/>
      <c r="H397" s="13"/>
      <c r="I397" s="19">
        <f>IF($E397="","",IF($L397&lt;=0.005,"Pago",IF($D397="","Sem vencimento",IF($D397&lt;Hoje,IF(N($G397)&gt;0,"Vencido (parcial)","Vencido"),IF($D397=Hoje,"Vence hoje","A vencer")))))</f>
        <v>0</v>
      </c>
      <c r="J397" s="20">
        <f>IF(OR($E397="",$D397=""),"",IF(AND($L397&gt;0.005,$D397&lt;Hoje),Hoje-$D397,0))</f>
        <v>0</v>
      </c>
      <c r="K397" s="20">
        <f>IF($J397="","",IF($L397&lt;=0.005,"Pago",IF($J397&lt;=0,"A vencer",IF($J397&lt;=15,"1-15 dias",IF($J397&lt;=30,"16-30 dias",IF($J397&lt;=60,"31-60 dias","Mais de 60 dias"))))))</f>
        <v>0</v>
      </c>
      <c r="L397" s="21">
        <f>IF($E397="","",MAX(0,$E397-N($G397)))</f>
        <v>0</v>
      </c>
      <c r="M397" s="21">
        <f>IF(OR($L397="",$J397=""),"",IF($J397&gt;0,ROUND($L397*Multa+$L397*Juros/30*$J397,2),0))</f>
        <v>0</v>
      </c>
      <c r="N397" s="22">
        <f>IF($L397="","",IF($L397&lt;=0.005,0,$L397+N($M397)))</f>
        <v>0</v>
      </c>
      <c r="O397" s="23">
        <f>IF(OR($I397="Vencido",$I397="Vencido (parcial)"),"Olá, "&amp;$A397&amp;"! Consta em aberto '"&amp;$B397&amp;"' com vencimento em "&amp;DAY($D397)&amp;"/"&amp;MONTH($D397)&amp;"/"&amp;YEAR($D397)&amp;", no valor de R$ "&amp;FIXED($N397,2)&amp;" (com multa e juros). Podemos ajudar a regularizar hoje? Obrigado!",IF($I397="Vence hoje","Olá, "&amp;$A397&amp;"! Lembrete: '"&amp;$B397&amp;"' vence hoje, no valor de R$ "&amp;FIXED($L397,2)&amp;". Obrigado!",""))</f>
        <v>0</v>
      </c>
    </row>
    <row r="398" spans="1:15">
      <c r="A398" s="13"/>
      <c r="B398" s="13"/>
      <c r="C398" s="17"/>
      <c r="D398" s="17"/>
      <c r="E398" s="18"/>
      <c r="F398" s="17"/>
      <c r="G398" s="18"/>
      <c r="H398" s="13"/>
      <c r="I398" s="19">
        <f>IF($E398="","",IF($L398&lt;=0.005,"Pago",IF($D398="","Sem vencimento",IF($D398&lt;Hoje,IF(N($G398)&gt;0,"Vencido (parcial)","Vencido"),IF($D398=Hoje,"Vence hoje","A vencer")))))</f>
        <v>0</v>
      </c>
      <c r="J398" s="20">
        <f>IF(OR($E398="",$D398=""),"",IF(AND($L398&gt;0.005,$D398&lt;Hoje),Hoje-$D398,0))</f>
        <v>0</v>
      </c>
      <c r="K398" s="20">
        <f>IF($J398="","",IF($L398&lt;=0.005,"Pago",IF($J398&lt;=0,"A vencer",IF($J398&lt;=15,"1-15 dias",IF($J398&lt;=30,"16-30 dias",IF($J398&lt;=60,"31-60 dias","Mais de 60 dias"))))))</f>
        <v>0</v>
      </c>
      <c r="L398" s="21">
        <f>IF($E398="","",MAX(0,$E398-N($G398)))</f>
        <v>0</v>
      </c>
      <c r="M398" s="21">
        <f>IF(OR($L398="",$J398=""),"",IF($J398&gt;0,ROUND($L398*Multa+$L398*Juros/30*$J398,2),0))</f>
        <v>0</v>
      </c>
      <c r="N398" s="22">
        <f>IF($L398="","",IF($L398&lt;=0.005,0,$L398+N($M398)))</f>
        <v>0</v>
      </c>
      <c r="O398" s="23">
        <f>IF(OR($I398="Vencido",$I398="Vencido (parcial)"),"Olá, "&amp;$A398&amp;"! Consta em aberto '"&amp;$B398&amp;"' com vencimento em "&amp;DAY($D398)&amp;"/"&amp;MONTH($D398)&amp;"/"&amp;YEAR($D398)&amp;", no valor de R$ "&amp;FIXED($N398,2)&amp;" (com multa e juros). Podemos ajudar a regularizar hoje? Obrigado!",IF($I398="Vence hoje","Olá, "&amp;$A398&amp;"! Lembrete: '"&amp;$B398&amp;"' vence hoje, no valor de R$ "&amp;FIXED($L398,2)&amp;". Obrigado!",""))</f>
        <v>0</v>
      </c>
    </row>
    <row r="399" spans="1:15">
      <c r="A399" s="13"/>
      <c r="B399" s="13"/>
      <c r="C399" s="17"/>
      <c r="D399" s="17"/>
      <c r="E399" s="18"/>
      <c r="F399" s="17"/>
      <c r="G399" s="18"/>
      <c r="H399" s="13"/>
      <c r="I399" s="19">
        <f>IF($E399="","",IF($L399&lt;=0.005,"Pago",IF($D399="","Sem vencimento",IF($D399&lt;Hoje,IF(N($G399)&gt;0,"Vencido (parcial)","Vencido"),IF($D399=Hoje,"Vence hoje","A vencer")))))</f>
        <v>0</v>
      </c>
      <c r="J399" s="20">
        <f>IF(OR($E399="",$D399=""),"",IF(AND($L399&gt;0.005,$D399&lt;Hoje),Hoje-$D399,0))</f>
        <v>0</v>
      </c>
      <c r="K399" s="20">
        <f>IF($J399="","",IF($L399&lt;=0.005,"Pago",IF($J399&lt;=0,"A vencer",IF($J399&lt;=15,"1-15 dias",IF($J399&lt;=30,"16-30 dias",IF($J399&lt;=60,"31-60 dias","Mais de 60 dias"))))))</f>
        <v>0</v>
      </c>
      <c r="L399" s="21">
        <f>IF($E399="","",MAX(0,$E399-N($G399)))</f>
        <v>0</v>
      </c>
      <c r="M399" s="21">
        <f>IF(OR($L399="",$J399=""),"",IF($J399&gt;0,ROUND($L399*Multa+$L399*Juros/30*$J399,2),0))</f>
        <v>0</v>
      </c>
      <c r="N399" s="22">
        <f>IF($L399="","",IF($L399&lt;=0.005,0,$L399+N($M399)))</f>
        <v>0</v>
      </c>
      <c r="O399" s="23">
        <f>IF(OR($I399="Vencido",$I399="Vencido (parcial)"),"Olá, "&amp;$A399&amp;"! Consta em aberto '"&amp;$B399&amp;"' com vencimento em "&amp;DAY($D399)&amp;"/"&amp;MONTH($D399)&amp;"/"&amp;YEAR($D399)&amp;", no valor de R$ "&amp;FIXED($N399,2)&amp;" (com multa e juros). Podemos ajudar a regularizar hoje? Obrigado!",IF($I399="Vence hoje","Olá, "&amp;$A399&amp;"! Lembrete: '"&amp;$B399&amp;"' vence hoje, no valor de R$ "&amp;FIXED($L399,2)&amp;". Obrigado!",""))</f>
        <v>0</v>
      </c>
    </row>
    <row r="400" spans="1:15">
      <c r="A400" s="13"/>
      <c r="B400" s="13"/>
      <c r="C400" s="17"/>
      <c r="D400" s="17"/>
      <c r="E400" s="18"/>
      <c r="F400" s="17"/>
      <c r="G400" s="18"/>
      <c r="H400" s="13"/>
      <c r="I400" s="19">
        <f>IF($E400="","",IF($L400&lt;=0.005,"Pago",IF($D400="","Sem vencimento",IF($D400&lt;Hoje,IF(N($G400)&gt;0,"Vencido (parcial)","Vencido"),IF($D400=Hoje,"Vence hoje","A vencer")))))</f>
        <v>0</v>
      </c>
      <c r="J400" s="20">
        <f>IF(OR($E400="",$D400=""),"",IF(AND($L400&gt;0.005,$D400&lt;Hoje),Hoje-$D400,0))</f>
        <v>0</v>
      </c>
      <c r="K400" s="20">
        <f>IF($J400="","",IF($L400&lt;=0.005,"Pago",IF($J400&lt;=0,"A vencer",IF($J400&lt;=15,"1-15 dias",IF($J400&lt;=30,"16-30 dias",IF($J400&lt;=60,"31-60 dias","Mais de 60 dias"))))))</f>
        <v>0</v>
      </c>
      <c r="L400" s="21">
        <f>IF($E400="","",MAX(0,$E400-N($G400)))</f>
        <v>0</v>
      </c>
      <c r="M400" s="21">
        <f>IF(OR($L400="",$J400=""),"",IF($J400&gt;0,ROUND($L400*Multa+$L400*Juros/30*$J400,2),0))</f>
        <v>0</v>
      </c>
      <c r="N400" s="22">
        <f>IF($L400="","",IF($L400&lt;=0.005,0,$L400+N($M400)))</f>
        <v>0</v>
      </c>
      <c r="O400" s="23">
        <f>IF(OR($I400="Vencido",$I400="Vencido (parcial)"),"Olá, "&amp;$A400&amp;"! Consta em aberto '"&amp;$B400&amp;"' com vencimento em "&amp;DAY($D400)&amp;"/"&amp;MONTH($D400)&amp;"/"&amp;YEAR($D400)&amp;", no valor de R$ "&amp;FIXED($N400,2)&amp;" (com multa e juros). Podemos ajudar a regularizar hoje? Obrigado!",IF($I400="Vence hoje","Olá, "&amp;$A400&amp;"! Lembrete: '"&amp;$B400&amp;"' vence hoje, no valor de R$ "&amp;FIXED($L400,2)&amp;". Obrigado!",""))</f>
        <v>0</v>
      </c>
    </row>
    <row r="401" spans="1:15">
      <c r="A401" s="13"/>
      <c r="B401" s="13"/>
      <c r="C401" s="17"/>
      <c r="D401" s="17"/>
      <c r="E401" s="18"/>
      <c r="F401" s="17"/>
      <c r="G401" s="18"/>
      <c r="H401" s="13"/>
      <c r="I401" s="19">
        <f>IF($E401="","",IF($L401&lt;=0.005,"Pago",IF($D401="","Sem vencimento",IF($D401&lt;Hoje,IF(N($G401)&gt;0,"Vencido (parcial)","Vencido"),IF($D401=Hoje,"Vence hoje","A vencer")))))</f>
        <v>0</v>
      </c>
      <c r="J401" s="20">
        <f>IF(OR($E401="",$D401=""),"",IF(AND($L401&gt;0.005,$D401&lt;Hoje),Hoje-$D401,0))</f>
        <v>0</v>
      </c>
      <c r="K401" s="20">
        <f>IF($J401="","",IF($L401&lt;=0.005,"Pago",IF($J401&lt;=0,"A vencer",IF($J401&lt;=15,"1-15 dias",IF($J401&lt;=30,"16-30 dias",IF($J401&lt;=60,"31-60 dias","Mais de 60 dias"))))))</f>
        <v>0</v>
      </c>
      <c r="L401" s="21">
        <f>IF($E401="","",MAX(0,$E401-N($G401)))</f>
        <v>0</v>
      </c>
      <c r="M401" s="21">
        <f>IF(OR($L401="",$J401=""),"",IF($J401&gt;0,ROUND($L401*Multa+$L401*Juros/30*$J401,2),0))</f>
        <v>0</v>
      </c>
      <c r="N401" s="22">
        <f>IF($L401="","",IF($L401&lt;=0.005,0,$L401+N($M401)))</f>
        <v>0</v>
      </c>
      <c r="O401" s="23">
        <f>IF(OR($I401="Vencido",$I401="Vencido (parcial)"),"Olá, "&amp;$A401&amp;"! Consta em aberto '"&amp;$B401&amp;"' com vencimento em "&amp;DAY($D401)&amp;"/"&amp;MONTH($D401)&amp;"/"&amp;YEAR($D401)&amp;", no valor de R$ "&amp;FIXED($N401,2)&amp;" (com multa e juros). Podemos ajudar a regularizar hoje? Obrigado!",IF($I401="Vence hoje","Olá, "&amp;$A401&amp;"! Lembrete: '"&amp;$B401&amp;"' vence hoje, no valor de R$ "&amp;FIXED($L401,2)&amp;". Obrigado!",""))</f>
        <v>0</v>
      </c>
    </row>
    <row r="402" spans="1:15">
      <c r="A402" s="13"/>
      <c r="B402" s="13"/>
      <c r="C402" s="17"/>
      <c r="D402" s="17"/>
      <c r="E402" s="18"/>
      <c r="F402" s="17"/>
      <c r="G402" s="18"/>
      <c r="H402" s="13"/>
      <c r="I402" s="19">
        <f>IF($E402="","",IF($L402&lt;=0.005,"Pago",IF($D402="","Sem vencimento",IF($D402&lt;Hoje,IF(N($G402)&gt;0,"Vencido (parcial)","Vencido"),IF($D402=Hoje,"Vence hoje","A vencer")))))</f>
        <v>0</v>
      </c>
      <c r="J402" s="20">
        <f>IF(OR($E402="",$D402=""),"",IF(AND($L402&gt;0.005,$D402&lt;Hoje),Hoje-$D402,0))</f>
        <v>0</v>
      </c>
      <c r="K402" s="20">
        <f>IF($J402="","",IF($L402&lt;=0.005,"Pago",IF($J402&lt;=0,"A vencer",IF($J402&lt;=15,"1-15 dias",IF($J402&lt;=30,"16-30 dias",IF($J402&lt;=60,"31-60 dias","Mais de 60 dias"))))))</f>
        <v>0</v>
      </c>
      <c r="L402" s="21">
        <f>IF($E402="","",MAX(0,$E402-N($G402)))</f>
        <v>0</v>
      </c>
      <c r="M402" s="21">
        <f>IF(OR($L402="",$J402=""),"",IF($J402&gt;0,ROUND($L402*Multa+$L402*Juros/30*$J402,2),0))</f>
        <v>0</v>
      </c>
      <c r="N402" s="22">
        <f>IF($L402="","",IF($L402&lt;=0.005,0,$L402+N($M402)))</f>
        <v>0</v>
      </c>
      <c r="O402" s="23">
        <f>IF(OR($I402="Vencido",$I402="Vencido (parcial)"),"Olá, "&amp;$A402&amp;"! Consta em aberto '"&amp;$B402&amp;"' com vencimento em "&amp;DAY($D402)&amp;"/"&amp;MONTH($D402)&amp;"/"&amp;YEAR($D402)&amp;", no valor de R$ "&amp;FIXED($N402,2)&amp;" (com multa e juros). Podemos ajudar a regularizar hoje? Obrigado!",IF($I402="Vence hoje","Olá, "&amp;$A402&amp;"! Lembrete: '"&amp;$B402&amp;"' vence hoje, no valor de R$ "&amp;FIXED($L402,2)&amp;". Obrigado!",""))</f>
        <v>0</v>
      </c>
    </row>
    <row r="403" spans="1:15">
      <c r="A403" s="13"/>
      <c r="B403" s="13"/>
      <c r="C403" s="17"/>
      <c r="D403" s="17"/>
      <c r="E403" s="18"/>
      <c r="F403" s="17"/>
      <c r="G403" s="18"/>
      <c r="H403" s="13"/>
      <c r="I403" s="19">
        <f>IF($E403="","",IF($L403&lt;=0.005,"Pago",IF($D403="","Sem vencimento",IF($D403&lt;Hoje,IF(N($G403)&gt;0,"Vencido (parcial)","Vencido"),IF($D403=Hoje,"Vence hoje","A vencer")))))</f>
        <v>0</v>
      </c>
      <c r="J403" s="20">
        <f>IF(OR($E403="",$D403=""),"",IF(AND($L403&gt;0.005,$D403&lt;Hoje),Hoje-$D403,0))</f>
        <v>0</v>
      </c>
      <c r="K403" s="20">
        <f>IF($J403="","",IF($L403&lt;=0.005,"Pago",IF($J403&lt;=0,"A vencer",IF($J403&lt;=15,"1-15 dias",IF($J403&lt;=30,"16-30 dias",IF($J403&lt;=60,"31-60 dias","Mais de 60 dias"))))))</f>
        <v>0</v>
      </c>
      <c r="L403" s="21">
        <f>IF($E403="","",MAX(0,$E403-N($G403)))</f>
        <v>0</v>
      </c>
      <c r="M403" s="21">
        <f>IF(OR($L403="",$J403=""),"",IF($J403&gt;0,ROUND($L403*Multa+$L403*Juros/30*$J403,2),0))</f>
        <v>0</v>
      </c>
      <c r="N403" s="22">
        <f>IF($L403="","",IF($L403&lt;=0.005,0,$L403+N($M403)))</f>
        <v>0</v>
      </c>
      <c r="O403" s="23">
        <f>IF(OR($I403="Vencido",$I403="Vencido (parcial)"),"Olá, "&amp;$A403&amp;"! Consta em aberto '"&amp;$B403&amp;"' com vencimento em "&amp;DAY($D403)&amp;"/"&amp;MONTH($D403)&amp;"/"&amp;YEAR($D403)&amp;", no valor de R$ "&amp;FIXED($N403,2)&amp;" (com multa e juros). Podemos ajudar a regularizar hoje? Obrigado!",IF($I403="Vence hoje","Olá, "&amp;$A403&amp;"! Lembrete: '"&amp;$B403&amp;"' vence hoje, no valor de R$ "&amp;FIXED($L403,2)&amp;". Obrigado!",""))</f>
        <v>0</v>
      </c>
    </row>
    <row r="404" spans="1:15">
      <c r="A404" s="13"/>
      <c r="B404" s="13"/>
      <c r="C404" s="17"/>
      <c r="D404" s="17"/>
      <c r="E404" s="18"/>
      <c r="F404" s="17"/>
      <c r="G404" s="18"/>
      <c r="H404" s="13"/>
      <c r="I404" s="19">
        <f>IF($E404="","",IF($L404&lt;=0.005,"Pago",IF($D404="","Sem vencimento",IF($D404&lt;Hoje,IF(N($G404)&gt;0,"Vencido (parcial)","Vencido"),IF($D404=Hoje,"Vence hoje","A vencer")))))</f>
        <v>0</v>
      </c>
      <c r="J404" s="20">
        <f>IF(OR($E404="",$D404=""),"",IF(AND($L404&gt;0.005,$D404&lt;Hoje),Hoje-$D404,0))</f>
        <v>0</v>
      </c>
      <c r="K404" s="20">
        <f>IF($J404="","",IF($L404&lt;=0.005,"Pago",IF($J404&lt;=0,"A vencer",IF($J404&lt;=15,"1-15 dias",IF($J404&lt;=30,"16-30 dias",IF($J404&lt;=60,"31-60 dias","Mais de 60 dias"))))))</f>
        <v>0</v>
      </c>
      <c r="L404" s="21">
        <f>IF($E404="","",MAX(0,$E404-N($G404)))</f>
        <v>0</v>
      </c>
      <c r="M404" s="21">
        <f>IF(OR($L404="",$J404=""),"",IF($J404&gt;0,ROUND($L404*Multa+$L404*Juros/30*$J404,2),0))</f>
        <v>0</v>
      </c>
      <c r="N404" s="22">
        <f>IF($L404="","",IF($L404&lt;=0.005,0,$L404+N($M404)))</f>
        <v>0</v>
      </c>
      <c r="O404" s="23">
        <f>IF(OR($I404="Vencido",$I404="Vencido (parcial)"),"Olá, "&amp;$A404&amp;"! Consta em aberto '"&amp;$B404&amp;"' com vencimento em "&amp;DAY($D404)&amp;"/"&amp;MONTH($D404)&amp;"/"&amp;YEAR($D404)&amp;", no valor de R$ "&amp;FIXED($N404,2)&amp;" (com multa e juros). Podemos ajudar a regularizar hoje? Obrigado!",IF($I404="Vence hoje","Olá, "&amp;$A404&amp;"! Lembrete: '"&amp;$B404&amp;"' vence hoje, no valor de R$ "&amp;FIXED($L404,2)&amp;". Obrigado!",""))</f>
        <v>0</v>
      </c>
    </row>
    <row r="405" spans="1:15">
      <c r="A405" s="13"/>
      <c r="B405" s="13"/>
      <c r="C405" s="17"/>
      <c r="D405" s="17"/>
      <c r="E405" s="18"/>
      <c r="F405" s="17"/>
      <c r="G405" s="18"/>
      <c r="H405" s="13"/>
      <c r="I405" s="19">
        <f>IF($E405="","",IF($L405&lt;=0.005,"Pago",IF($D405="","Sem vencimento",IF($D405&lt;Hoje,IF(N($G405)&gt;0,"Vencido (parcial)","Vencido"),IF($D405=Hoje,"Vence hoje","A vencer")))))</f>
        <v>0</v>
      </c>
      <c r="J405" s="20">
        <f>IF(OR($E405="",$D405=""),"",IF(AND($L405&gt;0.005,$D405&lt;Hoje),Hoje-$D405,0))</f>
        <v>0</v>
      </c>
      <c r="K405" s="20">
        <f>IF($J405="","",IF($L405&lt;=0.005,"Pago",IF($J405&lt;=0,"A vencer",IF($J405&lt;=15,"1-15 dias",IF($J405&lt;=30,"16-30 dias",IF($J405&lt;=60,"31-60 dias","Mais de 60 dias"))))))</f>
        <v>0</v>
      </c>
      <c r="L405" s="21">
        <f>IF($E405="","",MAX(0,$E405-N($G405)))</f>
        <v>0</v>
      </c>
      <c r="M405" s="21">
        <f>IF(OR($L405="",$J405=""),"",IF($J405&gt;0,ROUND($L405*Multa+$L405*Juros/30*$J405,2),0))</f>
        <v>0</v>
      </c>
      <c r="N405" s="22">
        <f>IF($L405="","",IF($L405&lt;=0.005,0,$L405+N($M405)))</f>
        <v>0</v>
      </c>
      <c r="O405" s="23">
        <f>IF(OR($I405="Vencido",$I405="Vencido (parcial)"),"Olá, "&amp;$A405&amp;"! Consta em aberto '"&amp;$B405&amp;"' com vencimento em "&amp;DAY($D405)&amp;"/"&amp;MONTH($D405)&amp;"/"&amp;YEAR($D405)&amp;", no valor de R$ "&amp;FIXED($N405,2)&amp;" (com multa e juros). Podemos ajudar a regularizar hoje? Obrigado!",IF($I405="Vence hoje","Olá, "&amp;$A405&amp;"! Lembrete: '"&amp;$B405&amp;"' vence hoje, no valor de R$ "&amp;FIXED($L405,2)&amp;". Obrigado!",""))</f>
        <v>0</v>
      </c>
    </row>
    <row r="406" spans="1:15">
      <c r="A406" s="13"/>
      <c r="B406" s="13"/>
      <c r="C406" s="17"/>
      <c r="D406" s="17"/>
      <c r="E406" s="18"/>
      <c r="F406" s="17"/>
      <c r="G406" s="18"/>
      <c r="H406" s="13"/>
      <c r="I406" s="19">
        <f>IF($E406="","",IF($L406&lt;=0.005,"Pago",IF($D406="","Sem vencimento",IF($D406&lt;Hoje,IF(N($G406)&gt;0,"Vencido (parcial)","Vencido"),IF($D406=Hoje,"Vence hoje","A vencer")))))</f>
        <v>0</v>
      </c>
      <c r="J406" s="20">
        <f>IF(OR($E406="",$D406=""),"",IF(AND($L406&gt;0.005,$D406&lt;Hoje),Hoje-$D406,0))</f>
        <v>0</v>
      </c>
      <c r="K406" s="20">
        <f>IF($J406="","",IF($L406&lt;=0.005,"Pago",IF($J406&lt;=0,"A vencer",IF($J406&lt;=15,"1-15 dias",IF($J406&lt;=30,"16-30 dias",IF($J406&lt;=60,"31-60 dias","Mais de 60 dias"))))))</f>
        <v>0</v>
      </c>
      <c r="L406" s="21">
        <f>IF($E406="","",MAX(0,$E406-N($G406)))</f>
        <v>0</v>
      </c>
      <c r="M406" s="21">
        <f>IF(OR($L406="",$J406=""),"",IF($J406&gt;0,ROUND($L406*Multa+$L406*Juros/30*$J406,2),0))</f>
        <v>0</v>
      </c>
      <c r="N406" s="22">
        <f>IF($L406="","",IF($L406&lt;=0.005,0,$L406+N($M406)))</f>
        <v>0</v>
      </c>
      <c r="O406" s="23">
        <f>IF(OR($I406="Vencido",$I406="Vencido (parcial)"),"Olá, "&amp;$A406&amp;"! Consta em aberto '"&amp;$B406&amp;"' com vencimento em "&amp;DAY($D406)&amp;"/"&amp;MONTH($D406)&amp;"/"&amp;YEAR($D406)&amp;", no valor de R$ "&amp;FIXED($N406,2)&amp;" (com multa e juros). Podemos ajudar a regularizar hoje? Obrigado!",IF($I406="Vence hoje","Olá, "&amp;$A406&amp;"! Lembrete: '"&amp;$B406&amp;"' vence hoje, no valor de R$ "&amp;FIXED($L406,2)&amp;". Obrigado!",""))</f>
        <v>0</v>
      </c>
    </row>
    <row r="407" spans="1:15">
      <c r="A407" s="13"/>
      <c r="B407" s="13"/>
      <c r="C407" s="17"/>
      <c r="D407" s="17"/>
      <c r="E407" s="18"/>
      <c r="F407" s="17"/>
      <c r="G407" s="18"/>
      <c r="H407" s="13"/>
      <c r="I407" s="19">
        <f>IF($E407="","",IF($L407&lt;=0.005,"Pago",IF($D407="","Sem vencimento",IF($D407&lt;Hoje,IF(N($G407)&gt;0,"Vencido (parcial)","Vencido"),IF($D407=Hoje,"Vence hoje","A vencer")))))</f>
        <v>0</v>
      </c>
      <c r="J407" s="20">
        <f>IF(OR($E407="",$D407=""),"",IF(AND($L407&gt;0.005,$D407&lt;Hoje),Hoje-$D407,0))</f>
        <v>0</v>
      </c>
      <c r="K407" s="20">
        <f>IF($J407="","",IF($L407&lt;=0.005,"Pago",IF($J407&lt;=0,"A vencer",IF($J407&lt;=15,"1-15 dias",IF($J407&lt;=30,"16-30 dias",IF($J407&lt;=60,"31-60 dias","Mais de 60 dias"))))))</f>
        <v>0</v>
      </c>
      <c r="L407" s="21">
        <f>IF($E407="","",MAX(0,$E407-N($G407)))</f>
        <v>0</v>
      </c>
      <c r="M407" s="21">
        <f>IF(OR($L407="",$J407=""),"",IF($J407&gt;0,ROUND($L407*Multa+$L407*Juros/30*$J407,2),0))</f>
        <v>0</v>
      </c>
      <c r="N407" s="22">
        <f>IF($L407="","",IF($L407&lt;=0.005,0,$L407+N($M407)))</f>
        <v>0</v>
      </c>
      <c r="O407" s="23">
        <f>IF(OR($I407="Vencido",$I407="Vencido (parcial)"),"Olá, "&amp;$A407&amp;"! Consta em aberto '"&amp;$B407&amp;"' com vencimento em "&amp;DAY($D407)&amp;"/"&amp;MONTH($D407)&amp;"/"&amp;YEAR($D407)&amp;", no valor de R$ "&amp;FIXED($N407,2)&amp;" (com multa e juros). Podemos ajudar a regularizar hoje? Obrigado!",IF($I407="Vence hoje","Olá, "&amp;$A407&amp;"! Lembrete: '"&amp;$B407&amp;"' vence hoje, no valor de R$ "&amp;FIXED($L407,2)&amp;". Obrigado!",""))</f>
        <v>0</v>
      </c>
    </row>
    <row r="408" spans="1:15">
      <c r="A408" s="13"/>
      <c r="B408" s="13"/>
      <c r="C408" s="17"/>
      <c r="D408" s="17"/>
      <c r="E408" s="18"/>
      <c r="F408" s="17"/>
      <c r="G408" s="18"/>
      <c r="H408" s="13"/>
      <c r="I408" s="19">
        <f>IF($E408="","",IF($L408&lt;=0.005,"Pago",IF($D408="","Sem vencimento",IF($D408&lt;Hoje,IF(N($G408)&gt;0,"Vencido (parcial)","Vencido"),IF($D408=Hoje,"Vence hoje","A vencer")))))</f>
        <v>0</v>
      </c>
      <c r="J408" s="20">
        <f>IF(OR($E408="",$D408=""),"",IF(AND($L408&gt;0.005,$D408&lt;Hoje),Hoje-$D408,0))</f>
        <v>0</v>
      </c>
      <c r="K408" s="20">
        <f>IF($J408="","",IF($L408&lt;=0.005,"Pago",IF($J408&lt;=0,"A vencer",IF($J408&lt;=15,"1-15 dias",IF($J408&lt;=30,"16-30 dias",IF($J408&lt;=60,"31-60 dias","Mais de 60 dias"))))))</f>
        <v>0</v>
      </c>
      <c r="L408" s="21">
        <f>IF($E408="","",MAX(0,$E408-N($G408)))</f>
        <v>0</v>
      </c>
      <c r="M408" s="21">
        <f>IF(OR($L408="",$J408=""),"",IF($J408&gt;0,ROUND($L408*Multa+$L408*Juros/30*$J408,2),0))</f>
        <v>0</v>
      </c>
      <c r="N408" s="22">
        <f>IF($L408="","",IF($L408&lt;=0.005,0,$L408+N($M408)))</f>
        <v>0</v>
      </c>
      <c r="O408" s="23">
        <f>IF(OR($I408="Vencido",$I408="Vencido (parcial)"),"Olá, "&amp;$A408&amp;"! Consta em aberto '"&amp;$B408&amp;"' com vencimento em "&amp;DAY($D408)&amp;"/"&amp;MONTH($D408)&amp;"/"&amp;YEAR($D408)&amp;", no valor de R$ "&amp;FIXED($N408,2)&amp;" (com multa e juros). Podemos ajudar a regularizar hoje? Obrigado!",IF($I408="Vence hoje","Olá, "&amp;$A408&amp;"! Lembrete: '"&amp;$B408&amp;"' vence hoje, no valor de R$ "&amp;FIXED($L408,2)&amp;". Obrigado!",""))</f>
        <v>0</v>
      </c>
    </row>
    <row r="409" spans="1:15">
      <c r="A409" s="13"/>
      <c r="B409" s="13"/>
      <c r="C409" s="17"/>
      <c r="D409" s="17"/>
      <c r="E409" s="18"/>
      <c r="F409" s="17"/>
      <c r="G409" s="18"/>
      <c r="H409" s="13"/>
      <c r="I409" s="19">
        <f>IF($E409="","",IF($L409&lt;=0.005,"Pago",IF($D409="","Sem vencimento",IF($D409&lt;Hoje,IF(N($G409)&gt;0,"Vencido (parcial)","Vencido"),IF($D409=Hoje,"Vence hoje","A vencer")))))</f>
        <v>0</v>
      </c>
      <c r="J409" s="20">
        <f>IF(OR($E409="",$D409=""),"",IF(AND($L409&gt;0.005,$D409&lt;Hoje),Hoje-$D409,0))</f>
        <v>0</v>
      </c>
      <c r="K409" s="20">
        <f>IF($J409="","",IF($L409&lt;=0.005,"Pago",IF($J409&lt;=0,"A vencer",IF($J409&lt;=15,"1-15 dias",IF($J409&lt;=30,"16-30 dias",IF($J409&lt;=60,"31-60 dias","Mais de 60 dias"))))))</f>
        <v>0</v>
      </c>
      <c r="L409" s="21">
        <f>IF($E409="","",MAX(0,$E409-N($G409)))</f>
        <v>0</v>
      </c>
      <c r="M409" s="21">
        <f>IF(OR($L409="",$J409=""),"",IF($J409&gt;0,ROUND($L409*Multa+$L409*Juros/30*$J409,2),0))</f>
        <v>0</v>
      </c>
      <c r="N409" s="22">
        <f>IF($L409="","",IF($L409&lt;=0.005,0,$L409+N($M409)))</f>
        <v>0</v>
      </c>
      <c r="O409" s="23">
        <f>IF(OR($I409="Vencido",$I409="Vencido (parcial)"),"Olá, "&amp;$A409&amp;"! Consta em aberto '"&amp;$B409&amp;"' com vencimento em "&amp;DAY($D409)&amp;"/"&amp;MONTH($D409)&amp;"/"&amp;YEAR($D409)&amp;", no valor de R$ "&amp;FIXED($N409,2)&amp;" (com multa e juros). Podemos ajudar a regularizar hoje? Obrigado!",IF($I409="Vence hoje","Olá, "&amp;$A409&amp;"! Lembrete: '"&amp;$B409&amp;"' vence hoje, no valor de R$ "&amp;FIXED($L409,2)&amp;". Obrigado!",""))</f>
        <v>0</v>
      </c>
    </row>
    <row r="410" spans="1:15">
      <c r="A410" s="13"/>
      <c r="B410" s="13"/>
      <c r="C410" s="17"/>
      <c r="D410" s="17"/>
      <c r="E410" s="18"/>
      <c r="F410" s="17"/>
      <c r="G410" s="18"/>
      <c r="H410" s="13"/>
      <c r="I410" s="19">
        <f>IF($E410="","",IF($L410&lt;=0.005,"Pago",IF($D410="","Sem vencimento",IF($D410&lt;Hoje,IF(N($G410)&gt;0,"Vencido (parcial)","Vencido"),IF($D410=Hoje,"Vence hoje","A vencer")))))</f>
        <v>0</v>
      </c>
      <c r="J410" s="20">
        <f>IF(OR($E410="",$D410=""),"",IF(AND($L410&gt;0.005,$D410&lt;Hoje),Hoje-$D410,0))</f>
        <v>0</v>
      </c>
      <c r="K410" s="20">
        <f>IF($J410="","",IF($L410&lt;=0.005,"Pago",IF($J410&lt;=0,"A vencer",IF($J410&lt;=15,"1-15 dias",IF($J410&lt;=30,"16-30 dias",IF($J410&lt;=60,"31-60 dias","Mais de 60 dias"))))))</f>
        <v>0</v>
      </c>
      <c r="L410" s="21">
        <f>IF($E410="","",MAX(0,$E410-N($G410)))</f>
        <v>0</v>
      </c>
      <c r="M410" s="21">
        <f>IF(OR($L410="",$J410=""),"",IF($J410&gt;0,ROUND($L410*Multa+$L410*Juros/30*$J410,2),0))</f>
        <v>0</v>
      </c>
      <c r="N410" s="22">
        <f>IF($L410="","",IF($L410&lt;=0.005,0,$L410+N($M410)))</f>
        <v>0</v>
      </c>
      <c r="O410" s="23">
        <f>IF(OR($I410="Vencido",$I410="Vencido (parcial)"),"Olá, "&amp;$A410&amp;"! Consta em aberto '"&amp;$B410&amp;"' com vencimento em "&amp;DAY($D410)&amp;"/"&amp;MONTH($D410)&amp;"/"&amp;YEAR($D410)&amp;", no valor de R$ "&amp;FIXED($N410,2)&amp;" (com multa e juros). Podemos ajudar a regularizar hoje? Obrigado!",IF($I410="Vence hoje","Olá, "&amp;$A410&amp;"! Lembrete: '"&amp;$B410&amp;"' vence hoje, no valor de R$ "&amp;FIXED($L410,2)&amp;". Obrigado!",""))</f>
        <v>0</v>
      </c>
    </row>
    <row r="411" spans="1:15">
      <c r="A411" s="13"/>
      <c r="B411" s="13"/>
      <c r="C411" s="17"/>
      <c r="D411" s="17"/>
      <c r="E411" s="18"/>
      <c r="F411" s="17"/>
      <c r="G411" s="18"/>
      <c r="H411" s="13"/>
      <c r="I411" s="19">
        <f>IF($E411="","",IF($L411&lt;=0.005,"Pago",IF($D411="","Sem vencimento",IF($D411&lt;Hoje,IF(N($G411)&gt;0,"Vencido (parcial)","Vencido"),IF($D411=Hoje,"Vence hoje","A vencer")))))</f>
        <v>0</v>
      </c>
      <c r="J411" s="20">
        <f>IF(OR($E411="",$D411=""),"",IF(AND($L411&gt;0.005,$D411&lt;Hoje),Hoje-$D411,0))</f>
        <v>0</v>
      </c>
      <c r="K411" s="20">
        <f>IF($J411="","",IF($L411&lt;=0.005,"Pago",IF($J411&lt;=0,"A vencer",IF($J411&lt;=15,"1-15 dias",IF($J411&lt;=30,"16-30 dias",IF($J411&lt;=60,"31-60 dias","Mais de 60 dias"))))))</f>
        <v>0</v>
      </c>
      <c r="L411" s="21">
        <f>IF($E411="","",MAX(0,$E411-N($G411)))</f>
        <v>0</v>
      </c>
      <c r="M411" s="21">
        <f>IF(OR($L411="",$J411=""),"",IF($J411&gt;0,ROUND($L411*Multa+$L411*Juros/30*$J411,2),0))</f>
        <v>0</v>
      </c>
      <c r="N411" s="22">
        <f>IF($L411="","",IF($L411&lt;=0.005,0,$L411+N($M411)))</f>
        <v>0</v>
      </c>
      <c r="O411" s="23">
        <f>IF(OR($I411="Vencido",$I411="Vencido (parcial)"),"Olá, "&amp;$A411&amp;"! Consta em aberto '"&amp;$B411&amp;"' com vencimento em "&amp;DAY($D411)&amp;"/"&amp;MONTH($D411)&amp;"/"&amp;YEAR($D411)&amp;", no valor de R$ "&amp;FIXED($N411,2)&amp;" (com multa e juros). Podemos ajudar a regularizar hoje? Obrigado!",IF($I411="Vence hoje","Olá, "&amp;$A411&amp;"! Lembrete: '"&amp;$B411&amp;"' vence hoje, no valor de R$ "&amp;FIXED($L411,2)&amp;". Obrigado!",""))</f>
        <v>0</v>
      </c>
    </row>
    <row r="412" spans="1:15">
      <c r="A412" s="13"/>
      <c r="B412" s="13"/>
      <c r="C412" s="17"/>
      <c r="D412" s="17"/>
      <c r="E412" s="18"/>
      <c r="F412" s="17"/>
      <c r="G412" s="18"/>
      <c r="H412" s="13"/>
      <c r="I412" s="19">
        <f>IF($E412="","",IF($L412&lt;=0.005,"Pago",IF($D412="","Sem vencimento",IF($D412&lt;Hoje,IF(N($G412)&gt;0,"Vencido (parcial)","Vencido"),IF($D412=Hoje,"Vence hoje","A vencer")))))</f>
        <v>0</v>
      </c>
      <c r="J412" s="20">
        <f>IF(OR($E412="",$D412=""),"",IF(AND($L412&gt;0.005,$D412&lt;Hoje),Hoje-$D412,0))</f>
        <v>0</v>
      </c>
      <c r="K412" s="20">
        <f>IF($J412="","",IF($L412&lt;=0.005,"Pago",IF($J412&lt;=0,"A vencer",IF($J412&lt;=15,"1-15 dias",IF($J412&lt;=30,"16-30 dias",IF($J412&lt;=60,"31-60 dias","Mais de 60 dias"))))))</f>
        <v>0</v>
      </c>
      <c r="L412" s="21">
        <f>IF($E412="","",MAX(0,$E412-N($G412)))</f>
        <v>0</v>
      </c>
      <c r="M412" s="21">
        <f>IF(OR($L412="",$J412=""),"",IF($J412&gt;0,ROUND($L412*Multa+$L412*Juros/30*$J412,2),0))</f>
        <v>0</v>
      </c>
      <c r="N412" s="22">
        <f>IF($L412="","",IF($L412&lt;=0.005,0,$L412+N($M412)))</f>
        <v>0</v>
      </c>
      <c r="O412" s="23">
        <f>IF(OR($I412="Vencido",$I412="Vencido (parcial)"),"Olá, "&amp;$A412&amp;"! Consta em aberto '"&amp;$B412&amp;"' com vencimento em "&amp;DAY($D412)&amp;"/"&amp;MONTH($D412)&amp;"/"&amp;YEAR($D412)&amp;", no valor de R$ "&amp;FIXED($N412,2)&amp;" (com multa e juros). Podemos ajudar a regularizar hoje? Obrigado!",IF($I412="Vence hoje","Olá, "&amp;$A412&amp;"! Lembrete: '"&amp;$B412&amp;"' vence hoje, no valor de R$ "&amp;FIXED($L412,2)&amp;". Obrigado!",""))</f>
        <v>0</v>
      </c>
    </row>
    <row r="413" spans="1:15">
      <c r="A413" s="13"/>
      <c r="B413" s="13"/>
      <c r="C413" s="17"/>
      <c r="D413" s="17"/>
      <c r="E413" s="18"/>
      <c r="F413" s="17"/>
      <c r="G413" s="18"/>
      <c r="H413" s="13"/>
      <c r="I413" s="19">
        <f>IF($E413="","",IF($L413&lt;=0.005,"Pago",IF($D413="","Sem vencimento",IF($D413&lt;Hoje,IF(N($G413)&gt;0,"Vencido (parcial)","Vencido"),IF($D413=Hoje,"Vence hoje","A vencer")))))</f>
        <v>0</v>
      </c>
      <c r="J413" s="20">
        <f>IF(OR($E413="",$D413=""),"",IF(AND($L413&gt;0.005,$D413&lt;Hoje),Hoje-$D413,0))</f>
        <v>0</v>
      </c>
      <c r="K413" s="20">
        <f>IF($J413="","",IF($L413&lt;=0.005,"Pago",IF($J413&lt;=0,"A vencer",IF($J413&lt;=15,"1-15 dias",IF($J413&lt;=30,"16-30 dias",IF($J413&lt;=60,"31-60 dias","Mais de 60 dias"))))))</f>
        <v>0</v>
      </c>
      <c r="L413" s="21">
        <f>IF($E413="","",MAX(0,$E413-N($G413)))</f>
        <v>0</v>
      </c>
      <c r="M413" s="21">
        <f>IF(OR($L413="",$J413=""),"",IF($J413&gt;0,ROUND($L413*Multa+$L413*Juros/30*$J413,2),0))</f>
        <v>0</v>
      </c>
      <c r="N413" s="22">
        <f>IF($L413="","",IF($L413&lt;=0.005,0,$L413+N($M413)))</f>
        <v>0</v>
      </c>
      <c r="O413" s="23">
        <f>IF(OR($I413="Vencido",$I413="Vencido (parcial)"),"Olá, "&amp;$A413&amp;"! Consta em aberto '"&amp;$B413&amp;"' com vencimento em "&amp;DAY($D413)&amp;"/"&amp;MONTH($D413)&amp;"/"&amp;YEAR($D413)&amp;", no valor de R$ "&amp;FIXED($N413,2)&amp;" (com multa e juros). Podemos ajudar a regularizar hoje? Obrigado!",IF($I413="Vence hoje","Olá, "&amp;$A413&amp;"! Lembrete: '"&amp;$B413&amp;"' vence hoje, no valor de R$ "&amp;FIXED($L413,2)&amp;". Obrigado!",""))</f>
        <v>0</v>
      </c>
    </row>
    <row r="414" spans="1:15">
      <c r="A414" s="13"/>
      <c r="B414" s="13"/>
      <c r="C414" s="17"/>
      <c r="D414" s="17"/>
      <c r="E414" s="18"/>
      <c r="F414" s="17"/>
      <c r="G414" s="18"/>
      <c r="H414" s="13"/>
      <c r="I414" s="19">
        <f>IF($E414="","",IF($L414&lt;=0.005,"Pago",IF($D414="","Sem vencimento",IF($D414&lt;Hoje,IF(N($G414)&gt;0,"Vencido (parcial)","Vencido"),IF($D414=Hoje,"Vence hoje","A vencer")))))</f>
        <v>0</v>
      </c>
      <c r="J414" s="20">
        <f>IF(OR($E414="",$D414=""),"",IF(AND($L414&gt;0.005,$D414&lt;Hoje),Hoje-$D414,0))</f>
        <v>0</v>
      </c>
      <c r="K414" s="20">
        <f>IF($J414="","",IF($L414&lt;=0.005,"Pago",IF($J414&lt;=0,"A vencer",IF($J414&lt;=15,"1-15 dias",IF($J414&lt;=30,"16-30 dias",IF($J414&lt;=60,"31-60 dias","Mais de 60 dias"))))))</f>
        <v>0</v>
      </c>
      <c r="L414" s="21">
        <f>IF($E414="","",MAX(0,$E414-N($G414)))</f>
        <v>0</v>
      </c>
      <c r="M414" s="21">
        <f>IF(OR($L414="",$J414=""),"",IF($J414&gt;0,ROUND($L414*Multa+$L414*Juros/30*$J414,2),0))</f>
        <v>0</v>
      </c>
      <c r="N414" s="22">
        <f>IF($L414="","",IF($L414&lt;=0.005,0,$L414+N($M414)))</f>
        <v>0</v>
      </c>
      <c r="O414" s="23">
        <f>IF(OR($I414="Vencido",$I414="Vencido (parcial)"),"Olá, "&amp;$A414&amp;"! Consta em aberto '"&amp;$B414&amp;"' com vencimento em "&amp;DAY($D414)&amp;"/"&amp;MONTH($D414)&amp;"/"&amp;YEAR($D414)&amp;", no valor de R$ "&amp;FIXED($N414,2)&amp;" (com multa e juros). Podemos ajudar a regularizar hoje? Obrigado!",IF($I414="Vence hoje","Olá, "&amp;$A414&amp;"! Lembrete: '"&amp;$B414&amp;"' vence hoje, no valor de R$ "&amp;FIXED($L414,2)&amp;". Obrigado!",""))</f>
        <v>0</v>
      </c>
    </row>
    <row r="415" spans="1:15">
      <c r="A415" s="13"/>
      <c r="B415" s="13"/>
      <c r="C415" s="17"/>
      <c r="D415" s="17"/>
      <c r="E415" s="18"/>
      <c r="F415" s="17"/>
      <c r="G415" s="18"/>
      <c r="H415" s="13"/>
      <c r="I415" s="19">
        <f>IF($E415="","",IF($L415&lt;=0.005,"Pago",IF($D415="","Sem vencimento",IF($D415&lt;Hoje,IF(N($G415)&gt;0,"Vencido (parcial)","Vencido"),IF($D415=Hoje,"Vence hoje","A vencer")))))</f>
        <v>0</v>
      </c>
      <c r="J415" s="20">
        <f>IF(OR($E415="",$D415=""),"",IF(AND($L415&gt;0.005,$D415&lt;Hoje),Hoje-$D415,0))</f>
        <v>0</v>
      </c>
      <c r="K415" s="20">
        <f>IF($J415="","",IF($L415&lt;=0.005,"Pago",IF($J415&lt;=0,"A vencer",IF($J415&lt;=15,"1-15 dias",IF($J415&lt;=30,"16-30 dias",IF($J415&lt;=60,"31-60 dias","Mais de 60 dias"))))))</f>
        <v>0</v>
      </c>
      <c r="L415" s="21">
        <f>IF($E415="","",MAX(0,$E415-N($G415)))</f>
        <v>0</v>
      </c>
      <c r="M415" s="21">
        <f>IF(OR($L415="",$J415=""),"",IF($J415&gt;0,ROUND($L415*Multa+$L415*Juros/30*$J415,2),0))</f>
        <v>0</v>
      </c>
      <c r="N415" s="22">
        <f>IF($L415="","",IF($L415&lt;=0.005,0,$L415+N($M415)))</f>
        <v>0</v>
      </c>
      <c r="O415" s="23">
        <f>IF(OR($I415="Vencido",$I415="Vencido (parcial)"),"Olá, "&amp;$A415&amp;"! Consta em aberto '"&amp;$B415&amp;"' com vencimento em "&amp;DAY($D415)&amp;"/"&amp;MONTH($D415)&amp;"/"&amp;YEAR($D415)&amp;", no valor de R$ "&amp;FIXED($N415,2)&amp;" (com multa e juros). Podemos ajudar a regularizar hoje? Obrigado!",IF($I415="Vence hoje","Olá, "&amp;$A415&amp;"! Lembrete: '"&amp;$B415&amp;"' vence hoje, no valor de R$ "&amp;FIXED($L415,2)&amp;". Obrigado!",""))</f>
        <v>0</v>
      </c>
    </row>
    <row r="416" spans="1:15">
      <c r="A416" s="13"/>
      <c r="B416" s="13"/>
      <c r="C416" s="17"/>
      <c r="D416" s="17"/>
      <c r="E416" s="18"/>
      <c r="F416" s="17"/>
      <c r="G416" s="18"/>
      <c r="H416" s="13"/>
      <c r="I416" s="19">
        <f>IF($E416="","",IF($L416&lt;=0.005,"Pago",IF($D416="","Sem vencimento",IF($D416&lt;Hoje,IF(N($G416)&gt;0,"Vencido (parcial)","Vencido"),IF($D416=Hoje,"Vence hoje","A vencer")))))</f>
        <v>0</v>
      </c>
      <c r="J416" s="20">
        <f>IF(OR($E416="",$D416=""),"",IF(AND($L416&gt;0.005,$D416&lt;Hoje),Hoje-$D416,0))</f>
        <v>0</v>
      </c>
      <c r="K416" s="20">
        <f>IF($J416="","",IF($L416&lt;=0.005,"Pago",IF($J416&lt;=0,"A vencer",IF($J416&lt;=15,"1-15 dias",IF($J416&lt;=30,"16-30 dias",IF($J416&lt;=60,"31-60 dias","Mais de 60 dias"))))))</f>
        <v>0</v>
      </c>
      <c r="L416" s="21">
        <f>IF($E416="","",MAX(0,$E416-N($G416)))</f>
        <v>0</v>
      </c>
      <c r="M416" s="21">
        <f>IF(OR($L416="",$J416=""),"",IF($J416&gt;0,ROUND($L416*Multa+$L416*Juros/30*$J416,2),0))</f>
        <v>0</v>
      </c>
      <c r="N416" s="22">
        <f>IF($L416="","",IF($L416&lt;=0.005,0,$L416+N($M416)))</f>
        <v>0</v>
      </c>
      <c r="O416" s="23">
        <f>IF(OR($I416="Vencido",$I416="Vencido (parcial)"),"Olá, "&amp;$A416&amp;"! Consta em aberto '"&amp;$B416&amp;"' com vencimento em "&amp;DAY($D416)&amp;"/"&amp;MONTH($D416)&amp;"/"&amp;YEAR($D416)&amp;", no valor de R$ "&amp;FIXED($N416,2)&amp;" (com multa e juros). Podemos ajudar a regularizar hoje? Obrigado!",IF($I416="Vence hoje","Olá, "&amp;$A416&amp;"! Lembrete: '"&amp;$B416&amp;"' vence hoje, no valor de R$ "&amp;FIXED($L416,2)&amp;". Obrigado!",""))</f>
        <v>0</v>
      </c>
    </row>
    <row r="417" spans="1:15">
      <c r="A417" s="13"/>
      <c r="B417" s="13"/>
      <c r="C417" s="17"/>
      <c r="D417" s="17"/>
      <c r="E417" s="18"/>
      <c r="F417" s="17"/>
      <c r="G417" s="18"/>
      <c r="H417" s="13"/>
      <c r="I417" s="19">
        <f>IF($E417="","",IF($L417&lt;=0.005,"Pago",IF($D417="","Sem vencimento",IF($D417&lt;Hoje,IF(N($G417)&gt;0,"Vencido (parcial)","Vencido"),IF($D417=Hoje,"Vence hoje","A vencer")))))</f>
        <v>0</v>
      </c>
      <c r="J417" s="20">
        <f>IF(OR($E417="",$D417=""),"",IF(AND($L417&gt;0.005,$D417&lt;Hoje),Hoje-$D417,0))</f>
        <v>0</v>
      </c>
      <c r="K417" s="20">
        <f>IF($J417="","",IF($L417&lt;=0.005,"Pago",IF($J417&lt;=0,"A vencer",IF($J417&lt;=15,"1-15 dias",IF($J417&lt;=30,"16-30 dias",IF($J417&lt;=60,"31-60 dias","Mais de 60 dias"))))))</f>
        <v>0</v>
      </c>
      <c r="L417" s="21">
        <f>IF($E417="","",MAX(0,$E417-N($G417)))</f>
        <v>0</v>
      </c>
      <c r="M417" s="21">
        <f>IF(OR($L417="",$J417=""),"",IF($J417&gt;0,ROUND($L417*Multa+$L417*Juros/30*$J417,2),0))</f>
        <v>0</v>
      </c>
      <c r="N417" s="22">
        <f>IF($L417="","",IF($L417&lt;=0.005,0,$L417+N($M417)))</f>
        <v>0</v>
      </c>
      <c r="O417" s="23">
        <f>IF(OR($I417="Vencido",$I417="Vencido (parcial)"),"Olá, "&amp;$A417&amp;"! Consta em aberto '"&amp;$B417&amp;"' com vencimento em "&amp;DAY($D417)&amp;"/"&amp;MONTH($D417)&amp;"/"&amp;YEAR($D417)&amp;", no valor de R$ "&amp;FIXED($N417,2)&amp;" (com multa e juros). Podemos ajudar a regularizar hoje? Obrigado!",IF($I417="Vence hoje","Olá, "&amp;$A417&amp;"! Lembrete: '"&amp;$B417&amp;"' vence hoje, no valor de R$ "&amp;FIXED($L417,2)&amp;". Obrigado!",""))</f>
        <v>0</v>
      </c>
    </row>
    <row r="418" spans="1:15">
      <c r="A418" s="13"/>
      <c r="B418" s="13"/>
      <c r="C418" s="17"/>
      <c r="D418" s="17"/>
      <c r="E418" s="18"/>
      <c r="F418" s="17"/>
      <c r="G418" s="18"/>
      <c r="H418" s="13"/>
      <c r="I418" s="19">
        <f>IF($E418="","",IF($L418&lt;=0.005,"Pago",IF($D418="","Sem vencimento",IF($D418&lt;Hoje,IF(N($G418)&gt;0,"Vencido (parcial)","Vencido"),IF($D418=Hoje,"Vence hoje","A vencer")))))</f>
        <v>0</v>
      </c>
      <c r="J418" s="20">
        <f>IF(OR($E418="",$D418=""),"",IF(AND($L418&gt;0.005,$D418&lt;Hoje),Hoje-$D418,0))</f>
        <v>0</v>
      </c>
      <c r="K418" s="20">
        <f>IF($J418="","",IF($L418&lt;=0.005,"Pago",IF($J418&lt;=0,"A vencer",IF($J418&lt;=15,"1-15 dias",IF($J418&lt;=30,"16-30 dias",IF($J418&lt;=60,"31-60 dias","Mais de 60 dias"))))))</f>
        <v>0</v>
      </c>
      <c r="L418" s="21">
        <f>IF($E418="","",MAX(0,$E418-N($G418)))</f>
        <v>0</v>
      </c>
      <c r="M418" s="21">
        <f>IF(OR($L418="",$J418=""),"",IF($J418&gt;0,ROUND($L418*Multa+$L418*Juros/30*$J418,2),0))</f>
        <v>0</v>
      </c>
      <c r="N418" s="22">
        <f>IF($L418="","",IF($L418&lt;=0.005,0,$L418+N($M418)))</f>
        <v>0</v>
      </c>
      <c r="O418" s="23">
        <f>IF(OR($I418="Vencido",$I418="Vencido (parcial)"),"Olá, "&amp;$A418&amp;"! Consta em aberto '"&amp;$B418&amp;"' com vencimento em "&amp;DAY($D418)&amp;"/"&amp;MONTH($D418)&amp;"/"&amp;YEAR($D418)&amp;", no valor de R$ "&amp;FIXED($N418,2)&amp;" (com multa e juros). Podemos ajudar a regularizar hoje? Obrigado!",IF($I418="Vence hoje","Olá, "&amp;$A418&amp;"! Lembrete: '"&amp;$B418&amp;"' vence hoje, no valor de R$ "&amp;FIXED($L418,2)&amp;". Obrigado!",""))</f>
        <v>0</v>
      </c>
    </row>
    <row r="419" spans="1:15">
      <c r="A419" s="13"/>
      <c r="B419" s="13"/>
      <c r="C419" s="17"/>
      <c r="D419" s="17"/>
      <c r="E419" s="18"/>
      <c r="F419" s="17"/>
      <c r="G419" s="18"/>
      <c r="H419" s="13"/>
      <c r="I419" s="19">
        <f>IF($E419="","",IF($L419&lt;=0.005,"Pago",IF($D419="","Sem vencimento",IF($D419&lt;Hoje,IF(N($G419)&gt;0,"Vencido (parcial)","Vencido"),IF($D419=Hoje,"Vence hoje","A vencer")))))</f>
        <v>0</v>
      </c>
      <c r="J419" s="20">
        <f>IF(OR($E419="",$D419=""),"",IF(AND($L419&gt;0.005,$D419&lt;Hoje),Hoje-$D419,0))</f>
        <v>0</v>
      </c>
      <c r="K419" s="20">
        <f>IF($J419="","",IF($L419&lt;=0.005,"Pago",IF($J419&lt;=0,"A vencer",IF($J419&lt;=15,"1-15 dias",IF($J419&lt;=30,"16-30 dias",IF($J419&lt;=60,"31-60 dias","Mais de 60 dias"))))))</f>
        <v>0</v>
      </c>
      <c r="L419" s="21">
        <f>IF($E419="","",MAX(0,$E419-N($G419)))</f>
        <v>0</v>
      </c>
      <c r="M419" s="21">
        <f>IF(OR($L419="",$J419=""),"",IF($J419&gt;0,ROUND($L419*Multa+$L419*Juros/30*$J419,2),0))</f>
        <v>0</v>
      </c>
      <c r="N419" s="22">
        <f>IF($L419="","",IF($L419&lt;=0.005,0,$L419+N($M419)))</f>
        <v>0</v>
      </c>
      <c r="O419" s="23">
        <f>IF(OR($I419="Vencido",$I419="Vencido (parcial)"),"Olá, "&amp;$A419&amp;"! Consta em aberto '"&amp;$B419&amp;"' com vencimento em "&amp;DAY($D419)&amp;"/"&amp;MONTH($D419)&amp;"/"&amp;YEAR($D419)&amp;", no valor de R$ "&amp;FIXED($N419,2)&amp;" (com multa e juros). Podemos ajudar a regularizar hoje? Obrigado!",IF($I419="Vence hoje","Olá, "&amp;$A419&amp;"! Lembrete: '"&amp;$B419&amp;"' vence hoje, no valor de R$ "&amp;FIXED($L419,2)&amp;". Obrigado!",""))</f>
        <v>0</v>
      </c>
    </row>
    <row r="420" spans="1:15">
      <c r="A420" s="13"/>
      <c r="B420" s="13"/>
      <c r="C420" s="17"/>
      <c r="D420" s="17"/>
      <c r="E420" s="18"/>
      <c r="F420" s="17"/>
      <c r="G420" s="18"/>
      <c r="H420" s="13"/>
      <c r="I420" s="19">
        <f>IF($E420="","",IF($L420&lt;=0.005,"Pago",IF($D420="","Sem vencimento",IF($D420&lt;Hoje,IF(N($G420)&gt;0,"Vencido (parcial)","Vencido"),IF($D420=Hoje,"Vence hoje","A vencer")))))</f>
        <v>0</v>
      </c>
      <c r="J420" s="20">
        <f>IF(OR($E420="",$D420=""),"",IF(AND($L420&gt;0.005,$D420&lt;Hoje),Hoje-$D420,0))</f>
        <v>0</v>
      </c>
      <c r="K420" s="20">
        <f>IF($J420="","",IF($L420&lt;=0.005,"Pago",IF($J420&lt;=0,"A vencer",IF($J420&lt;=15,"1-15 dias",IF($J420&lt;=30,"16-30 dias",IF($J420&lt;=60,"31-60 dias","Mais de 60 dias"))))))</f>
        <v>0</v>
      </c>
      <c r="L420" s="21">
        <f>IF($E420="","",MAX(0,$E420-N($G420)))</f>
        <v>0</v>
      </c>
      <c r="M420" s="21">
        <f>IF(OR($L420="",$J420=""),"",IF($J420&gt;0,ROUND($L420*Multa+$L420*Juros/30*$J420,2),0))</f>
        <v>0</v>
      </c>
      <c r="N420" s="22">
        <f>IF($L420="","",IF($L420&lt;=0.005,0,$L420+N($M420)))</f>
        <v>0</v>
      </c>
      <c r="O420" s="23">
        <f>IF(OR($I420="Vencido",$I420="Vencido (parcial)"),"Olá, "&amp;$A420&amp;"! Consta em aberto '"&amp;$B420&amp;"' com vencimento em "&amp;DAY($D420)&amp;"/"&amp;MONTH($D420)&amp;"/"&amp;YEAR($D420)&amp;", no valor de R$ "&amp;FIXED($N420,2)&amp;" (com multa e juros). Podemos ajudar a regularizar hoje? Obrigado!",IF($I420="Vence hoje","Olá, "&amp;$A420&amp;"! Lembrete: '"&amp;$B420&amp;"' vence hoje, no valor de R$ "&amp;FIXED($L420,2)&amp;". Obrigado!",""))</f>
        <v>0</v>
      </c>
    </row>
    <row r="421" spans="1:15">
      <c r="A421" s="13"/>
      <c r="B421" s="13"/>
      <c r="C421" s="17"/>
      <c r="D421" s="17"/>
      <c r="E421" s="18"/>
      <c r="F421" s="17"/>
      <c r="G421" s="18"/>
      <c r="H421" s="13"/>
      <c r="I421" s="19">
        <f>IF($E421="","",IF($L421&lt;=0.005,"Pago",IF($D421="","Sem vencimento",IF($D421&lt;Hoje,IF(N($G421)&gt;0,"Vencido (parcial)","Vencido"),IF($D421=Hoje,"Vence hoje","A vencer")))))</f>
        <v>0</v>
      </c>
      <c r="J421" s="20">
        <f>IF(OR($E421="",$D421=""),"",IF(AND($L421&gt;0.005,$D421&lt;Hoje),Hoje-$D421,0))</f>
        <v>0</v>
      </c>
      <c r="K421" s="20">
        <f>IF($J421="","",IF($L421&lt;=0.005,"Pago",IF($J421&lt;=0,"A vencer",IF($J421&lt;=15,"1-15 dias",IF($J421&lt;=30,"16-30 dias",IF($J421&lt;=60,"31-60 dias","Mais de 60 dias"))))))</f>
        <v>0</v>
      </c>
      <c r="L421" s="21">
        <f>IF($E421="","",MAX(0,$E421-N($G421)))</f>
        <v>0</v>
      </c>
      <c r="M421" s="21">
        <f>IF(OR($L421="",$J421=""),"",IF($J421&gt;0,ROUND($L421*Multa+$L421*Juros/30*$J421,2),0))</f>
        <v>0</v>
      </c>
      <c r="N421" s="22">
        <f>IF($L421="","",IF($L421&lt;=0.005,0,$L421+N($M421)))</f>
        <v>0</v>
      </c>
      <c r="O421" s="23">
        <f>IF(OR($I421="Vencido",$I421="Vencido (parcial)"),"Olá, "&amp;$A421&amp;"! Consta em aberto '"&amp;$B421&amp;"' com vencimento em "&amp;DAY($D421)&amp;"/"&amp;MONTH($D421)&amp;"/"&amp;YEAR($D421)&amp;", no valor de R$ "&amp;FIXED($N421,2)&amp;" (com multa e juros). Podemos ajudar a regularizar hoje? Obrigado!",IF($I421="Vence hoje","Olá, "&amp;$A421&amp;"! Lembrete: '"&amp;$B421&amp;"' vence hoje, no valor de R$ "&amp;FIXED($L421,2)&amp;". Obrigado!",""))</f>
        <v>0</v>
      </c>
    </row>
    <row r="422" spans="1:15">
      <c r="A422" s="13"/>
      <c r="B422" s="13"/>
      <c r="C422" s="17"/>
      <c r="D422" s="17"/>
      <c r="E422" s="18"/>
      <c r="F422" s="17"/>
      <c r="G422" s="18"/>
      <c r="H422" s="13"/>
      <c r="I422" s="19">
        <f>IF($E422="","",IF($L422&lt;=0.005,"Pago",IF($D422="","Sem vencimento",IF($D422&lt;Hoje,IF(N($G422)&gt;0,"Vencido (parcial)","Vencido"),IF($D422=Hoje,"Vence hoje","A vencer")))))</f>
        <v>0</v>
      </c>
      <c r="J422" s="20">
        <f>IF(OR($E422="",$D422=""),"",IF(AND($L422&gt;0.005,$D422&lt;Hoje),Hoje-$D422,0))</f>
        <v>0</v>
      </c>
      <c r="K422" s="20">
        <f>IF($J422="","",IF($L422&lt;=0.005,"Pago",IF($J422&lt;=0,"A vencer",IF($J422&lt;=15,"1-15 dias",IF($J422&lt;=30,"16-30 dias",IF($J422&lt;=60,"31-60 dias","Mais de 60 dias"))))))</f>
        <v>0</v>
      </c>
      <c r="L422" s="21">
        <f>IF($E422="","",MAX(0,$E422-N($G422)))</f>
        <v>0</v>
      </c>
      <c r="M422" s="21">
        <f>IF(OR($L422="",$J422=""),"",IF($J422&gt;0,ROUND($L422*Multa+$L422*Juros/30*$J422,2),0))</f>
        <v>0</v>
      </c>
      <c r="N422" s="22">
        <f>IF($L422="","",IF($L422&lt;=0.005,0,$L422+N($M422)))</f>
        <v>0</v>
      </c>
      <c r="O422" s="23">
        <f>IF(OR($I422="Vencido",$I422="Vencido (parcial)"),"Olá, "&amp;$A422&amp;"! Consta em aberto '"&amp;$B422&amp;"' com vencimento em "&amp;DAY($D422)&amp;"/"&amp;MONTH($D422)&amp;"/"&amp;YEAR($D422)&amp;", no valor de R$ "&amp;FIXED($N422,2)&amp;" (com multa e juros). Podemos ajudar a regularizar hoje? Obrigado!",IF($I422="Vence hoje","Olá, "&amp;$A422&amp;"! Lembrete: '"&amp;$B422&amp;"' vence hoje, no valor de R$ "&amp;FIXED($L422,2)&amp;". Obrigado!",""))</f>
        <v>0</v>
      </c>
    </row>
    <row r="423" spans="1:15">
      <c r="A423" s="13"/>
      <c r="B423" s="13"/>
      <c r="C423" s="17"/>
      <c r="D423" s="17"/>
      <c r="E423" s="18"/>
      <c r="F423" s="17"/>
      <c r="G423" s="18"/>
      <c r="H423" s="13"/>
      <c r="I423" s="19">
        <f>IF($E423="","",IF($L423&lt;=0.005,"Pago",IF($D423="","Sem vencimento",IF($D423&lt;Hoje,IF(N($G423)&gt;0,"Vencido (parcial)","Vencido"),IF($D423=Hoje,"Vence hoje","A vencer")))))</f>
        <v>0</v>
      </c>
      <c r="J423" s="20">
        <f>IF(OR($E423="",$D423=""),"",IF(AND($L423&gt;0.005,$D423&lt;Hoje),Hoje-$D423,0))</f>
        <v>0</v>
      </c>
      <c r="K423" s="20">
        <f>IF($J423="","",IF($L423&lt;=0.005,"Pago",IF($J423&lt;=0,"A vencer",IF($J423&lt;=15,"1-15 dias",IF($J423&lt;=30,"16-30 dias",IF($J423&lt;=60,"31-60 dias","Mais de 60 dias"))))))</f>
        <v>0</v>
      </c>
      <c r="L423" s="21">
        <f>IF($E423="","",MAX(0,$E423-N($G423)))</f>
        <v>0</v>
      </c>
      <c r="M423" s="21">
        <f>IF(OR($L423="",$J423=""),"",IF($J423&gt;0,ROUND($L423*Multa+$L423*Juros/30*$J423,2),0))</f>
        <v>0</v>
      </c>
      <c r="N423" s="22">
        <f>IF($L423="","",IF($L423&lt;=0.005,0,$L423+N($M423)))</f>
        <v>0</v>
      </c>
      <c r="O423" s="23">
        <f>IF(OR($I423="Vencido",$I423="Vencido (parcial)"),"Olá, "&amp;$A423&amp;"! Consta em aberto '"&amp;$B423&amp;"' com vencimento em "&amp;DAY($D423)&amp;"/"&amp;MONTH($D423)&amp;"/"&amp;YEAR($D423)&amp;", no valor de R$ "&amp;FIXED($N423,2)&amp;" (com multa e juros). Podemos ajudar a regularizar hoje? Obrigado!",IF($I423="Vence hoje","Olá, "&amp;$A423&amp;"! Lembrete: '"&amp;$B423&amp;"' vence hoje, no valor de R$ "&amp;FIXED($L423,2)&amp;". Obrigado!",""))</f>
        <v>0</v>
      </c>
    </row>
    <row r="424" spans="1:15">
      <c r="A424" s="13"/>
      <c r="B424" s="13"/>
      <c r="C424" s="17"/>
      <c r="D424" s="17"/>
      <c r="E424" s="18"/>
      <c r="F424" s="17"/>
      <c r="G424" s="18"/>
      <c r="H424" s="13"/>
      <c r="I424" s="19">
        <f>IF($E424="","",IF($L424&lt;=0.005,"Pago",IF($D424="","Sem vencimento",IF($D424&lt;Hoje,IF(N($G424)&gt;0,"Vencido (parcial)","Vencido"),IF($D424=Hoje,"Vence hoje","A vencer")))))</f>
        <v>0</v>
      </c>
      <c r="J424" s="20">
        <f>IF(OR($E424="",$D424=""),"",IF(AND($L424&gt;0.005,$D424&lt;Hoje),Hoje-$D424,0))</f>
        <v>0</v>
      </c>
      <c r="K424" s="20">
        <f>IF($J424="","",IF($L424&lt;=0.005,"Pago",IF($J424&lt;=0,"A vencer",IF($J424&lt;=15,"1-15 dias",IF($J424&lt;=30,"16-30 dias",IF($J424&lt;=60,"31-60 dias","Mais de 60 dias"))))))</f>
        <v>0</v>
      </c>
      <c r="L424" s="21">
        <f>IF($E424="","",MAX(0,$E424-N($G424)))</f>
        <v>0</v>
      </c>
      <c r="M424" s="21">
        <f>IF(OR($L424="",$J424=""),"",IF($J424&gt;0,ROUND($L424*Multa+$L424*Juros/30*$J424,2),0))</f>
        <v>0</v>
      </c>
      <c r="N424" s="22">
        <f>IF($L424="","",IF($L424&lt;=0.005,0,$L424+N($M424)))</f>
        <v>0</v>
      </c>
      <c r="O424" s="23">
        <f>IF(OR($I424="Vencido",$I424="Vencido (parcial)"),"Olá, "&amp;$A424&amp;"! Consta em aberto '"&amp;$B424&amp;"' com vencimento em "&amp;DAY($D424)&amp;"/"&amp;MONTH($D424)&amp;"/"&amp;YEAR($D424)&amp;", no valor de R$ "&amp;FIXED($N424,2)&amp;" (com multa e juros). Podemos ajudar a regularizar hoje? Obrigado!",IF($I424="Vence hoje","Olá, "&amp;$A424&amp;"! Lembrete: '"&amp;$B424&amp;"' vence hoje, no valor de R$ "&amp;FIXED($L424,2)&amp;". Obrigado!",""))</f>
        <v>0</v>
      </c>
    </row>
    <row r="425" spans="1:15">
      <c r="A425" s="13"/>
      <c r="B425" s="13"/>
      <c r="C425" s="17"/>
      <c r="D425" s="17"/>
      <c r="E425" s="18"/>
      <c r="F425" s="17"/>
      <c r="G425" s="18"/>
      <c r="H425" s="13"/>
      <c r="I425" s="19">
        <f>IF($E425="","",IF($L425&lt;=0.005,"Pago",IF($D425="","Sem vencimento",IF($D425&lt;Hoje,IF(N($G425)&gt;0,"Vencido (parcial)","Vencido"),IF($D425=Hoje,"Vence hoje","A vencer")))))</f>
        <v>0</v>
      </c>
      <c r="J425" s="20">
        <f>IF(OR($E425="",$D425=""),"",IF(AND($L425&gt;0.005,$D425&lt;Hoje),Hoje-$D425,0))</f>
        <v>0</v>
      </c>
      <c r="K425" s="20">
        <f>IF($J425="","",IF($L425&lt;=0.005,"Pago",IF($J425&lt;=0,"A vencer",IF($J425&lt;=15,"1-15 dias",IF($J425&lt;=30,"16-30 dias",IF($J425&lt;=60,"31-60 dias","Mais de 60 dias"))))))</f>
        <v>0</v>
      </c>
      <c r="L425" s="21">
        <f>IF($E425="","",MAX(0,$E425-N($G425)))</f>
        <v>0</v>
      </c>
      <c r="M425" s="21">
        <f>IF(OR($L425="",$J425=""),"",IF($J425&gt;0,ROUND($L425*Multa+$L425*Juros/30*$J425,2),0))</f>
        <v>0</v>
      </c>
      <c r="N425" s="22">
        <f>IF($L425="","",IF($L425&lt;=0.005,0,$L425+N($M425)))</f>
        <v>0</v>
      </c>
      <c r="O425" s="23">
        <f>IF(OR($I425="Vencido",$I425="Vencido (parcial)"),"Olá, "&amp;$A425&amp;"! Consta em aberto '"&amp;$B425&amp;"' com vencimento em "&amp;DAY($D425)&amp;"/"&amp;MONTH($D425)&amp;"/"&amp;YEAR($D425)&amp;", no valor de R$ "&amp;FIXED($N425,2)&amp;" (com multa e juros). Podemos ajudar a regularizar hoje? Obrigado!",IF($I425="Vence hoje","Olá, "&amp;$A425&amp;"! Lembrete: '"&amp;$B425&amp;"' vence hoje, no valor de R$ "&amp;FIXED($L425,2)&amp;". Obrigado!",""))</f>
        <v>0</v>
      </c>
    </row>
    <row r="426" spans="1:15">
      <c r="A426" s="13"/>
      <c r="B426" s="13"/>
      <c r="C426" s="17"/>
      <c r="D426" s="17"/>
      <c r="E426" s="18"/>
      <c r="F426" s="17"/>
      <c r="G426" s="18"/>
      <c r="H426" s="13"/>
      <c r="I426" s="19">
        <f>IF($E426="","",IF($L426&lt;=0.005,"Pago",IF($D426="","Sem vencimento",IF($D426&lt;Hoje,IF(N($G426)&gt;0,"Vencido (parcial)","Vencido"),IF($D426=Hoje,"Vence hoje","A vencer")))))</f>
        <v>0</v>
      </c>
      <c r="J426" s="20">
        <f>IF(OR($E426="",$D426=""),"",IF(AND($L426&gt;0.005,$D426&lt;Hoje),Hoje-$D426,0))</f>
        <v>0</v>
      </c>
      <c r="K426" s="20">
        <f>IF($J426="","",IF($L426&lt;=0.005,"Pago",IF($J426&lt;=0,"A vencer",IF($J426&lt;=15,"1-15 dias",IF($J426&lt;=30,"16-30 dias",IF($J426&lt;=60,"31-60 dias","Mais de 60 dias"))))))</f>
        <v>0</v>
      </c>
      <c r="L426" s="21">
        <f>IF($E426="","",MAX(0,$E426-N($G426)))</f>
        <v>0</v>
      </c>
      <c r="M426" s="21">
        <f>IF(OR($L426="",$J426=""),"",IF($J426&gt;0,ROUND($L426*Multa+$L426*Juros/30*$J426,2),0))</f>
        <v>0</v>
      </c>
      <c r="N426" s="22">
        <f>IF($L426="","",IF($L426&lt;=0.005,0,$L426+N($M426)))</f>
        <v>0</v>
      </c>
      <c r="O426" s="23">
        <f>IF(OR($I426="Vencido",$I426="Vencido (parcial)"),"Olá, "&amp;$A426&amp;"! Consta em aberto '"&amp;$B426&amp;"' com vencimento em "&amp;DAY($D426)&amp;"/"&amp;MONTH($D426)&amp;"/"&amp;YEAR($D426)&amp;", no valor de R$ "&amp;FIXED($N426,2)&amp;" (com multa e juros). Podemos ajudar a regularizar hoje? Obrigado!",IF($I426="Vence hoje","Olá, "&amp;$A426&amp;"! Lembrete: '"&amp;$B426&amp;"' vence hoje, no valor de R$ "&amp;FIXED($L426,2)&amp;". Obrigado!",""))</f>
        <v>0</v>
      </c>
    </row>
    <row r="427" spans="1:15">
      <c r="A427" s="13"/>
      <c r="B427" s="13"/>
      <c r="C427" s="17"/>
      <c r="D427" s="17"/>
      <c r="E427" s="18"/>
      <c r="F427" s="17"/>
      <c r="G427" s="18"/>
      <c r="H427" s="13"/>
      <c r="I427" s="19">
        <f>IF($E427="","",IF($L427&lt;=0.005,"Pago",IF($D427="","Sem vencimento",IF($D427&lt;Hoje,IF(N($G427)&gt;0,"Vencido (parcial)","Vencido"),IF($D427=Hoje,"Vence hoje","A vencer")))))</f>
        <v>0</v>
      </c>
      <c r="J427" s="20">
        <f>IF(OR($E427="",$D427=""),"",IF(AND($L427&gt;0.005,$D427&lt;Hoje),Hoje-$D427,0))</f>
        <v>0</v>
      </c>
      <c r="K427" s="20">
        <f>IF($J427="","",IF($L427&lt;=0.005,"Pago",IF($J427&lt;=0,"A vencer",IF($J427&lt;=15,"1-15 dias",IF($J427&lt;=30,"16-30 dias",IF($J427&lt;=60,"31-60 dias","Mais de 60 dias"))))))</f>
        <v>0</v>
      </c>
      <c r="L427" s="21">
        <f>IF($E427="","",MAX(0,$E427-N($G427)))</f>
        <v>0</v>
      </c>
      <c r="M427" s="21">
        <f>IF(OR($L427="",$J427=""),"",IF($J427&gt;0,ROUND($L427*Multa+$L427*Juros/30*$J427,2),0))</f>
        <v>0</v>
      </c>
      <c r="N427" s="22">
        <f>IF($L427="","",IF($L427&lt;=0.005,0,$L427+N($M427)))</f>
        <v>0</v>
      </c>
      <c r="O427" s="23">
        <f>IF(OR($I427="Vencido",$I427="Vencido (parcial)"),"Olá, "&amp;$A427&amp;"! Consta em aberto '"&amp;$B427&amp;"' com vencimento em "&amp;DAY($D427)&amp;"/"&amp;MONTH($D427)&amp;"/"&amp;YEAR($D427)&amp;", no valor de R$ "&amp;FIXED($N427,2)&amp;" (com multa e juros). Podemos ajudar a regularizar hoje? Obrigado!",IF($I427="Vence hoje","Olá, "&amp;$A427&amp;"! Lembrete: '"&amp;$B427&amp;"' vence hoje, no valor de R$ "&amp;FIXED($L427,2)&amp;". Obrigado!",""))</f>
        <v>0</v>
      </c>
    </row>
    <row r="428" spans="1:15">
      <c r="A428" s="13"/>
      <c r="B428" s="13"/>
      <c r="C428" s="17"/>
      <c r="D428" s="17"/>
      <c r="E428" s="18"/>
      <c r="F428" s="17"/>
      <c r="G428" s="18"/>
      <c r="H428" s="13"/>
      <c r="I428" s="19">
        <f>IF($E428="","",IF($L428&lt;=0.005,"Pago",IF($D428="","Sem vencimento",IF($D428&lt;Hoje,IF(N($G428)&gt;0,"Vencido (parcial)","Vencido"),IF($D428=Hoje,"Vence hoje","A vencer")))))</f>
        <v>0</v>
      </c>
      <c r="J428" s="20">
        <f>IF(OR($E428="",$D428=""),"",IF(AND($L428&gt;0.005,$D428&lt;Hoje),Hoje-$D428,0))</f>
        <v>0</v>
      </c>
      <c r="K428" s="20">
        <f>IF($J428="","",IF($L428&lt;=0.005,"Pago",IF($J428&lt;=0,"A vencer",IF($J428&lt;=15,"1-15 dias",IF($J428&lt;=30,"16-30 dias",IF($J428&lt;=60,"31-60 dias","Mais de 60 dias"))))))</f>
        <v>0</v>
      </c>
      <c r="L428" s="21">
        <f>IF($E428="","",MAX(0,$E428-N($G428)))</f>
        <v>0</v>
      </c>
      <c r="M428" s="21">
        <f>IF(OR($L428="",$J428=""),"",IF($J428&gt;0,ROUND($L428*Multa+$L428*Juros/30*$J428,2),0))</f>
        <v>0</v>
      </c>
      <c r="N428" s="22">
        <f>IF($L428="","",IF($L428&lt;=0.005,0,$L428+N($M428)))</f>
        <v>0</v>
      </c>
      <c r="O428" s="23">
        <f>IF(OR($I428="Vencido",$I428="Vencido (parcial)"),"Olá, "&amp;$A428&amp;"! Consta em aberto '"&amp;$B428&amp;"' com vencimento em "&amp;DAY($D428)&amp;"/"&amp;MONTH($D428)&amp;"/"&amp;YEAR($D428)&amp;", no valor de R$ "&amp;FIXED($N428,2)&amp;" (com multa e juros). Podemos ajudar a regularizar hoje? Obrigado!",IF($I428="Vence hoje","Olá, "&amp;$A428&amp;"! Lembrete: '"&amp;$B428&amp;"' vence hoje, no valor de R$ "&amp;FIXED($L428,2)&amp;". Obrigado!",""))</f>
        <v>0</v>
      </c>
    </row>
    <row r="429" spans="1:15">
      <c r="A429" s="13"/>
      <c r="B429" s="13"/>
      <c r="C429" s="17"/>
      <c r="D429" s="17"/>
      <c r="E429" s="18"/>
      <c r="F429" s="17"/>
      <c r="G429" s="18"/>
      <c r="H429" s="13"/>
      <c r="I429" s="19">
        <f>IF($E429="","",IF($L429&lt;=0.005,"Pago",IF($D429="","Sem vencimento",IF($D429&lt;Hoje,IF(N($G429)&gt;0,"Vencido (parcial)","Vencido"),IF($D429=Hoje,"Vence hoje","A vencer")))))</f>
        <v>0</v>
      </c>
      <c r="J429" s="20">
        <f>IF(OR($E429="",$D429=""),"",IF(AND($L429&gt;0.005,$D429&lt;Hoje),Hoje-$D429,0))</f>
        <v>0</v>
      </c>
      <c r="K429" s="20">
        <f>IF($J429="","",IF($L429&lt;=0.005,"Pago",IF($J429&lt;=0,"A vencer",IF($J429&lt;=15,"1-15 dias",IF($J429&lt;=30,"16-30 dias",IF($J429&lt;=60,"31-60 dias","Mais de 60 dias"))))))</f>
        <v>0</v>
      </c>
      <c r="L429" s="21">
        <f>IF($E429="","",MAX(0,$E429-N($G429)))</f>
        <v>0</v>
      </c>
      <c r="M429" s="21">
        <f>IF(OR($L429="",$J429=""),"",IF($J429&gt;0,ROUND($L429*Multa+$L429*Juros/30*$J429,2),0))</f>
        <v>0</v>
      </c>
      <c r="N429" s="22">
        <f>IF($L429="","",IF($L429&lt;=0.005,0,$L429+N($M429)))</f>
        <v>0</v>
      </c>
      <c r="O429" s="23">
        <f>IF(OR($I429="Vencido",$I429="Vencido (parcial)"),"Olá, "&amp;$A429&amp;"! Consta em aberto '"&amp;$B429&amp;"' com vencimento em "&amp;DAY($D429)&amp;"/"&amp;MONTH($D429)&amp;"/"&amp;YEAR($D429)&amp;", no valor de R$ "&amp;FIXED($N429,2)&amp;" (com multa e juros). Podemos ajudar a regularizar hoje? Obrigado!",IF($I429="Vence hoje","Olá, "&amp;$A429&amp;"! Lembrete: '"&amp;$B429&amp;"' vence hoje, no valor de R$ "&amp;FIXED($L429,2)&amp;". Obrigado!",""))</f>
        <v>0</v>
      </c>
    </row>
    <row r="430" spans="1:15">
      <c r="A430" s="13"/>
      <c r="B430" s="13"/>
      <c r="C430" s="17"/>
      <c r="D430" s="17"/>
      <c r="E430" s="18"/>
      <c r="F430" s="17"/>
      <c r="G430" s="18"/>
      <c r="H430" s="13"/>
      <c r="I430" s="19">
        <f>IF($E430="","",IF($L430&lt;=0.005,"Pago",IF($D430="","Sem vencimento",IF($D430&lt;Hoje,IF(N($G430)&gt;0,"Vencido (parcial)","Vencido"),IF($D430=Hoje,"Vence hoje","A vencer")))))</f>
        <v>0</v>
      </c>
      <c r="J430" s="20">
        <f>IF(OR($E430="",$D430=""),"",IF(AND($L430&gt;0.005,$D430&lt;Hoje),Hoje-$D430,0))</f>
        <v>0</v>
      </c>
      <c r="K430" s="20">
        <f>IF($J430="","",IF($L430&lt;=0.005,"Pago",IF($J430&lt;=0,"A vencer",IF($J430&lt;=15,"1-15 dias",IF($J430&lt;=30,"16-30 dias",IF($J430&lt;=60,"31-60 dias","Mais de 60 dias"))))))</f>
        <v>0</v>
      </c>
      <c r="L430" s="21">
        <f>IF($E430="","",MAX(0,$E430-N($G430)))</f>
        <v>0</v>
      </c>
      <c r="M430" s="21">
        <f>IF(OR($L430="",$J430=""),"",IF($J430&gt;0,ROUND($L430*Multa+$L430*Juros/30*$J430,2),0))</f>
        <v>0</v>
      </c>
      <c r="N430" s="22">
        <f>IF($L430="","",IF($L430&lt;=0.005,0,$L430+N($M430)))</f>
        <v>0</v>
      </c>
      <c r="O430" s="23">
        <f>IF(OR($I430="Vencido",$I430="Vencido (parcial)"),"Olá, "&amp;$A430&amp;"! Consta em aberto '"&amp;$B430&amp;"' com vencimento em "&amp;DAY($D430)&amp;"/"&amp;MONTH($D430)&amp;"/"&amp;YEAR($D430)&amp;", no valor de R$ "&amp;FIXED($N430,2)&amp;" (com multa e juros). Podemos ajudar a regularizar hoje? Obrigado!",IF($I430="Vence hoje","Olá, "&amp;$A430&amp;"! Lembrete: '"&amp;$B430&amp;"' vence hoje, no valor de R$ "&amp;FIXED($L430,2)&amp;". Obrigado!",""))</f>
        <v>0</v>
      </c>
    </row>
    <row r="431" spans="1:15">
      <c r="A431" s="13"/>
      <c r="B431" s="13"/>
      <c r="C431" s="17"/>
      <c r="D431" s="17"/>
      <c r="E431" s="18"/>
      <c r="F431" s="17"/>
      <c r="G431" s="18"/>
      <c r="H431" s="13"/>
      <c r="I431" s="19">
        <f>IF($E431="","",IF($L431&lt;=0.005,"Pago",IF($D431="","Sem vencimento",IF($D431&lt;Hoje,IF(N($G431)&gt;0,"Vencido (parcial)","Vencido"),IF($D431=Hoje,"Vence hoje","A vencer")))))</f>
        <v>0</v>
      </c>
      <c r="J431" s="20">
        <f>IF(OR($E431="",$D431=""),"",IF(AND($L431&gt;0.005,$D431&lt;Hoje),Hoje-$D431,0))</f>
        <v>0</v>
      </c>
      <c r="K431" s="20">
        <f>IF($J431="","",IF($L431&lt;=0.005,"Pago",IF($J431&lt;=0,"A vencer",IF($J431&lt;=15,"1-15 dias",IF($J431&lt;=30,"16-30 dias",IF($J431&lt;=60,"31-60 dias","Mais de 60 dias"))))))</f>
        <v>0</v>
      </c>
      <c r="L431" s="21">
        <f>IF($E431="","",MAX(0,$E431-N($G431)))</f>
        <v>0</v>
      </c>
      <c r="M431" s="21">
        <f>IF(OR($L431="",$J431=""),"",IF($J431&gt;0,ROUND($L431*Multa+$L431*Juros/30*$J431,2),0))</f>
        <v>0</v>
      </c>
      <c r="N431" s="22">
        <f>IF($L431="","",IF($L431&lt;=0.005,0,$L431+N($M431)))</f>
        <v>0</v>
      </c>
      <c r="O431" s="23">
        <f>IF(OR($I431="Vencido",$I431="Vencido (parcial)"),"Olá, "&amp;$A431&amp;"! Consta em aberto '"&amp;$B431&amp;"' com vencimento em "&amp;DAY($D431)&amp;"/"&amp;MONTH($D431)&amp;"/"&amp;YEAR($D431)&amp;", no valor de R$ "&amp;FIXED($N431,2)&amp;" (com multa e juros). Podemos ajudar a regularizar hoje? Obrigado!",IF($I431="Vence hoje","Olá, "&amp;$A431&amp;"! Lembrete: '"&amp;$B431&amp;"' vence hoje, no valor de R$ "&amp;FIXED($L431,2)&amp;". Obrigado!",""))</f>
        <v>0</v>
      </c>
    </row>
    <row r="432" spans="1:15">
      <c r="A432" s="13"/>
      <c r="B432" s="13"/>
      <c r="C432" s="17"/>
      <c r="D432" s="17"/>
      <c r="E432" s="18"/>
      <c r="F432" s="17"/>
      <c r="G432" s="18"/>
      <c r="H432" s="13"/>
      <c r="I432" s="19">
        <f>IF($E432="","",IF($L432&lt;=0.005,"Pago",IF($D432="","Sem vencimento",IF($D432&lt;Hoje,IF(N($G432)&gt;0,"Vencido (parcial)","Vencido"),IF($D432=Hoje,"Vence hoje","A vencer")))))</f>
        <v>0</v>
      </c>
      <c r="J432" s="20">
        <f>IF(OR($E432="",$D432=""),"",IF(AND($L432&gt;0.005,$D432&lt;Hoje),Hoje-$D432,0))</f>
        <v>0</v>
      </c>
      <c r="K432" s="20">
        <f>IF($J432="","",IF($L432&lt;=0.005,"Pago",IF($J432&lt;=0,"A vencer",IF($J432&lt;=15,"1-15 dias",IF($J432&lt;=30,"16-30 dias",IF($J432&lt;=60,"31-60 dias","Mais de 60 dias"))))))</f>
        <v>0</v>
      </c>
      <c r="L432" s="21">
        <f>IF($E432="","",MAX(0,$E432-N($G432)))</f>
        <v>0</v>
      </c>
      <c r="M432" s="21">
        <f>IF(OR($L432="",$J432=""),"",IF($J432&gt;0,ROUND($L432*Multa+$L432*Juros/30*$J432,2),0))</f>
        <v>0</v>
      </c>
      <c r="N432" s="22">
        <f>IF($L432="","",IF($L432&lt;=0.005,0,$L432+N($M432)))</f>
        <v>0</v>
      </c>
      <c r="O432" s="23">
        <f>IF(OR($I432="Vencido",$I432="Vencido (parcial)"),"Olá, "&amp;$A432&amp;"! Consta em aberto '"&amp;$B432&amp;"' com vencimento em "&amp;DAY($D432)&amp;"/"&amp;MONTH($D432)&amp;"/"&amp;YEAR($D432)&amp;", no valor de R$ "&amp;FIXED($N432,2)&amp;" (com multa e juros). Podemos ajudar a regularizar hoje? Obrigado!",IF($I432="Vence hoje","Olá, "&amp;$A432&amp;"! Lembrete: '"&amp;$B432&amp;"' vence hoje, no valor de R$ "&amp;FIXED($L432,2)&amp;". Obrigado!",""))</f>
        <v>0</v>
      </c>
    </row>
    <row r="433" spans="1:15">
      <c r="A433" s="13"/>
      <c r="B433" s="13"/>
      <c r="C433" s="17"/>
      <c r="D433" s="17"/>
      <c r="E433" s="18"/>
      <c r="F433" s="17"/>
      <c r="G433" s="18"/>
      <c r="H433" s="13"/>
      <c r="I433" s="19">
        <f>IF($E433="","",IF($L433&lt;=0.005,"Pago",IF($D433="","Sem vencimento",IF($D433&lt;Hoje,IF(N($G433)&gt;0,"Vencido (parcial)","Vencido"),IF($D433=Hoje,"Vence hoje","A vencer")))))</f>
        <v>0</v>
      </c>
      <c r="J433" s="20">
        <f>IF(OR($E433="",$D433=""),"",IF(AND($L433&gt;0.005,$D433&lt;Hoje),Hoje-$D433,0))</f>
        <v>0</v>
      </c>
      <c r="K433" s="20">
        <f>IF($J433="","",IF($L433&lt;=0.005,"Pago",IF($J433&lt;=0,"A vencer",IF($J433&lt;=15,"1-15 dias",IF($J433&lt;=30,"16-30 dias",IF($J433&lt;=60,"31-60 dias","Mais de 60 dias"))))))</f>
        <v>0</v>
      </c>
      <c r="L433" s="21">
        <f>IF($E433="","",MAX(0,$E433-N($G433)))</f>
        <v>0</v>
      </c>
      <c r="M433" s="21">
        <f>IF(OR($L433="",$J433=""),"",IF($J433&gt;0,ROUND($L433*Multa+$L433*Juros/30*$J433,2),0))</f>
        <v>0</v>
      </c>
      <c r="N433" s="22">
        <f>IF($L433="","",IF($L433&lt;=0.005,0,$L433+N($M433)))</f>
        <v>0</v>
      </c>
      <c r="O433" s="23">
        <f>IF(OR($I433="Vencido",$I433="Vencido (parcial)"),"Olá, "&amp;$A433&amp;"! Consta em aberto '"&amp;$B433&amp;"' com vencimento em "&amp;DAY($D433)&amp;"/"&amp;MONTH($D433)&amp;"/"&amp;YEAR($D433)&amp;", no valor de R$ "&amp;FIXED($N433,2)&amp;" (com multa e juros). Podemos ajudar a regularizar hoje? Obrigado!",IF($I433="Vence hoje","Olá, "&amp;$A433&amp;"! Lembrete: '"&amp;$B433&amp;"' vence hoje, no valor de R$ "&amp;FIXED($L433,2)&amp;". Obrigado!",""))</f>
        <v>0</v>
      </c>
    </row>
    <row r="434" spans="1:15">
      <c r="A434" s="13"/>
      <c r="B434" s="13"/>
      <c r="C434" s="17"/>
      <c r="D434" s="17"/>
      <c r="E434" s="18"/>
      <c r="F434" s="17"/>
      <c r="G434" s="18"/>
      <c r="H434" s="13"/>
      <c r="I434" s="19">
        <f>IF($E434="","",IF($L434&lt;=0.005,"Pago",IF($D434="","Sem vencimento",IF($D434&lt;Hoje,IF(N($G434)&gt;0,"Vencido (parcial)","Vencido"),IF($D434=Hoje,"Vence hoje","A vencer")))))</f>
        <v>0</v>
      </c>
      <c r="J434" s="20">
        <f>IF(OR($E434="",$D434=""),"",IF(AND($L434&gt;0.005,$D434&lt;Hoje),Hoje-$D434,0))</f>
        <v>0</v>
      </c>
      <c r="K434" s="20">
        <f>IF($J434="","",IF($L434&lt;=0.005,"Pago",IF($J434&lt;=0,"A vencer",IF($J434&lt;=15,"1-15 dias",IF($J434&lt;=30,"16-30 dias",IF($J434&lt;=60,"31-60 dias","Mais de 60 dias"))))))</f>
        <v>0</v>
      </c>
      <c r="L434" s="21">
        <f>IF($E434="","",MAX(0,$E434-N($G434)))</f>
        <v>0</v>
      </c>
      <c r="M434" s="21">
        <f>IF(OR($L434="",$J434=""),"",IF($J434&gt;0,ROUND($L434*Multa+$L434*Juros/30*$J434,2),0))</f>
        <v>0</v>
      </c>
      <c r="N434" s="22">
        <f>IF($L434="","",IF($L434&lt;=0.005,0,$L434+N($M434)))</f>
        <v>0</v>
      </c>
      <c r="O434" s="23">
        <f>IF(OR($I434="Vencido",$I434="Vencido (parcial)"),"Olá, "&amp;$A434&amp;"! Consta em aberto '"&amp;$B434&amp;"' com vencimento em "&amp;DAY($D434)&amp;"/"&amp;MONTH($D434)&amp;"/"&amp;YEAR($D434)&amp;", no valor de R$ "&amp;FIXED($N434,2)&amp;" (com multa e juros). Podemos ajudar a regularizar hoje? Obrigado!",IF($I434="Vence hoje","Olá, "&amp;$A434&amp;"! Lembrete: '"&amp;$B434&amp;"' vence hoje, no valor de R$ "&amp;FIXED($L434,2)&amp;". Obrigado!",""))</f>
        <v>0</v>
      </c>
    </row>
    <row r="435" spans="1:15">
      <c r="A435" s="13"/>
      <c r="B435" s="13"/>
      <c r="C435" s="17"/>
      <c r="D435" s="17"/>
      <c r="E435" s="18"/>
      <c r="F435" s="17"/>
      <c r="G435" s="18"/>
      <c r="H435" s="13"/>
      <c r="I435" s="19">
        <f>IF($E435="","",IF($L435&lt;=0.005,"Pago",IF($D435="","Sem vencimento",IF($D435&lt;Hoje,IF(N($G435)&gt;0,"Vencido (parcial)","Vencido"),IF($D435=Hoje,"Vence hoje","A vencer")))))</f>
        <v>0</v>
      </c>
      <c r="J435" s="20">
        <f>IF(OR($E435="",$D435=""),"",IF(AND($L435&gt;0.005,$D435&lt;Hoje),Hoje-$D435,0))</f>
        <v>0</v>
      </c>
      <c r="K435" s="20">
        <f>IF($J435="","",IF($L435&lt;=0.005,"Pago",IF($J435&lt;=0,"A vencer",IF($J435&lt;=15,"1-15 dias",IF($J435&lt;=30,"16-30 dias",IF($J435&lt;=60,"31-60 dias","Mais de 60 dias"))))))</f>
        <v>0</v>
      </c>
      <c r="L435" s="21">
        <f>IF($E435="","",MAX(0,$E435-N($G435)))</f>
        <v>0</v>
      </c>
      <c r="M435" s="21">
        <f>IF(OR($L435="",$J435=""),"",IF($J435&gt;0,ROUND($L435*Multa+$L435*Juros/30*$J435,2),0))</f>
        <v>0</v>
      </c>
      <c r="N435" s="22">
        <f>IF($L435="","",IF($L435&lt;=0.005,0,$L435+N($M435)))</f>
        <v>0</v>
      </c>
      <c r="O435" s="23">
        <f>IF(OR($I435="Vencido",$I435="Vencido (parcial)"),"Olá, "&amp;$A435&amp;"! Consta em aberto '"&amp;$B435&amp;"' com vencimento em "&amp;DAY($D435)&amp;"/"&amp;MONTH($D435)&amp;"/"&amp;YEAR($D435)&amp;", no valor de R$ "&amp;FIXED($N435,2)&amp;" (com multa e juros). Podemos ajudar a regularizar hoje? Obrigado!",IF($I435="Vence hoje","Olá, "&amp;$A435&amp;"! Lembrete: '"&amp;$B435&amp;"' vence hoje, no valor de R$ "&amp;FIXED($L435,2)&amp;". Obrigado!",""))</f>
        <v>0</v>
      </c>
    </row>
    <row r="436" spans="1:15">
      <c r="A436" s="13"/>
      <c r="B436" s="13"/>
      <c r="C436" s="17"/>
      <c r="D436" s="17"/>
      <c r="E436" s="18"/>
      <c r="F436" s="17"/>
      <c r="G436" s="18"/>
      <c r="H436" s="13"/>
      <c r="I436" s="19">
        <f>IF($E436="","",IF($L436&lt;=0.005,"Pago",IF($D436="","Sem vencimento",IF($D436&lt;Hoje,IF(N($G436)&gt;0,"Vencido (parcial)","Vencido"),IF($D436=Hoje,"Vence hoje","A vencer")))))</f>
        <v>0</v>
      </c>
      <c r="J436" s="20">
        <f>IF(OR($E436="",$D436=""),"",IF(AND($L436&gt;0.005,$D436&lt;Hoje),Hoje-$D436,0))</f>
        <v>0</v>
      </c>
      <c r="K436" s="20">
        <f>IF($J436="","",IF($L436&lt;=0.005,"Pago",IF($J436&lt;=0,"A vencer",IF($J436&lt;=15,"1-15 dias",IF($J436&lt;=30,"16-30 dias",IF($J436&lt;=60,"31-60 dias","Mais de 60 dias"))))))</f>
        <v>0</v>
      </c>
      <c r="L436" s="21">
        <f>IF($E436="","",MAX(0,$E436-N($G436)))</f>
        <v>0</v>
      </c>
      <c r="M436" s="21">
        <f>IF(OR($L436="",$J436=""),"",IF($J436&gt;0,ROUND($L436*Multa+$L436*Juros/30*$J436,2),0))</f>
        <v>0</v>
      </c>
      <c r="N436" s="22">
        <f>IF($L436="","",IF($L436&lt;=0.005,0,$L436+N($M436)))</f>
        <v>0</v>
      </c>
      <c r="O436" s="23">
        <f>IF(OR($I436="Vencido",$I436="Vencido (parcial)"),"Olá, "&amp;$A436&amp;"! Consta em aberto '"&amp;$B436&amp;"' com vencimento em "&amp;DAY($D436)&amp;"/"&amp;MONTH($D436)&amp;"/"&amp;YEAR($D436)&amp;", no valor de R$ "&amp;FIXED($N436,2)&amp;" (com multa e juros). Podemos ajudar a regularizar hoje? Obrigado!",IF($I436="Vence hoje","Olá, "&amp;$A436&amp;"! Lembrete: '"&amp;$B436&amp;"' vence hoje, no valor de R$ "&amp;FIXED($L436,2)&amp;". Obrigado!",""))</f>
        <v>0</v>
      </c>
    </row>
    <row r="437" spans="1:15">
      <c r="A437" s="13"/>
      <c r="B437" s="13"/>
      <c r="C437" s="17"/>
      <c r="D437" s="17"/>
      <c r="E437" s="18"/>
      <c r="F437" s="17"/>
      <c r="G437" s="18"/>
      <c r="H437" s="13"/>
      <c r="I437" s="19">
        <f>IF($E437="","",IF($L437&lt;=0.005,"Pago",IF($D437="","Sem vencimento",IF($D437&lt;Hoje,IF(N($G437)&gt;0,"Vencido (parcial)","Vencido"),IF($D437=Hoje,"Vence hoje","A vencer")))))</f>
        <v>0</v>
      </c>
      <c r="J437" s="20">
        <f>IF(OR($E437="",$D437=""),"",IF(AND($L437&gt;0.005,$D437&lt;Hoje),Hoje-$D437,0))</f>
        <v>0</v>
      </c>
      <c r="K437" s="20">
        <f>IF($J437="","",IF($L437&lt;=0.005,"Pago",IF($J437&lt;=0,"A vencer",IF($J437&lt;=15,"1-15 dias",IF($J437&lt;=30,"16-30 dias",IF($J437&lt;=60,"31-60 dias","Mais de 60 dias"))))))</f>
        <v>0</v>
      </c>
      <c r="L437" s="21">
        <f>IF($E437="","",MAX(0,$E437-N($G437)))</f>
        <v>0</v>
      </c>
      <c r="M437" s="21">
        <f>IF(OR($L437="",$J437=""),"",IF($J437&gt;0,ROUND($L437*Multa+$L437*Juros/30*$J437,2),0))</f>
        <v>0</v>
      </c>
      <c r="N437" s="22">
        <f>IF($L437="","",IF($L437&lt;=0.005,0,$L437+N($M437)))</f>
        <v>0</v>
      </c>
      <c r="O437" s="23">
        <f>IF(OR($I437="Vencido",$I437="Vencido (parcial)"),"Olá, "&amp;$A437&amp;"! Consta em aberto '"&amp;$B437&amp;"' com vencimento em "&amp;DAY($D437)&amp;"/"&amp;MONTH($D437)&amp;"/"&amp;YEAR($D437)&amp;", no valor de R$ "&amp;FIXED($N437,2)&amp;" (com multa e juros). Podemos ajudar a regularizar hoje? Obrigado!",IF($I437="Vence hoje","Olá, "&amp;$A437&amp;"! Lembrete: '"&amp;$B437&amp;"' vence hoje, no valor de R$ "&amp;FIXED($L437,2)&amp;". Obrigado!",""))</f>
        <v>0</v>
      </c>
    </row>
    <row r="438" spans="1:15">
      <c r="A438" s="13"/>
      <c r="B438" s="13"/>
      <c r="C438" s="17"/>
      <c r="D438" s="17"/>
      <c r="E438" s="18"/>
      <c r="F438" s="17"/>
      <c r="G438" s="18"/>
      <c r="H438" s="13"/>
      <c r="I438" s="19">
        <f>IF($E438="","",IF($L438&lt;=0.005,"Pago",IF($D438="","Sem vencimento",IF($D438&lt;Hoje,IF(N($G438)&gt;0,"Vencido (parcial)","Vencido"),IF($D438=Hoje,"Vence hoje","A vencer")))))</f>
        <v>0</v>
      </c>
      <c r="J438" s="20">
        <f>IF(OR($E438="",$D438=""),"",IF(AND($L438&gt;0.005,$D438&lt;Hoje),Hoje-$D438,0))</f>
        <v>0</v>
      </c>
      <c r="K438" s="20">
        <f>IF($J438="","",IF($L438&lt;=0.005,"Pago",IF($J438&lt;=0,"A vencer",IF($J438&lt;=15,"1-15 dias",IF($J438&lt;=30,"16-30 dias",IF($J438&lt;=60,"31-60 dias","Mais de 60 dias"))))))</f>
        <v>0</v>
      </c>
      <c r="L438" s="21">
        <f>IF($E438="","",MAX(0,$E438-N($G438)))</f>
        <v>0</v>
      </c>
      <c r="M438" s="21">
        <f>IF(OR($L438="",$J438=""),"",IF($J438&gt;0,ROUND($L438*Multa+$L438*Juros/30*$J438,2),0))</f>
        <v>0</v>
      </c>
      <c r="N438" s="22">
        <f>IF($L438="","",IF($L438&lt;=0.005,0,$L438+N($M438)))</f>
        <v>0</v>
      </c>
      <c r="O438" s="23">
        <f>IF(OR($I438="Vencido",$I438="Vencido (parcial)"),"Olá, "&amp;$A438&amp;"! Consta em aberto '"&amp;$B438&amp;"' com vencimento em "&amp;DAY($D438)&amp;"/"&amp;MONTH($D438)&amp;"/"&amp;YEAR($D438)&amp;", no valor de R$ "&amp;FIXED($N438,2)&amp;" (com multa e juros). Podemos ajudar a regularizar hoje? Obrigado!",IF($I438="Vence hoje","Olá, "&amp;$A438&amp;"! Lembrete: '"&amp;$B438&amp;"' vence hoje, no valor de R$ "&amp;FIXED($L438,2)&amp;". Obrigado!",""))</f>
        <v>0</v>
      </c>
    </row>
    <row r="439" spans="1:15">
      <c r="A439" s="13"/>
      <c r="B439" s="13"/>
      <c r="C439" s="17"/>
      <c r="D439" s="17"/>
      <c r="E439" s="18"/>
      <c r="F439" s="17"/>
      <c r="G439" s="18"/>
      <c r="H439" s="13"/>
      <c r="I439" s="19">
        <f>IF($E439="","",IF($L439&lt;=0.005,"Pago",IF($D439="","Sem vencimento",IF($D439&lt;Hoje,IF(N($G439)&gt;0,"Vencido (parcial)","Vencido"),IF($D439=Hoje,"Vence hoje","A vencer")))))</f>
        <v>0</v>
      </c>
      <c r="J439" s="20">
        <f>IF(OR($E439="",$D439=""),"",IF(AND($L439&gt;0.005,$D439&lt;Hoje),Hoje-$D439,0))</f>
        <v>0</v>
      </c>
      <c r="K439" s="20">
        <f>IF($J439="","",IF($L439&lt;=0.005,"Pago",IF($J439&lt;=0,"A vencer",IF($J439&lt;=15,"1-15 dias",IF($J439&lt;=30,"16-30 dias",IF($J439&lt;=60,"31-60 dias","Mais de 60 dias"))))))</f>
        <v>0</v>
      </c>
      <c r="L439" s="21">
        <f>IF($E439="","",MAX(0,$E439-N($G439)))</f>
        <v>0</v>
      </c>
      <c r="M439" s="21">
        <f>IF(OR($L439="",$J439=""),"",IF($J439&gt;0,ROUND($L439*Multa+$L439*Juros/30*$J439,2),0))</f>
        <v>0</v>
      </c>
      <c r="N439" s="22">
        <f>IF($L439="","",IF($L439&lt;=0.005,0,$L439+N($M439)))</f>
        <v>0</v>
      </c>
      <c r="O439" s="23">
        <f>IF(OR($I439="Vencido",$I439="Vencido (parcial)"),"Olá, "&amp;$A439&amp;"! Consta em aberto '"&amp;$B439&amp;"' com vencimento em "&amp;DAY($D439)&amp;"/"&amp;MONTH($D439)&amp;"/"&amp;YEAR($D439)&amp;", no valor de R$ "&amp;FIXED($N439,2)&amp;" (com multa e juros). Podemos ajudar a regularizar hoje? Obrigado!",IF($I439="Vence hoje","Olá, "&amp;$A439&amp;"! Lembrete: '"&amp;$B439&amp;"' vence hoje, no valor de R$ "&amp;FIXED($L439,2)&amp;". Obrigado!",""))</f>
        <v>0</v>
      </c>
    </row>
    <row r="440" spans="1:15">
      <c r="A440" s="13"/>
      <c r="B440" s="13"/>
      <c r="C440" s="17"/>
      <c r="D440" s="17"/>
      <c r="E440" s="18"/>
      <c r="F440" s="17"/>
      <c r="G440" s="18"/>
      <c r="H440" s="13"/>
      <c r="I440" s="19">
        <f>IF($E440="","",IF($L440&lt;=0.005,"Pago",IF($D440="","Sem vencimento",IF($D440&lt;Hoje,IF(N($G440)&gt;0,"Vencido (parcial)","Vencido"),IF($D440=Hoje,"Vence hoje","A vencer")))))</f>
        <v>0</v>
      </c>
      <c r="J440" s="20">
        <f>IF(OR($E440="",$D440=""),"",IF(AND($L440&gt;0.005,$D440&lt;Hoje),Hoje-$D440,0))</f>
        <v>0</v>
      </c>
      <c r="K440" s="20">
        <f>IF($J440="","",IF($L440&lt;=0.005,"Pago",IF($J440&lt;=0,"A vencer",IF($J440&lt;=15,"1-15 dias",IF($J440&lt;=30,"16-30 dias",IF($J440&lt;=60,"31-60 dias","Mais de 60 dias"))))))</f>
        <v>0</v>
      </c>
      <c r="L440" s="21">
        <f>IF($E440="","",MAX(0,$E440-N($G440)))</f>
        <v>0</v>
      </c>
      <c r="M440" s="21">
        <f>IF(OR($L440="",$J440=""),"",IF($J440&gt;0,ROUND($L440*Multa+$L440*Juros/30*$J440,2),0))</f>
        <v>0</v>
      </c>
      <c r="N440" s="22">
        <f>IF($L440="","",IF($L440&lt;=0.005,0,$L440+N($M440)))</f>
        <v>0</v>
      </c>
      <c r="O440" s="23">
        <f>IF(OR($I440="Vencido",$I440="Vencido (parcial)"),"Olá, "&amp;$A440&amp;"! Consta em aberto '"&amp;$B440&amp;"' com vencimento em "&amp;DAY($D440)&amp;"/"&amp;MONTH($D440)&amp;"/"&amp;YEAR($D440)&amp;", no valor de R$ "&amp;FIXED($N440,2)&amp;" (com multa e juros). Podemos ajudar a regularizar hoje? Obrigado!",IF($I440="Vence hoje","Olá, "&amp;$A440&amp;"! Lembrete: '"&amp;$B440&amp;"' vence hoje, no valor de R$ "&amp;FIXED($L440,2)&amp;". Obrigado!",""))</f>
        <v>0</v>
      </c>
    </row>
    <row r="441" spans="1:15">
      <c r="A441" s="13"/>
      <c r="B441" s="13"/>
      <c r="C441" s="17"/>
      <c r="D441" s="17"/>
      <c r="E441" s="18"/>
      <c r="F441" s="17"/>
      <c r="G441" s="18"/>
      <c r="H441" s="13"/>
      <c r="I441" s="19">
        <f>IF($E441="","",IF($L441&lt;=0.005,"Pago",IF($D441="","Sem vencimento",IF($D441&lt;Hoje,IF(N($G441)&gt;0,"Vencido (parcial)","Vencido"),IF($D441=Hoje,"Vence hoje","A vencer")))))</f>
        <v>0</v>
      </c>
      <c r="J441" s="20">
        <f>IF(OR($E441="",$D441=""),"",IF(AND($L441&gt;0.005,$D441&lt;Hoje),Hoje-$D441,0))</f>
        <v>0</v>
      </c>
      <c r="K441" s="20">
        <f>IF($J441="","",IF($L441&lt;=0.005,"Pago",IF($J441&lt;=0,"A vencer",IF($J441&lt;=15,"1-15 dias",IF($J441&lt;=30,"16-30 dias",IF($J441&lt;=60,"31-60 dias","Mais de 60 dias"))))))</f>
        <v>0</v>
      </c>
      <c r="L441" s="21">
        <f>IF($E441="","",MAX(0,$E441-N($G441)))</f>
        <v>0</v>
      </c>
      <c r="M441" s="21">
        <f>IF(OR($L441="",$J441=""),"",IF($J441&gt;0,ROUND($L441*Multa+$L441*Juros/30*$J441,2),0))</f>
        <v>0</v>
      </c>
      <c r="N441" s="22">
        <f>IF($L441="","",IF($L441&lt;=0.005,0,$L441+N($M441)))</f>
        <v>0</v>
      </c>
      <c r="O441" s="23">
        <f>IF(OR($I441="Vencido",$I441="Vencido (parcial)"),"Olá, "&amp;$A441&amp;"! Consta em aberto '"&amp;$B441&amp;"' com vencimento em "&amp;DAY($D441)&amp;"/"&amp;MONTH($D441)&amp;"/"&amp;YEAR($D441)&amp;", no valor de R$ "&amp;FIXED($N441,2)&amp;" (com multa e juros). Podemos ajudar a regularizar hoje? Obrigado!",IF($I441="Vence hoje","Olá, "&amp;$A441&amp;"! Lembrete: '"&amp;$B441&amp;"' vence hoje, no valor de R$ "&amp;FIXED($L441,2)&amp;". Obrigado!",""))</f>
        <v>0</v>
      </c>
    </row>
    <row r="442" spans="1:15">
      <c r="A442" s="13"/>
      <c r="B442" s="13"/>
      <c r="C442" s="17"/>
      <c r="D442" s="17"/>
      <c r="E442" s="18"/>
      <c r="F442" s="17"/>
      <c r="G442" s="18"/>
      <c r="H442" s="13"/>
      <c r="I442" s="19">
        <f>IF($E442="","",IF($L442&lt;=0.005,"Pago",IF($D442="","Sem vencimento",IF($D442&lt;Hoje,IF(N($G442)&gt;0,"Vencido (parcial)","Vencido"),IF($D442=Hoje,"Vence hoje","A vencer")))))</f>
        <v>0</v>
      </c>
      <c r="J442" s="20">
        <f>IF(OR($E442="",$D442=""),"",IF(AND($L442&gt;0.005,$D442&lt;Hoje),Hoje-$D442,0))</f>
        <v>0</v>
      </c>
      <c r="K442" s="20">
        <f>IF($J442="","",IF($L442&lt;=0.005,"Pago",IF($J442&lt;=0,"A vencer",IF($J442&lt;=15,"1-15 dias",IF($J442&lt;=30,"16-30 dias",IF($J442&lt;=60,"31-60 dias","Mais de 60 dias"))))))</f>
        <v>0</v>
      </c>
      <c r="L442" s="21">
        <f>IF($E442="","",MAX(0,$E442-N($G442)))</f>
        <v>0</v>
      </c>
      <c r="M442" s="21">
        <f>IF(OR($L442="",$J442=""),"",IF($J442&gt;0,ROUND($L442*Multa+$L442*Juros/30*$J442,2),0))</f>
        <v>0</v>
      </c>
      <c r="N442" s="22">
        <f>IF($L442="","",IF($L442&lt;=0.005,0,$L442+N($M442)))</f>
        <v>0</v>
      </c>
      <c r="O442" s="23">
        <f>IF(OR($I442="Vencido",$I442="Vencido (parcial)"),"Olá, "&amp;$A442&amp;"! Consta em aberto '"&amp;$B442&amp;"' com vencimento em "&amp;DAY($D442)&amp;"/"&amp;MONTH($D442)&amp;"/"&amp;YEAR($D442)&amp;", no valor de R$ "&amp;FIXED($N442,2)&amp;" (com multa e juros). Podemos ajudar a regularizar hoje? Obrigado!",IF($I442="Vence hoje","Olá, "&amp;$A442&amp;"! Lembrete: '"&amp;$B442&amp;"' vence hoje, no valor de R$ "&amp;FIXED($L442,2)&amp;". Obrigado!",""))</f>
        <v>0</v>
      </c>
    </row>
    <row r="443" spans="1:15">
      <c r="A443" s="13"/>
      <c r="B443" s="13"/>
      <c r="C443" s="17"/>
      <c r="D443" s="17"/>
      <c r="E443" s="18"/>
      <c r="F443" s="17"/>
      <c r="G443" s="18"/>
      <c r="H443" s="13"/>
      <c r="I443" s="19">
        <f>IF($E443="","",IF($L443&lt;=0.005,"Pago",IF($D443="","Sem vencimento",IF($D443&lt;Hoje,IF(N($G443)&gt;0,"Vencido (parcial)","Vencido"),IF($D443=Hoje,"Vence hoje","A vencer")))))</f>
        <v>0</v>
      </c>
      <c r="J443" s="20">
        <f>IF(OR($E443="",$D443=""),"",IF(AND($L443&gt;0.005,$D443&lt;Hoje),Hoje-$D443,0))</f>
        <v>0</v>
      </c>
      <c r="K443" s="20">
        <f>IF($J443="","",IF($L443&lt;=0.005,"Pago",IF($J443&lt;=0,"A vencer",IF($J443&lt;=15,"1-15 dias",IF($J443&lt;=30,"16-30 dias",IF($J443&lt;=60,"31-60 dias","Mais de 60 dias"))))))</f>
        <v>0</v>
      </c>
      <c r="L443" s="21">
        <f>IF($E443="","",MAX(0,$E443-N($G443)))</f>
        <v>0</v>
      </c>
      <c r="M443" s="21">
        <f>IF(OR($L443="",$J443=""),"",IF($J443&gt;0,ROUND($L443*Multa+$L443*Juros/30*$J443,2),0))</f>
        <v>0</v>
      </c>
      <c r="N443" s="22">
        <f>IF($L443="","",IF($L443&lt;=0.005,0,$L443+N($M443)))</f>
        <v>0</v>
      </c>
      <c r="O443" s="23">
        <f>IF(OR($I443="Vencido",$I443="Vencido (parcial)"),"Olá, "&amp;$A443&amp;"! Consta em aberto '"&amp;$B443&amp;"' com vencimento em "&amp;DAY($D443)&amp;"/"&amp;MONTH($D443)&amp;"/"&amp;YEAR($D443)&amp;", no valor de R$ "&amp;FIXED($N443,2)&amp;" (com multa e juros). Podemos ajudar a regularizar hoje? Obrigado!",IF($I443="Vence hoje","Olá, "&amp;$A443&amp;"! Lembrete: '"&amp;$B443&amp;"' vence hoje, no valor de R$ "&amp;FIXED($L443,2)&amp;". Obrigado!",""))</f>
        <v>0</v>
      </c>
    </row>
    <row r="444" spans="1:15">
      <c r="A444" s="13"/>
      <c r="B444" s="13"/>
      <c r="C444" s="17"/>
      <c r="D444" s="17"/>
      <c r="E444" s="18"/>
      <c r="F444" s="17"/>
      <c r="G444" s="18"/>
      <c r="H444" s="13"/>
      <c r="I444" s="19">
        <f>IF($E444="","",IF($L444&lt;=0.005,"Pago",IF($D444="","Sem vencimento",IF($D444&lt;Hoje,IF(N($G444)&gt;0,"Vencido (parcial)","Vencido"),IF($D444=Hoje,"Vence hoje","A vencer")))))</f>
        <v>0</v>
      </c>
      <c r="J444" s="20">
        <f>IF(OR($E444="",$D444=""),"",IF(AND($L444&gt;0.005,$D444&lt;Hoje),Hoje-$D444,0))</f>
        <v>0</v>
      </c>
      <c r="K444" s="20">
        <f>IF($J444="","",IF($L444&lt;=0.005,"Pago",IF($J444&lt;=0,"A vencer",IF($J444&lt;=15,"1-15 dias",IF($J444&lt;=30,"16-30 dias",IF($J444&lt;=60,"31-60 dias","Mais de 60 dias"))))))</f>
        <v>0</v>
      </c>
      <c r="L444" s="21">
        <f>IF($E444="","",MAX(0,$E444-N($G444)))</f>
        <v>0</v>
      </c>
      <c r="M444" s="21">
        <f>IF(OR($L444="",$J444=""),"",IF($J444&gt;0,ROUND($L444*Multa+$L444*Juros/30*$J444,2),0))</f>
        <v>0</v>
      </c>
      <c r="N444" s="22">
        <f>IF($L444="","",IF($L444&lt;=0.005,0,$L444+N($M444)))</f>
        <v>0</v>
      </c>
      <c r="O444" s="23">
        <f>IF(OR($I444="Vencido",$I444="Vencido (parcial)"),"Olá, "&amp;$A444&amp;"! Consta em aberto '"&amp;$B444&amp;"' com vencimento em "&amp;DAY($D444)&amp;"/"&amp;MONTH($D444)&amp;"/"&amp;YEAR($D444)&amp;", no valor de R$ "&amp;FIXED($N444,2)&amp;" (com multa e juros). Podemos ajudar a regularizar hoje? Obrigado!",IF($I444="Vence hoje","Olá, "&amp;$A444&amp;"! Lembrete: '"&amp;$B444&amp;"' vence hoje, no valor de R$ "&amp;FIXED($L444,2)&amp;". Obrigado!",""))</f>
        <v>0</v>
      </c>
    </row>
    <row r="445" spans="1:15">
      <c r="A445" s="13"/>
      <c r="B445" s="13"/>
      <c r="C445" s="17"/>
      <c r="D445" s="17"/>
      <c r="E445" s="18"/>
      <c r="F445" s="17"/>
      <c r="G445" s="18"/>
      <c r="H445" s="13"/>
      <c r="I445" s="19">
        <f>IF($E445="","",IF($L445&lt;=0.005,"Pago",IF($D445="","Sem vencimento",IF($D445&lt;Hoje,IF(N($G445)&gt;0,"Vencido (parcial)","Vencido"),IF($D445=Hoje,"Vence hoje","A vencer")))))</f>
        <v>0</v>
      </c>
      <c r="J445" s="20">
        <f>IF(OR($E445="",$D445=""),"",IF(AND($L445&gt;0.005,$D445&lt;Hoje),Hoje-$D445,0))</f>
        <v>0</v>
      </c>
      <c r="K445" s="20">
        <f>IF($J445="","",IF($L445&lt;=0.005,"Pago",IF($J445&lt;=0,"A vencer",IF($J445&lt;=15,"1-15 dias",IF($J445&lt;=30,"16-30 dias",IF($J445&lt;=60,"31-60 dias","Mais de 60 dias"))))))</f>
        <v>0</v>
      </c>
      <c r="L445" s="21">
        <f>IF($E445="","",MAX(0,$E445-N($G445)))</f>
        <v>0</v>
      </c>
      <c r="M445" s="21">
        <f>IF(OR($L445="",$J445=""),"",IF($J445&gt;0,ROUND($L445*Multa+$L445*Juros/30*$J445,2),0))</f>
        <v>0</v>
      </c>
      <c r="N445" s="22">
        <f>IF($L445="","",IF($L445&lt;=0.005,0,$L445+N($M445)))</f>
        <v>0</v>
      </c>
      <c r="O445" s="23">
        <f>IF(OR($I445="Vencido",$I445="Vencido (parcial)"),"Olá, "&amp;$A445&amp;"! Consta em aberto '"&amp;$B445&amp;"' com vencimento em "&amp;DAY($D445)&amp;"/"&amp;MONTH($D445)&amp;"/"&amp;YEAR($D445)&amp;", no valor de R$ "&amp;FIXED($N445,2)&amp;" (com multa e juros). Podemos ajudar a regularizar hoje? Obrigado!",IF($I445="Vence hoje","Olá, "&amp;$A445&amp;"! Lembrete: '"&amp;$B445&amp;"' vence hoje, no valor de R$ "&amp;FIXED($L445,2)&amp;". Obrigado!",""))</f>
        <v>0</v>
      </c>
    </row>
    <row r="446" spans="1:15">
      <c r="A446" s="13"/>
      <c r="B446" s="13"/>
      <c r="C446" s="17"/>
      <c r="D446" s="17"/>
      <c r="E446" s="18"/>
      <c r="F446" s="17"/>
      <c r="G446" s="18"/>
      <c r="H446" s="13"/>
      <c r="I446" s="19">
        <f>IF($E446="","",IF($L446&lt;=0.005,"Pago",IF($D446="","Sem vencimento",IF($D446&lt;Hoje,IF(N($G446)&gt;0,"Vencido (parcial)","Vencido"),IF($D446=Hoje,"Vence hoje","A vencer")))))</f>
        <v>0</v>
      </c>
      <c r="J446" s="20">
        <f>IF(OR($E446="",$D446=""),"",IF(AND($L446&gt;0.005,$D446&lt;Hoje),Hoje-$D446,0))</f>
        <v>0</v>
      </c>
      <c r="K446" s="20">
        <f>IF($J446="","",IF($L446&lt;=0.005,"Pago",IF($J446&lt;=0,"A vencer",IF($J446&lt;=15,"1-15 dias",IF($J446&lt;=30,"16-30 dias",IF($J446&lt;=60,"31-60 dias","Mais de 60 dias"))))))</f>
        <v>0</v>
      </c>
      <c r="L446" s="21">
        <f>IF($E446="","",MAX(0,$E446-N($G446)))</f>
        <v>0</v>
      </c>
      <c r="M446" s="21">
        <f>IF(OR($L446="",$J446=""),"",IF($J446&gt;0,ROUND($L446*Multa+$L446*Juros/30*$J446,2),0))</f>
        <v>0</v>
      </c>
      <c r="N446" s="22">
        <f>IF($L446="","",IF($L446&lt;=0.005,0,$L446+N($M446)))</f>
        <v>0</v>
      </c>
      <c r="O446" s="23">
        <f>IF(OR($I446="Vencido",$I446="Vencido (parcial)"),"Olá, "&amp;$A446&amp;"! Consta em aberto '"&amp;$B446&amp;"' com vencimento em "&amp;DAY($D446)&amp;"/"&amp;MONTH($D446)&amp;"/"&amp;YEAR($D446)&amp;", no valor de R$ "&amp;FIXED($N446,2)&amp;" (com multa e juros). Podemos ajudar a regularizar hoje? Obrigado!",IF($I446="Vence hoje","Olá, "&amp;$A446&amp;"! Lembrete: '"&amp;$B446&amp;"' vence hoje, no valor de R$ "&amp;FIXED($L446,2)&amp;". Obrigado!",""))</f>
        <v>0</v>
      </c>
    </row>
    <row r="447" spans="1:15">
      <c r="A447" s="13"/>
      <c r="B447" s="13"/>
      <c r="C447" s="17"/>
      <c r="D447" s="17"/>
      <c r="E447" s="18"/>
      <c r="F447" s="17"/>
      <c r="G447" s="18"/>
      <c r="H447" s="13"/>
      <c r="I447" s="19">
        <f>IF($E447="","",IF($L447&lt;=0.005,"Pago",IF($D447="","Sem vencimento",IF($D447&lt;Hoje,IF(N($G447)&gt;0,"Vencido (parcial)","Vencido"),IF($D447=Hoje,"Vence hoje","A vencer")))))</f>
        <v>0</v>
      </c>
      <c r="J447" s="20">
        <f>IF(OR($E447="",$D447=""),"",IF(AND($L447&gt;0.005,$D447&lt;Hoje),Hoje-$D447,0))</f>
        <v>0</v>
      </c>
      <c r="K447" s="20">
        <f>IF($J447="","",IF($L447&lt;=0.005,"Pago",IF($J447&lt;=0,"A vencer",IF($J447&lt;=15,"1-15 dias",IF($J447&lt;=30,"16-30 dias",IF($J447&lt;=60,"31-60 dias","Mais de 60 dias"))))))</f>
        <v>0</v>
      </c>
      <c r="L447" s="21">
        <f>IF($E447="","",MAX(0,$E447-N($G447)))</f>
        <v>0</v>
      </c>
      <c r="M447" s="21">
        <f>IF(OR($L447="",$J447=""),"",IF($J447&gt;0,ROUND($L447*Multa+$L447*Juros/30*$J447,2),0))</f>
        <v>0</v>
      </c>
      <c r="N447" s="22">
        <f>IF($L447="","",IF($L447&lt;=0.005,0,$L447+N($M447)))</f>
        <v>0</v>
      </c>
      <c r="O447" s="23">
        <f>IF(OR($I447="Vencido",$I447="Vencido (parcial)"),"Olá, "&amp;$A447&amp;"! Consta em aberto '"&amp;$B447&amp;"' com vencimento em "&amp;DAY($D447)&amp;"/"&amp;MONTH($D447)&amp;"/"&amp;YEAR($D447)&amp;", no valor de R$ "&amp;FIXED($N447,2)&amp;" (com multa e juros). Podemos ajudar a regularizar hoje? Obrigado!",IF($I447="Vence hoje","Olá, "&amp;$A447&amp;"! Lembrete: '"&amp;$B447&amp;"' vence hoje, no valor de R$ "&amp;FIXED($L447,2)&amp;". Obrigado!",""))</f>
        <v>0</v>
      </c>
    </row>
    <row r="448" spans="1:15">
      <c r="A448" s="13"/>
      <c r="B448" s="13"/>
      <c r="C448" s="17"/>
      <c r="D448" s="17"/>
      <c r="E448" s="18"/>
      <c r="F448" s="17"/>
      <c r="G448" s="18"/>
      <c r="H448" s="13"/>
      <c r="I448" s="19">
        <f>IF($E448="","",IF($L448&lt;=0.005,"Pago",IF($D448="","Sem vencimento",IF($D448&lt;Hoje,IF(N($G448)&gt;0,"Vencido (parcial)","Vencido"),IF($D448=Hoje,"Vence hoje","A vencer")))))</f>
        <v>0</v>
      </c>
      <c r="J448" s="20">
        <f>IF(OR($E448="",$D448=""),"",IF(AND($L448&gt;0.005,$D448&lt;Hoje),Hoje-$D448,0))</f>
        <v>0</v>
      </c>
      <c r="K448" s="20">
        <f>IF($J448="","",IF($L448&lt;=0.005,"Pago",IF($J448&lt;=0,"A vencer",IF($J448&lt;=15,"1-15 dias",IF($J448&lt;=30,"16-30 dias",IF($J448&lt;=60,"31-60 dias","Mais de 60 dias"))))))</f>
        <v>0</v>
      </c>
      <c r="L448" s="21">
        <f>IF($E448="","",MAX(0,$E448-N($G448)))</f>
        <v>0</v>
      </c>
      <c r="M448" s="21">
        <f>IF(OR($L448="",$J448=""),"",IF($J448&gt;0,ROUND($L448*Multa+$L448*Juros/30*$J448,2),0))</f>
        <v>0</v>
      </c>
      <c r="N448" s="22">
        <f>IF($L448="","",IF($L448&lt;=0.005,0,$L448+N($M448)))</f>
        <v>0</v>
      </c>
      <c r="O448" s="23">
        <f>IF(OR($I448="Vencido",$I448="Vencido (parcial)"),"Olá, "&amp;$A448&amp;"! Consta em aberto '"&amp;$B448&amp;"' com vencimento em "&amp;DAY($D448)&amp;"/"&amp;MONTH($D448)&amp;"/"&amp;YEAR($D448)&amp;", no valor de R$ "&amp;FIXED($N448,2)&amp;" (com multa e juros). Podemos ajudar a regularizar hoje? Obrigado!",IF($I448="Vence hoje","Olá, "&amp;$A448&amp;"! Lembrete: '"&amp;$B448&amp;"' vence hoje, no valor de R$ "&amp;FIXED($L448,2)&amp;". Obrigado!",""))</f>
        <v>0</v>
      </c>
    </row>
    <row r="449" spans="1:15">
      <c r="A449" s="13"/>
      <c r="B449" s="13"/>
      <c r="C449" s="17"/>
      <c r="D449" s="17"/>
      <c r="E449" s="18"/>
      <c r="F449" s="17"/>
      <c r="G449" s="18"/>
      <c r="H449" s="13"/>
      <c r="I449" s="19">
        <f>IF($E449="","",IF($L449&lt;=0.005,"Pago",IF($D449="","Sem vencimento",IF($D449&lt;Hoje,IF(N($G449)&gt;0,"Vencido (parcial)","Vencido"),IF($D449=Hoje,"Vence hoje","A vencer")))))</f>
        <v>0</v>
      </c>
      <c r="J449" s="20">
        <f>IF(OR($E449="",$D449=""),"",IF(AND($L449&gt;0.005,$D449&lt;Hoje),Hoje-$D449,0))</f>
        <v>0</v>
      </c>
      <c r="K449" s="20">
        <f>IF($J449="","",IF($L449&lt;=0.005,"Pago",IF($J449&lt;=0,"A vencer",IF($J449&lt;=15,"1-15 dias",IF($J449&lt;=30,"16-30 dias",IF($J449&lt;=60,"31-60 dias","Mais de 60 dias"))))))</f>
        <v>0</v>
      </c>
      <c r="L449" s="21">
        <f>IF($E449="","",MAX(0,$E449-N($G449)))</f>
        <v>0</v>
      </c>
      <c r="M449" s="21">
        <f>IF(OR($L449="",$J449=""),"",IF($J449&gt;0,ROUND($L449*Multa+$L449*Juros/30*$J449,2),0))</f>
        <v>0</v>
      </c>
      <c r="N449" s="22">
        <f>IF($L449="","",IF($L449&lt;=0.005,0,$L449+N($M449)))</f>
        <v>0</v>
      </c>
      <c r="O449" s="23">
        <f>IF(OR($I449="Vencido",$I449="Vencido (parcial)"),"Olá, "&amp;$A449&amp;"! Consta em aberto '"&amp;$B449&amp;"' com vencimento em "&amp;DAY($D449)&amp;"/"&amp;MONTH($D449)&amp;"/"&amp;YEAR($D449)&amp;", no valor de R$ "&amp;FIXED($N449,2)&amp;" (com multa e juros). Podemos ajudar a regularizar hoje? Obrigado!",IF($I449="Vence hoje","Olá, "&amp;$A449&amp;"! Lembrete: '"&amp;$B449&amp;"' vence hoje, no valor de R$ "&amp;FIXED($L449,2)&amp;". Obrigado!",""))</f>
        <v>0</v>
      </c>
    </row>
    <row r="450" spans="1:15">
      <c r="A450" s="13"/>
      <c r="B450" s="13"/>
      <c r="C450" s="17"/>
      <c r="D450" s="17"/>
      <c r="E450" s="18"/>
      <c r="F450" s="17"/>
      <c r="G450" s="18"/>
      <c r="H450" s="13"/>
      <c r="I450" s="19">
        <f>IF($E450="","",IF($L450&lt;=0.005,"Pago",IF($D450="","Sem vencimento",IF($D450&lt;Hoje,IF(N($G450)&gt;0,"Vencido (parcial)","Vencido"),IF($D450=Hoje,"Vence hoje","A vencer")))))</f>
        <v>0</v>
      </c>
      <c r="J450" s="20">
        <f>IF(OR($E450="",$D450=""),"",IF(AND($L450&gt;0.005,$D450&lt;Hoje),Hoje-$D450,0))</f>
        <v>0</v>
      </c>
      <c r="K450" s="20">
        <f>IF($J450="","",IF($L450&lt;=0.005,"Pago",IF($J450&lt;=0,"A vencer",IF($J450&lt;=15,"1-15 dias",IF($J450&lt;=30,"16-30 dias",IF($J450&lt;=60,"31-60 dias","Mais de 60 dias"))))))</f>
        <v>0</v>
      </c>
      <c r="L450" s="21">
        <f>IF($E450="","",MAX(0,$E450-N($G450)))</f>
        <v>0</v>
      </c>
      <c r="M450" s="21">
        <f>IF(OR($L450="",$J450=""),"",IF($J450&gt;0,ROUND($L450*Multa+$L450*Juros/30*$J450,2),0))</f>
        <v>0</v>
      </c>
      <c r="N450" s="22">
        <f>IF($L450="","",IF($L450&lt;=0.005,0,$L450+N($M450)))</f>
        <v>0</v>
      </c>
      <c r="O450" s="23">
        <f>IF(OR($I450="Vencido",$I450="Vencido (parcial)"),"Olá, "&amp;$A450&amp;"! Consta em aberto '"&amp;$B450&amp;"' com vencimento em "&amp;DAY($D450)&amp;"/"&amp;MONTH($D450)&amp;"/"&amp;YEAR($D450)&amp;", no valor de R$ "&amp;FIXED($N450,2)&amp;" (com multa e juros). Podemos ajudar a regularizar hoje? Obrigado!",IF($I450="Vence hoje","Olá, "&amp;$A450&amp;"! Lembrete: '"&amp;$B450&amp;"' vence hoje, no valor de R$ "&amp;FIXED($L450,2)&amp;". Obrigado!",""))</f>
        <v>0</v>
      </c>
    </row>
    <row r="451" spans="1:15">
      <c r="A451" s="13"/>
      <c r="B451" s="13"/>
      <c r="C451" s="17"/>
      <c r="D451" s="17"/>
      <c r="E451" s="18"/>
      <c r="F451" s="17"/>
      <c r="G451" s="18"/>
      <c r="H451" s="13"/>
      <c r="I451" s="19">
        <f>IF($E451="","",IF($L451&lt;=0.005,"Pago",IF($D451="","Sem vencimento",IF($D451&lt;Hoje,IF(N($G451)&gt;0,"Vencido (parcial)","Vencido"),IF($D451=Hoje,"Vence hoje","A vencer")))))</f>
        <v>0</v>
      </c>
      <c r="J451" s="20">
        <f>IF(OR($E451="",$D451=""),"",IF(AND($L451&gt;0.005,$D451&lt;Hoje),Hoje-$D451,0))</f>
        <v>0</v>
      </c>
      <c r="K451" s="20">
        <f>IF($J451="","",IF($L451&lt;=0.005,"Pago",IF($J451&lt;=0,"A vencer",IF($J451&lt;=15,"1-15 dias",IF($J451&lt;=30,"16-30 dias",IF($J451&lt;=60,"31-60 dias","Mais de 60 dias"))))))</f>
        <v>0</v>
      </c>
      <c r="L451" s="21">
        <f>IF($E451="","",MAX(0,$E451-N($G451)))</f>
        <v>0</v>
      </c>
      <c r="M451" s="21">
        <f>IF(OR($L451="",$J451=""),"",IF($J451&gt;0,ROUND($L451*Multa+$L451*Juros/30*$J451,2),0))</f>
        <v>0</v>
      </c>
      <c r="N451" s="22">
        <f>IF($L451="","",IF($L451&lt;=0.005,0,$L451+N($M451)))</f>
        <v>0</v>
      </c>
      <c r="O451" s="23">
        <f>IF(OR($I451="Vencido",$I451="Vencido (parcial)"),"Olá, "&amp;$A451&amp;"! Consta em aberto '"&amp;$B451&amp;"' com vencimento em "&amp;DAY($D451)&amp;"/"&amp;MONTH($D451)&amp;"/"&amp;YEAR($D451)&amp;", no valor de R$ "&amp;FIXED($N451,2)&amp;" (com multa e juros). Podemos ajudar a regularizar hoje? Obrigado!",IF($I451="Vence hoje","Olá, "&amp;$A451&amp;"! Lembrete: '"&amp;$B451&amp;"' vence hoje, no valor de R$ "&amp;FIXED($L451,2)&amp;". Obrigado!",""))</f>
        <v>0</v>
      </c>
    </row>
    <row r="452" spans="1:15">
      <c r="A452" s="13"/>
      <c r="B452" s="13"/>
      <c r="C452" s="17"/>
      <c r="D452" s="17"/>
      <c r="E452" s="18"/>
      <c r="F452" s="17"/>
      <c r="G452" s="18"/>
      <c r="H452" s="13"/>
      <c r="I452" s="19">
        <f>IF($E452="","",IF($L452&lt;=0.005,"Pago",IF($D452="","Sem vencimento",IF($D452&lt;Hoje,IF(N($G452)&gt;0,"Vencido (parcial)","Vencido"),IF($D452=Hoje,"Vence hoje","A vencer")))))</f>
        <v>0</v>
      </c>
      <c r="J452" s="20">
        <f>IF(OR($E452="",$D452=""),"",IF(AND($L452&gt;0.005,$D452&lt;Hoje),Hoje-$D452,0))</f>
        <v>0</v>
      </c>
      <c r="K452" s="20">
        <f>IF($J452="","",IF($L452&lt;=0.005,"Pago",IF($J452&lt;=0,"A vencer",IF($J452&lt;=15,"1-15 dias",IF($J452&lt;=30,"16-30 dias",IF($J452&lt;=60,"31-60 dias","Mais de 60 dias"))))))</f>
        <v>0</v>
      </c>
      <c r="L452" s="21">
        <f>IF($E452="","",MAX(0,$E452-N($G452)))</f>
        <v>0</v>
      </c>
      <c r="M452" s="21">
        <f>IF(OR($L452="",$J452=""),"",IF($J452&gt;0,ROUND($L452*Multa+$L452*Juros/30*$J452,2),0))</f>
        <v>0</v>
      </c>
      <c r="N452" s="22">
        <f>IF($L452="","",IF($L452&lt;=0.005,0,$L452+N($M452)))</f>
        <v>0</v>
      </c>
      <c r="O452" s="23">
        <f>IF(OR($I452="Vencido",$I452="Vencido (parcial)"),"Olá, "&amp;$A452&amp;"! Consta em aberto '"&amp;$B452&amp;"' com vencimento em "&amp;DAY($D452)&amp;"/"&amp;MONTH($D452)&amp;"/"&amp;YEAR($D452)&amp;", no valor de R$ "&amp;FIXED($N452,2)&amp;" (com multa e juros). Podemos ajudar a regularizar hoje? Obrigado!",IF($I452="Vence hoje","Olá, "&amp;$A452&amp;"! Lembrete: '"&amp;$B452&amp;"' vence hoje, no valor de R$ "&amp;FIXED($L452,2)&amp;". Obrigado!",""))</f>
        <v>0</v>
      </c>
    </row>
    <row r="453" spans="1:15">
      <c r="A453" s="13"/>
      <c r="B453" s="13"/>
      <c r="C453" s="17"/>
      <c r="D453" s="17"/>
      <c r="E453" s="18"/>
      <c r="F453" s="17"/>
      <c r="G453" s="18"/>
      <c r="H453" s="13"/>
      <c r="I453" s="19">
        <f>IF($E453="","",IF($L453&lt;=0.005,"Pago",IF($D453="","Sem vencimento",IF($D453&lt;Hoje,IF(N($G453)&gt;0,"Vencido (parcial)","Vencido"),IF($D453=Hoje,"Vence hoje","A vencer")))))</f>
        <v>0</v>
      </c>
      <c r="J453" s="20">
        <f>IF(OR($E453="",$D453=""),"",IF(AND($L453&gt;0.005,$D453&lt;Hoje),Hoje-$D453,0))</f>
        <v>0</v>
      </c>
      <c r="K453" s="20">
        <f>IF($J453="","",IF($L453&lt;=0.005,"Pago",IF($J453&lt;=0,"A vencer",IF($J453&lt;=15,"1-15 dias",IF($J453&lt;=30,"16-30 dias",IF($J453&lt;=60,"31-60 dias","Mais de 60 dias"))))))</f>
        <v>0</v>
      </c>
      <c r="L453" s="21">
        <f>IF($E453="","",MAX(0,$E453-N($G453)))</f>
        <v>0</v>
      </c>
      <c r="M453" s="21">
        <f>IF(OR($L453="",$J453=""),"",IF($J453&gt;0,ROUND($L453*Multa+$L453*Juros/30*$J453,2),0))</f>
        <v>0</v>
      </c>
      <c r="N453" s="22">
        <f>IF($L453="","",IF($L453&lt;=0.005,0,$L453+N($M453)))</f>
        <v>0</v>
      </c>
      <c r="O453" s="23">
        <f>IF(OR($I453="Vencido",$I453="Vencido (parcial)"),"Olá, "&amp;$A453&amp;"! Consta em aberto '"&amp;$B453&amp;"' com vencimento em "&amp;DAY($D453)&amp;"/"&amp;MONTH($D453)&amp;"/"&amp;YEAR($D453)&amp;", no valor de R$ "&amp;FIXED($N453,2)&amp;" (com multa e juros). Podemos ajudar a regularizar hoje? Obrigado!",IF($I453="Vence hoje","Olá, "&amp;$A453&amp;"! Lembrete: '"&amp;$B453&amp;"' vence hoje, no valor de R$ "&amp;FIXED($L453,2)&amp;". Obrigado!",""))</f>
        <v>0</v>
      </c>
    </row>
    <row r="454" spans="1:15">
      <c r="A454" s="13"/>
      <c r="B454" s="13"/>
      <c r="C454" s="17"/>
      <c r="D454" s="17"/>
      <c r="E454" s="18"/>
      <c r="F454" s="17"/>
      <c r="G454" s="18"/>
      <c r="H454" s="13"/>
      <c r="I454" s="19">
        <f>IF($E454="","",IF($L454&lt;=0.005,"Pago",IF($D454="","Sem vencimento",IF($D454&lt;Hoje,IF(N($G454)&gt;0,"Vencido (parcial)","Vencido"),IF($D454=Hoje,"Vence hoje","A vencer")))))</f>
        <v>0</v>
      </c>
      <c r="J454" s="20">
        <f>IF(OR($E454="",$D454=""),"",IF(AND($L454&gt;0.005,$D454&lt;Hoje),Hoje-$D454,0))</f>
        <v>0</v>
      </c>
      <c r="K454" s="20">
        <f>IF($J454="","",IF($L454&lt;=0.005,"Pago",IF($J454&lt;=0,"A vencer",IF($J454&lt;=15,"1-15 dias",IF($J454&lt;=30,"16-30 dias",IF($J454&lt;=60,"31-60 dias","Mais de 60 dias"))))))</f>
        <v>0</v>
      </c>
      <c r="L454" s="21">
        <f>IF($E454="","",MAX(0,$E454-N($G454)))</f>
        <v>0</v>
      </c>
      <c r="M454" s="21">
        <f>IF(OR($L454="",$J454=""),"",IF($J454&gt;0,ROUND($L454*Multa+$L454*Juros/30*$J454,2),0))</f>
        <v>0</v>
      </c>
      <c r="N454" s="22">
        <f>IF($L454="","",IF($L454&lt;=0.005,0,$L454+N($M454)))</f>
        <v>0</v>
      </c>
      <c r="O454" s="23">
        <f>IF(OR($I454="Vencido",$I454="Vencido (parcial)"),"Olá, "&amp;$A454&amp;"! Consta em aberto '"&amp;$B454&amp;"' com vencimento em "&amp;DAY($D454)&amp;"/"&amp;MONTH($D454)&amp;"/"&amp;YEAR($D454)&amp;", no valor de R$ "&amp;FIXED($N454,2)&amp;" (com multa e juros). Podemos ajudar a regularizar hoje? Obrigado!",IF($I454="Vence hoje","Olá, "&amp;$A454&amp;"! Lembrete: '"&amp;$B454&amp;"' vence hoje, no valor de R$ "&amp;FIXED($L454,2)&amp;". Obrigado!",""))</f>
        <v>0</v>
      </c>
    </row>
    <row r="455" spans="1:15">
      <c r="A455" s="13"/>
      <c r="B455" s="13"/>
      <c r="C455" s="17"/>
      <c r="D455" s="17"/>
      <c r="E455" s="18"/>
      <c r="F455" s="17"/>
      <c r="G455" s="18"/>
      <c r="H455" s="13"/>
      <c r="I455" s="19">
        <f>IF($E455="","",IF($L455&lt;=0.005,"Pago",IF($D455="","Sem vencimento",IF($D455&lt;Hoje,IF(N($G455)&gt;0,"Vencido (parcial)","Vencido"),IF($D455=Hoje,"Vence hoje","A vencer")))))</f>
        <v>0</v>
      </c>
      <c r="J455" s="20">
        <f>IF(OR($E455="",$D455=""),"",IF(AND($L455&gt;0.005,$D455&lt;Hoje),Hoje-$D455,0))</f>
        <v>0</v>
      </c>
      <c r="K455" s="20">
        <f>IF($J455="","",IF($L455&lt;=0.005,"Pago",IF($J455&lt;=0,"A vencer",IF($J455&lt;=15,"1-15 dias",IF($J455&lt;=30,"16-30 dias",IF($J455&lt;=60,"31-60 dias","Mais de 60 dias"))))))</f>
        <v>0</v>
      </c>
      <c r="L455" s="21">
        <f>IF($E455="","",MAX(0,$E455-N($G455)))</f>
        <v>0</v>
      </c>
      <c r="M455" s="21">
        <f>IF(OR($L455="",$J455=""),"",IF($J455&gt;0,ROUND($L455*Multa+$L455*Juros/30*$J455,2),0))</f>
        <v>0</v>
      </c>
      <c r="N455" s="22">
        <f>IF($L455="","",IF($L455&lt;=0.005,0,$L455+N($M455)))</f>
        <v>0</v>
      </c>
      <c r="O455" s="23">
        <f>IF(OR($I455="Vencido",$I455="Vencido (parcial)"),"Olá, "&amp;$A455&amp;"! Consta em aberto '"&amp;$B455&amp;"' com vencimento em "&amp;DAY($D455)&amp;"/"&amp;MONTH($D455)&amp;"/"&amp;YEAR($D455)&amp;", no valor de R$ "&amp;FIXED($N455,2)&amp;" (com multa e juros). Podemos ajudar a regularizar hoje? Obrigado!",IF($I455="Vence hoje","Olá, "&amp;$A455&amp;"! Lembrete: '"&amp;$B455&amp;"' vence hoje, no valor de R$ "&amp;FIXED($L455,2)&amp;". Obrigado!",""))</f>
        <v>0</v>
      </c>
    </row>
    <row r="456" spans="1:15">
      <c r="A456" s="13"/>
      <c r="B456" s="13"/>
      <c r="C456" s="17"/>
      <c r="D456" s="17"/>
      <c r="E456" s="18"/>
      <c r="F456" s="17"/>
      <c r="G456" s="18"/>
      <c r="H456" s="13"/>
      <c r="I456" s="19">
        <f>IF($E456="","",IF($L456&lt;=0.005,"Pago",IF($D456="","Sem vencimento",IF($D456&lt;Hoje,IF(N($G456)&gt;0,"Vencido (parcial)","Vencido"),IF($D456=Hoje,"Vence hoje","A vencer")))))</f>
        <v>0</v>
      </c>
      <c r="J456" s="20">
        <f>IF(OR($E456="",$D456=""),"",IF(AND($L456&gt;0.005,$D456&lt;Hoje),Hoje-$D456,0))</f>
        <v>0</v>
      </c>
      <c r="K456" s="20">
        <f>IF($J456="","",IF($L456&lt;=0.005,"Pago",IF($J456&lt;=0,"A vencer",IF($J456&lt;=15,"1-15 dias",IF($J456&lt;=30,"16-30 dias",IF($J456&lt;=60,"31-60 dias","Mais de 60 dias"))))))</f>
        <v>0</v>
      </c>
      <c r="L456" s="21">
        <f>IF($E456="","",MAX(0,$E456-N($G456)))</f>
        <v>0</v>
      </c>
      <c r="M456" s="21">
        <f>IF(OR($L456="",$J456=""),"",IF($J456&gt;0,ROUND($L456*Multa+$L456*Juros/30*$J456,2),0))</f>
        <v>0</v>
      </c>
      <c r="N456" s="22">
        <f>IF($L456="","",IF($L456&lt;=0.005,0,$L456+N($M456)))</f>
        <v>0</v>
      </c>
      <c r="O456" s="23">
        <f>IF(OR($I456="Vencido",$I456="Vencido (parcial)"),"Olá, "&amp;$A456&amp;"! Consta em aberto '"&amp;$B456&amp;"' com vencimento em "&amp;DAY($D456)&amp;"/"&amp;MONTH($D456)&amp;"/"&amp;YEAR($D456)&amp;", no valor de R$ "&amp;FIXED($N456,2)&amp;" (com multa e juros). Podemos ajudar a regularizar hoje? Obrigado!",IF($I456="Vence hoje","Olá, "&amp;$A456&amp;"! Lembrete: '"&amp;$B456&amp;"' vence hoje, no valor de R$ "&amp;FIXED($L456,2)&amp;". Obrigado!",""))</f>
        <v>0</v>
      </c>
    </row>
    <row r="457" spans="1:15">
      <c r="A457" s="13"/>
      <c r="B457" s="13"/>
      <c r="C457" s="17"/>
      <c r="D457" s="17"/>
      <c r="E457" s="18"/>
      <c r="F457" s="17"/>
      <c r="G457" s="18"/>
      <c r="H457" s="13"/>
      <c r="I457" s="19">
        <f>IF($E457="","",IF($L457&lt;=0.005,"Pago",IF($D457="","Sem vencimento",IF($D457&lt;Hoje,IF(N($G457)&gt;0,"Vencido (parcial)","Vencido"),IF($D457=Hoje,"Vence hoje","A vencer")))))</f>
        <v>0</v>
      </c>
      <c r="J457" s="20">
        <f>IF(OR($E457="",$D457=""),"",IF(AND($L457&gt;0.005,$D457&lt;Hoje),Hoje-$D457,0))</f>
        <v>0</v>
      </c>
      <c r="K457" s="20">
        <f>IF($J457="","",IF($L457&lt;=0.005,"Pago",IF($J457&lt;=0,"A vencer",IF($J457&lt;=15,"1-15 dias",IF($J457&lt;=30,"16-30 dias",IF($J457&lt;=60,"31-60 dias","Mais de 60 dias"))))))</f>
        <v>0</v>
      </c>
      <c r="L457" s="21">
        <f>IF($E457="","",MAX(0,$E457-N($G457)))</f>
        <v>0</v>
      </c>
      <c r="M457" s="21">
        <f>IF(OR($L457="",$J457=""),"",IF($J457&gt;0,ROUND($L457*Multa+$L457*Juros/30*$J457,2),0))</f>
        <v>0</v>
      </c>
      <c r="N457" s="22">
        <f>IF($L457="","",IF($L457&lt;=0.005,0,$L457+N($M457)))</f>
        <v>0</v>
      </c>
      <c r="O457" s="23">
        <f>IF(OR($I457="Vencido",$I457="Vencido (parcial)"),"Olá, "&amp;$A457&amp;"! Consta em aberto '"&amp;$B457&amp;"' com vencimento em "&amp;DAY($D457)&amp;"/"&amp;MONTH($D457)&amp;"/"&amp;YEAR($D457)&amp;", no valor de R$ "&amp;FIXED($N457,2)&amp;" (com multa e juros). Podemos ajudar a regularizar hoje? Obrigado!",IF($I457="Vence hoje","Olá, "&amp;$A457&amp;"! Lembrete: '"&amp;$B457&amp;"' vence hoje, no valor de R$ "&amp;FIXED($L457,2)&amp;". Obrigado!",""))</f>
        <v>0</v>
      </c>
    </row>
    <row r="458" spans="1:15">
      <c r="A458" s="13"/>
      <c r="B458" s="13"/>
      <c r="C458" s="17"/>
      <c r="D458" s="17"/>
      <c r="E458" s="18"/>
      <c r="F458" s="17"/>
      <c r="G458" s="18"/>
      <c r="H458" s="13"/>
      <c r="I458" s="19">
        <f>IF($E458="","",IF($L458&lt;=0.005,"Pago",IF($D458="","Sem vencimento",IF($D458&lt;Hoje,IF(N($G458)&gt;0,"Vencido (parcial)","Vencido"),IF($D458=Hoje,"Vence hoje","A vencer")))))</f>
        <v>0</v>
      </c>
      <c r="J458" s="20">
        <f>IF(OR($E458="",$D458=""),"",IF(AND($L458&gt;0.005,$D458&lt;Hoje),Hoje-$D458,0))</f>
        <v>0</v>
      </c>
      <c r="K458" s="20">
        <f>IF($J458="","",IF($L458&lt;=0.005,"Pago",IF($J458&lt;=0,"A vencer",IF($J458&lt;=15,"1-15 dias",IF($J458&lt;=30,"16-30 dias",IF($J458&lt;=60,"31-60 dias","Mais de 60 dias"))))))</f>
        <v>0</v>
      </c>
      <c r="L458" s="21">
        <f>IF($E458="","",MAX(0,$E458-N($G458)))</f>
        <v>0</v>
      </c>
      <c r="M458" s="21">
        <f>IF(OR($L458="",$J458=""),"",IF($J458&gt;0,ROUND($L458*Multa+$L458*Juros/30*$J458,2),0))</f>
        <v>0</v>
      </c>
      <c r="N458" s="22">
        <f>IF($L458="","",IF($L458&lt;=0.005,0,$L458+N($M458)))</f>
        <v>0</v>
      </c>
      <c r="O458" s="23">
        <f>IF(OR($I458="Vencido",$I458="Vencido (parcial)"),"Olá, "&amp;$A458&amp;"! Consta em aberto '"&amp;$B458&amp;"' com vencimento em "&amp;DAY($D458)&amp;"/"&amp;MONTH($D458)&amp;"/"&amp;YEAR($D458)&amp;", no valor de R$ "&amp;FIXED($N458,2)&amp;" (com multa e juros). Podemos ajudar a regularizar hoje? Obrigado!",IF($I458="Vence hoje","Olá, "&amp;$A458&amp;"! Lembrete: '"&amp;$B458&amp;"' vence hoje, no valor de R$ "&amp;FIXED($L458,2)&amp;". Obrigado!",""))</f>
        <v>0</v>
      </c>
    </row>
    <row r="459" spans="1:15">
      <c r="A459" s="13"/>
      <c r="B459" s="13"/>
      <c r="C459" s="17"/>
      <c r="D459" s="17"/>
      <c r="E459" s="18"/>
      <c r="F459" s="17"/>
      <c r="G459" s="18"/>
      <c r="H459" s="13"/>
      <c r="I459" s="19">
        <f>IF($E459="","",IF($L459&lt;=0.005,"Pago",IF($D459="","Sem vencimento",IF($D459&lt;Hoje,IF(N($G459)&gt;0,"Vencido (parcial)","Vencido"),IF($D459=Hoje,"Vence hoje","A vencer")))))</f>
        <v>0</v>
      </c>
      <c r="J459" s="20">
        <f>IF(OR($E459="",$D459=""),"",IF(AND($L459&gt;0.005,$D459&lt;Hoje),Hoje-$D459,0))</f>
        <v>0</v>
      </c>
      <c r="K459" s="20">
        <f>IF($J459="","",IF($L459&lt;=0.005,"Pago",IF($J459&lt;=0,"A vencer",IF($J459&lt;=15,"1-15 dias",IF($J459&lt;=30,"16-30 dias",IF($J459&lt;=60,"31-60 dias","Mais de 60 dias"))))))</f>
        <v>0</v>
      </c>
      <c r="L459" s="21">
        <f>IF($E459="","",MAX(0,$E459-N($G459)))</f>
        <v>0</v>
      </c>
      <c r="M459" s="21">
        <f>IF(OR($L459="",$J459=""),"",IF($J459&gt;0,ROUND($L459*Multa+$L459*Juros/30*$J459,2),0))</f>
        <v>0</v>
      </c>
      <c r="N459" s="22">
        <f>IF($L459="","",IF($L459&lt;=0.005,0,$L459+N($M459)))</f>
        <v>0</v>
      </c>
      <c r="O459" s="23">
        <f>IF(OR($I459="Vencido",$I459="Vencido (parcial)"),"Olá, "&amp;$A459&amp;"! Consta em aberto '"&amp;$B459&amp;"' com vencimento em "&amp;DAY($D459)&amp;"/"&amp;MONTH($D459)&amp;"/"&amp;YEAR($D459)&amp;", no valor de R$ "&amp;FIXED($N459,2)&amp;" (com multa e juros). Podemos ajudar a regularizar hoje? Obrigado!",IF($I459="Vence hoje","Olá, "&amp;$A459&amp;"! Lembrete: '"&amp;$B459&amp;"' vence hoje, no valor de R$ "&amp;FIXED($L459,2)&amp;". Obrigado!",""))</f>
        <v>0</v>
      </c>
    </row>
    <row r="460" spans="1:15">
      <c r="A460" s="13"/>
      <c r="B460" s="13"/>
      <c r="C460" s="17"/>
      <c r="D460" s="17"/>
      <c r="E460" s="18"/>
      <c r="F460" s="17"/>
      <c r="G460" s="18"/>
      <c r="H460" s="13"/>
      <c r="I460" s="19">
        <f>IF($E460="","",IF($L460&lt;=0.005,"Pago",IF($D460="","Sem vencimento",IF($D460&lt;Hoje,IF(N($G460)&gt;0,"Vencido (parcial)","Vencido"),IF($D460=Hoje,"Vence hoje","A vencer")))))</f>
        <v>0</v>
      </c>
      <c r="J460" s="20">
        <f>IF(OR($E460="",$D460=""),"",IF(AND($L460&gt;0.005,$D460&lt;Hoje),Hoje-$D460,0))</f>
        <v>0</v>
      </c>
      <c r="K460" s="20">
        <f>IF($J460="","",IF($L460&lt;=0.005,"Pago",IF($J460&lt;=0,"A vencer",IF($J460&lt;=15,"1-15 dias",IF($J460&lt;=30,"16-30 dias",IF($J460&lt;=60,"31-60 dias","Mais de 60 dias"))))))</f>
        <v>0</v>
      </c>
      <c r="L460" s="21">
        <f>IF($E460="","",MAX(0,$E460-N($G460)))</f>
        <v>0</v>
      </c>
      <c r="M460" s="21">
        <f>IF(OR($L460="",$J460=""),"",IF($J460&gt;0,ROUND($L460*Multa+$L460*Juros/30*$J460,2),0))</f>
        <v>0</v>
      </c>
      <c r="N460" s="22">
        <f>IF($L460="","",IF($L460&lt;=0.005,0,$L460+N($M460)))</f>
        <v>0</v>
      </c>
      <c r="O460" s="23">
        <f>IF(OR($I460="Vencido",$I460="Vencido (parcial)"),"Olá, "&amp;$A460&amp;"! Consta em aberto '"&amp;$B460&amp;"' com vencimento em "&amp;DAY($D460)&amp;"/"&amp;MONTH($D460)&amp;"/"&amp;YEAR($D460)&amp;", no valor de R$ "&amp;FIXED($N460,2)&amp;" (com multa e juros). Podemos ajudar a regularizar hoje? Obrigado!",IF($I460="Vence hoje","Olá, "&amp;$A460&amp;"! Lembrete: '"&amp;$B460&amp;"' vence hoje, no valor de R$ "&amp;FIXED($L460,2)&amp;". Obrigado!",""))</f>
        <v>0</v>
      </c>
    </row>
    <row r="461" spans="1:15">
      <c r="A461" s="13"/>
      <c r="B461" s="13"/>
      <c r="C461" s="17"/>
      <c r="D461" s="17"/>
      <c r="E461" s="18"/>
      <c r="F461" s="17"/>
      <c r="G461" s="18"/>
      <c r="H461" s="13"/>
      <c r="I461" s="19">
        <f>IF($E461="","",IF($L461&lt;=0.005,"Pago",IF($D461="","Sem vencimento",IF($D461&lt;Hoje,IF(N($G461)&gt;0,"Vencido (parcial)","Vencido"),IF($D461=Hoje,"Vence hoje","A vencer")))))</f>
        <v>0</v>
      </c>
      <c r="J461" s="20">
        <f>IF(OR($E461="",$D461=""),"",IF(AND($L461&gt;0.005,$D461&lt;Hoje),Hoje-$D461,0))</f>
        <v>0</v>
      </c>
      <c r="K461" s="20">
        <f>IF($J461="","",IF($L461&lt;=0.005,"Pago",IF($J461&lt;=0,"A vencer",IF($J461&lt;=15,"1-15 dias",IF($J461&lt;=30,"16-30 dias",IF($J461&lt;=60,"31-60 dias","Mais de 60 dias"))))))</f>
        <v>0</v>
      </c>
      <c r="L461" s="21">
        <f>IF($E461="","",MAX(0,$E461-N($G461)))</f>
        <v>0</v>
      </c>
      <c r="M461" s="21">
        <f>IF(OR($L461="",$J461=""),"",IF($J461&gt;0,ROUND($L461*Multa+$L461*Juros/30*$J461,2),0))</f>
        <v>0</v>
      </c>
      <c r="N461" s="22">
        <f>IF($L461="","",IF($L461&lt;=0.005,0,$L461+N($M461)))</f>
        <v>0</v>
      </c>
      <c r="O461" s="23">
        <f>IF(OR($I461="Vencido",$I461="Vencido (parcial)"),"Olá, "&amp;$A461&amp;"! Consta em aberto '"&amp;$B461&amp;"' com vencimento em "&amp;DAY($D461)&amp;"/"&amp;MONTH($D461)&amp;"/"&amp;YEAR($D461)&amp;", no valor de R$ "&amp;FIXED($N461,2)&amp;" (com multa e juros). Podemos ajudar a regularizar hoje? Obrigado!",IF($I461="Vence hoje","Olá, "&amp;$A461&amp;"! Lembrete: '"&amp;$B461&amp;"' vence hoje, no valor de R$ "&amp;FIXED($L461,2)&amp;". Obrigado!",""))</f>
        <v>0</v>
      </c>
    </row>
    <row r="462" spans="1:15">
      <c r="A462" s="13"/>
      <c r="B462" s="13"/>
      <c r="C462" s="17"/>
      <c r="D462" s="17"/>
      <c r="E462" s="18"/>
      <c r="F462" s="17"/>
      <c r="G462" s="18"/>
      <c r="H462" s="13"/>
      <c r="I462" s="19">
        <f>IF($E462="","",IF($L462&lt;=0.005,"Pago",IF($D462="","Sem vencimento",IF($D462&lt;Hoje,IF(N($G462)&gt;0,"Vencido (parcial)","Vencido"),IF($D462=Hoje,"Vence hoje","A vencer")))))</f>
        <v>0</v>
      </c>
      <c r="J462" s="20">
        <f>IF(OR($E462="",$D462=""),"",IF(AND($L462&gt;0.005,$D462&lt;Hoje),Hoje-$D462,0))</f>
        <v>0</v>
      </c>
      <c r="K462" s="20">
        <f>IF($J462="","",IF($L462&lt;=0.005,"Pago",IF($J462&lt;=0,"A vencer",IF($J462&lt;=15,"1-15 dias",IF($J462&lt;=30,"16-30 dias",IF($J462&lt;=60,"31-60 dias","Mais de 60 dias"))))))</f>
        <v>0</v>
      </c>
      <c r="L462" s="21">
        <f>IF($E462="","",MAX(0,$E462-N($G462)))</f>
        <v>0</v>
      </c>
      <c r="M462" s="21">
        <f>IF(OR($L462="",$J462=""),"",IF($J462&gt;0,ROUND($L462*Multa+$L462*Juros/30*$J462,2),0))</f>
        <v>0</v>
      </c>
      <c r="N462" s="22">
        <f>IF($L462="","",IF($L462&lt;=0.005,0,$L462+N($M462)))</f>
        <v>0</v>
      </c>
      <c r="O462" s="23">
        <f>IF(OR($I462="Vencido",$I462="Vencido (parcial)"),"Olá, "&amp;$A462&amp;"! Consta em aberto '"&amp;$B462&amp;"' com vencimento em "&amp;DAY($D462)&amp;"/"&amp;MONTH($D462)&amp;"/"&amp;YEAR($D462)&amp;", no valor de R$ "&amp;FIXED($N462,2)&amp;" (com multa e juros). Podemos ajudar a regularizar hoje? Obrigado!",IF($I462="Vence hoje","Olá, "&amp;$A462&amp;"! Lembrete: '"&amp;$B462&amp;"' vence hoje, no valor de R$ "&amp;FIXED($L462,2)&amp;". Obrigado!",""))</f>
        <v>0</v>
      </c>
    </row>
    <row r="463" spans="1:15">
      <c r="A463" s="13"/>
      <c r="B463" s="13"/>
      <c r="C463" s="17"/>
      <c r="D463" s="17"/>
      <c r="E463" s="18"/>
      <c r="F463" s="17"/>
      <c r="G463" s="18"/>
      <c r="H463" s="13"/>
      <c r="I463" s="19">
        <f>IF($E463="","",IF($L463&lt;=0.005,"Pago",IF($D463="","Sem vencimento",IF($D463&lt;Hoje,IF(N($G463)&gt;0,"Vencido (parcial)","Vencido"),IF($D463=Hoje,"Vence hoje","A vencer")))))</f>
        <v>0</v>
      </c>
      <c r="J463" s="20">
        <f>IF(OR($E463="",$D463=""),"",IF(AND($L463&gt;0.005,$D463&lt;Hoje),Hoje-$D463,0))</f>
        <v>0</v>
      </c>
      <c r="K463" s="20">
        <f>IF($J463="","",IF($L463&lt;=0.005,"Pago",IF($J463&lt;=0,"A vencer",IF($J463&lt;=15,"1-15 dias",IF($J463&lt;=30,"16-30 dias",IF($J463&lt;=60,"31-60 dias","Mais de 60 dias"))))))</f>
        <v>0</v>
      </c>
      <c r="L463" s="21">
        <f>IF($E463="","",MAX(0,$E463-N($G463)))</f>
        <v>0</v>
      </c>
      <c r="M463" s="21">
        <f>IF(OR($L463="",$J463=""),"",IF($J463&gt;0,ROUND($L463*Multa+$L463*Juros/30*$J463,2),0))</f>
        <v>0</v>
      </c>
      <c r="N463" s="22">
        <f>IF($L463="","",IF($L463&lt;=0.005,0,$L463+N($M463)))</f>
        <v>0</v>
      </c>
      <c r="O463" s="23">
        <f>IF(OR($I463="Vencido",$I463="Vencido (parcial)"),"Olá, "&amp;$A463&amp;"! Consta em aberto '"&amp;$B463&amp;"' com vencimento em "&amp;DAY($D463)&amp;"/"&amp;MONTH($D463)&amp;"/"&amp;YEAR($D463)&amp;", no valor de R$ "&amp;FIXED($N463,2)&amp;" (com multa e juros). Podemos ajudar a regularizar hoje? Obrigado!",IF($I463="Vence hoje","Olá, "&amp;$A463&amp;"! Lembrete: '"&amp;$B463&amp;"' vence hoje, no valor de R$ "&amp;FIXED($L463,2)&amp;". Obrigado!",""))</f>
        <v>0</v>
      </c>
    </row>
    <row r="464" spans="1:15">
      <c r="A464" s="13"/>
      <c r="B464" s="13"/>
      <c r="C464" s="17"/>
      <c r="D464" s="17"/>
      <c r="E464" s="18"/>
      <c r="F464" s="17"/>
      <c r="G464" s="18"/>
      <c r="H464" s="13"/>
      <c r="I464" s="19">
        <f>IF($E464="","",IF($L464&lt;=0.005,"Pago",IF($D464="","Sem vencimento",IF($D464&lt;Hoje,IF(N($G464)&gt;0,"Vencido (parcial)","Vencido"),IF($D464=Hoje,"Vence hoje","A vencer")))))</f>
        <v>0</v>
      </c>
      <c r="J464" s="20">
        <f>IF(OR($E464="",$D464=""),"",IF(AND($L464&gt;0.005,$D464&lt;Hoje),Hoje-$D464,0))</f>
        <v>0</v>
      </c>
      <c r="K464" s="20">
        <f>IF($J464="","",IF($L464&lt;=0.005,"Pago",IF($J464&lt;=0,"A vencer",IF($J464&lt;=15,"1-15 dias",IF($J464&lt;=30,"16-30 dias",IF($J464&lt;=60,"31-60 dias","Mais de 60 dias"))))))</f>
        <v>0</v>
      </c>
      <c r="L464" s="21">
        <f>IF($E464="","",MAX(0,$E464-N($G464)))</f>
        <v>0</v>
      </c>
      <c r="M464" s="21">
        <f>IF(OR($L464="",$J464=""),"",IF($J464&gt;0,ROUND($L464*Multa+$L464*Juros/30*$J464,2),0))</f>
        <v>0</v>
      </c>
      <c r="N464" s="22">
        <f>IF($L464="","",IF($L464&lt;=0.005,0,$L464+N($M464)))</f>
        <v>0</v>
      </c>
      <c r="O464" s="23">
        <f>IF(OR($I464="Vencido",$I464="Vencido (parcial)"),"Olá, "&amp;$A464&amp;"! Consta em aberto '"&amp;$B464&amp;"' com vencimento em "&amp;DAY($D464)&amp;"/"&amp;MONTH($D464)&amp;"/"&amp;YEAR($D464)&amp;", no valor de R$ "&amp;FIXED($N464,2)&amp;" (com multa e juros). Podemos ajudar a regularizar hoje? Obrigado!",IF($I464="Vence hoje","Olá, "&amp;$A464&amp;"! Lembrete: '"&amp;$B464&amp;"' vence hoje, no valor de R$ "&amp;FIXED($L464,2)&amp;". Obrigado!",""))</f>
        <v>0</v>
      </c>
    </row>
    <row r="465" spans="1:15">
      <c r="A465" s="13"/>
      <c r="B465" s="13"/>
      <c r="C465" s="17"/>
      <c r="D465" s="17"/>
      <c r="E465" s="18"/>
      <c r="F465" s="17"/>
      <c r="G465" s="18"/>
      <c r="H465" s="13"/>
      <c r="I465" s="19">
        <f>IF($E465="","",IF($L465&lt;=0.005,"Pago",IF($D465="","Sem vencimento",IF($D465&lt;Hoje,IF(N($G465)&gt;0,"Vencido (parcial)","Vencido"),IF($D465=Hoje,"Vence hoje","A vencer")))))</f>
        <v>0</v>
      </c>
      <c r="J465" s="20">
        <f>IF(OR($E465="",$D465=""),"",IF(AND($L465&gt;0.005,$D465&lt;Hoje),Hoje-$D465,0))</f>
        <v>0</v>
      </c>
      <c r="K465" s="20">
        <f>IF($J465="","",IF($L465&lt;=0.005,"Pago",IF($J465&lt;=0,"A vencer",IF($J465&lt;=15,"1-15 dias",IF($J465&lt;=30,"16-30 dias",IF($J465&lt;=60,"31-60 dias","Mais de 60 dias"))))))</f>
        <v>0</v>
      </c>
      <c r="L465" s="21">
        <f>IF($E465="","",MAX(0,$E465-N($G465)))</f>
        <v>0</v>
      </c>
      <c r="M465" s="21">
        <f>IF(OR($L465="",$J465=""),"",IF($J465&gt;0,ROUND($L465*Multa+$L465*Juros/30*$J465,2),0))</f>
        <v>0</v>
      </c>
      <c r="N465" s="22">
        <f>IF($L465="","",IF($L465&lt;=0.005,0,$L465+N($M465)))</f>
        <v>0</v>
      </c>
      <c r="O465" s="23">
        <f>IF(OR($I465="Vencido",$I465="Vencido (parcial)"),"Olá, "&amp;$A465&amp;"! Consta em aberto '"&amp;$B465&amp;"' com vencimento em "&amp;DAY($D465)&amp;"/"&amp;MONTH($D465)&amp;"/"&amp;YEAR($D465)&amp;", no valor de R$ "&amp;FIXED($N465,2)&amp;" (com multa e juros). Podemos ajudar a regularizar hoje? Obrigado!",IF($I465="Vence hoje","Olá, "&amp;$A465&amp;"! Lembrete: '"&amp;$B465&amp;"' vence hoje, no valor de R$ "&amp;FIXED($L465,2)&amp;". Obrigado!",""))</f>
        <v>0</v>
      </c>
    </row>
    <row r="466" spans="1:15">
      <c r="A466" s="13"/>
      <c r="B466" s="13"/>
      <c r="C466" s="17"/>
      <c r="D466" s="17"/>
      <c r="E466" s="18"/>
      <c r="F466" s="17"/>
      <c r="G466" s="18"/>
      <c r="H466" s="13"/>
      <c r="I466" s="19">
        <f>IF($E466="","",IF($L466&lt;=0.005,"Pago",IF($D466="","Sem vencimento",IF($D466&lt;Hoje,IF(N($G466)&gt;0,"Vencido (parcial)","Vencido"),IF($D466=Hoje,"Vence hoje","A vencer")))))</f>
        <v>0</v>
      </c>
      <c r="J466" s="20">
        <f>IF(OR($E466="",$D466=""),"",IF(AND($L466&gt;0.005,$D466&lt;Hoje),Hoje-$D466,0))</f>
        <v>0</v>
      </c>
      <c r="K466" s="20">
        <f>IF($J466="","",IF($L466&lt;=0.005,"Pago",IF($J466&lt;=0,"A vencer",IF($J466&lt;=15,"1-15 dias",IF($J466&lt;=30,"16-30 dias",IF($J466&lt;=60,"31-60 dias","Mais de 60 dias"))))))</f>
        <v>0</v>
      </c>
      <c r="L466" s="21">
        <f>IF($E466="","",MAX(0,$E466-N($G466)))</f>
        <v>0</v>
      </c>
      <c r="M466" s="21">
        <f>IF(OR($L466="",$J466=""),"",IF($J466&gt;0,ROUND($L466*Multa+$L466*Juros/30*$J466,2),0))</f>
        <v>0</v>
      </c>
      <c r="N466" s="22">
        <f>IF($L466="","",IF($L466&lt;=0.005,0,$L466+N($M466)))</f>
        <v>0</v>
      </c>
      <c r="O466" s="23">
        <f>IF(OR($I466="Vencido",$I466="Vencido (parcial)"),"Olá, "&amp;$A466&amp;"! Consta em aberto '"&amp;$B466&amp;"' com vencimento em "&amp;DAY($D466)&amp;"/"&amp;MONTH($D466)&amp;"/"&amp;YEAR($D466)&amp;", no valor de R$ "&amp;FIXED($N466,2)&amp;" (com multa e juros). Podemos ajudar a regularizar hoje? Obrigado!",IF($I466="Vence hoje","Olá, "&amp;$A466&amp;"! Lembrete: '"&amp;$B466&amp;"' vence hoje, no valor de R$ "&amp;FIXED($L466,2)&amp;". Obrigado!",""))</f>
        <v>0</v>
      </c>
    </row>
    <row r="467" spans="1:15">
      <c r="A467" s="13"/>
      <c r="B467" s="13"/>
      <c r="C467" s="17"/>
      <c r="D467" s="17"/>
      <c r="E467" s="18"/>
      <c r="F467" s="17"/>
      <c r="G467" s="18"/>
      <c r="H467" s="13"/>
      <c r="I467" s="19">
        <f>IF($E467="","",IF($L467&lt;=0.005,"Pago",IF($D467="","Sem vencimento",IF($D467&lt;Hoje,IF(N($G467)&gt;0,"Vencido (parcial)","Vencido"),IF($D467=Hoje,"Vence hoje","A vencer")))))</f>
        <v>0</v>
      </c>
      <c r="J467" s="20">
        <f>IF(OR($E467="",$D467=""),"",IF(AND($L467&gt;0.005,$D467&lt;Hoje),Hoje-$D467,0))</f>
        <v>0</v>
      </c>
      <c r="K467" s="20">
        <f>IF($J467="","",IF($L467&lt;=0.005,"Pago",IF($J467&lt;=0,"A vencer",IF($J467&lt;=15,"1-15 dias",IF($J467&lt;=30,"16-30 dias",IF($J467&lt;=60,"31-60 dias","Mais de 60 dias"))))))</f>
        <v>0</v>
      </c>
      <c r="L467" s="21">
        <f>IF($E467="","",MAX(0,$E467-N($G467)))</f>
        <v>0</v>
      </c>
      <c r="M467" s="21">
        <f>IF(OR($L467="",$J467=""),"",IF($J467&gt;0,ROUND($L467*Multa+$L467*Juros/30*$J467,2),0))</f>
        <v>0</v>
      </c>
      <c r="N467" s="22">
        <f>IF($L467="","",IF($L467&lt;=0.005,0,$L467+N($M467)))</f>
        <v>0</v>
      </c>
      <c r="O467" s="23">
        <f>IF(OR($I467="Vencido",$I467="Vencido (parcial)"),"Olá, "&amp;$A467&amp;"! Consta em aberto '"&amp;$B467&amp;"' com vencimento em "&amp;DAY($D467)&amp;"/"&amp;MONTH($D467)&amp;"/"&amp;YEAR($D467)&amp;", no valor de R$ "&amp;FIXED($N467,2)&amp;" (com multa e juros). Podemos ajudar a regularizar hoje? Obrigado!",IF($I467="Vence hoje","Olá, "&amp;$A467&amp;"! Lembrete: '"&amp;$B467&amp;"' vence hoje, no valor de R$ "&amp;FIXED($L467,2)&amp;". Obrigado!",""))</f>
        <v>0</v>
      </c>
    </row>
    <row r="468" spans="1:15">
      <c r="A468" s="13"/>
      <c r="B468" s="13"/>
      <c r="C468" s="17"/>
      <c r="D468" s="17"/>
      <c r="E468" s="18"/>
      <c r="F468" s="17"/>
      <c r="G468" s="18"/>
      <c r="H468" s="13"/>
      <c r="I468" s="19">
        <f>IF($E468="","",IF($L468&lt;=0.005,"Pago",IF($D468="","Sem vencimento",IF($D468&lt;Hoje,IF(N($G468)&gt;0,"Vencido (parcial)","Vencido"),IF($D468=Hoje,"Vence hoje","A vencer")))))</f>
        <v>0</v>
      </c>
      <c r="J468" s="20">
        <f>IF(OR($E468="",$D468=""),"",IF(AND($L468&gt;0.005,$D468&lt;Hoje),Hoje-$D468,0))</f>
        <v>0</v>
      </c>
      <c r="K468" s="20">
        <f>IF($J468="","",IF($L468&lt;=0.005,"Pago",IF($J468&lt;=0,"A vencer",IF($J468&lt;=15,"1-15 dias",IF($J468&lt;=30,"16-30 dias",IF($J468&lt;=60,"31-60 dias","Mais de 60 dias"))))))</f>
        <v>0</v>
      </c>
      <c r="L468" s="21">
        <f>IF($E468="","",MAX(0,$E468-N($G468)))</f>
        <v>0</v>
      </c>
      <c r="M468" s="21">
        <f>IF(OR($L468="",$J468=""),"",IF($J468&gt;0,ROUND($L468*Multa+$L468*Juros/30*$J468,2),0))</f>
        <v>0</v>
      </c>
      <c r="N468" s="22">
        <f>IF($L468="","",IF($L468&lt;=0.005,0,$L468+N($M468)))</f>
        <v>0</v>
      </c>
      <c r="O468" s="23">
        <f>IF(OR($I468="Vencido",$I468="Vencido (parcial)"),"Olá, "&amp;$A468&amp;"! Consta em aberto '"&amp;$B468&amp;"' com vencimento em "&amp;DAY($D468)&amp;"/"&amp;MONTH($D468)&amp;"/"&amp;YEAR($D468)&amp;", no valor de R$ "&amp;FIXED($N468,2)&amp;" (com multa e juros). Podemos ajudar a regularizar hoje? Obrigado!",IF($I468="Vence hoje","Olá, "&amp;$A468&amp;"! Lembrete: '"&amp;$B468&amp;"' vence hoje, no valor de R$ "&amp;FIXED($L468,2)&amp;". Obrigado!",""))</f>
        <v>0</v>
      </c>
    </row>
    <row r="469" spans="1:15">
      <c r="A469" s="13"/>
      <c r="B469" s="13"/>
      <c r="C469" s="17"/>
      <c r="D469" s="17"/>
      <c r="E469" s="18"/>
      <c r="F469" s="17"/>
      <c r="G469" s="18"/>
      <c r="H469" s="13"/>
      <c r="I469" s="19">
        <f>IF($E469="","",IF($L469&lt;=0.005,"Pago",IF($D469="","Sem vencimento",IF($D469&lt;Hoje,IF(N($G469)&gt;0,"Vencido (parcial)","Vencido"),IF($D469=Hoje,"Vence hoje","A vencer")))))</f>
        <v>0</v>
      </c>
      <c r="J469" s="20">
        <f>IF(OR($E469="",$D469=""),"",IF(AND($L469&gt;0.005,$D469&lt;Hoje),Hoje-$D469,0))</f>
        <v>0</v>
      </c>
      <c r="K469" s="20">
        <f>IF($J469="","",IF($L469&lt;=0.005,"Pago",IF($J469&lt;=0,"A vencer",IF($J469&lt;=15,"1-15 dias",IF($J469&lt;=30,"16-30 dias",IF($J469&lt;=60,"31-60 dias","Mais de 60 dias"))))))</f>
        <v>0</v>
      </c>
      <c r="L469" s="21">
        <f>IF($E469="","",MAX(0,$E469-N($G469)))</f>
        <v>0</v>
      </c>
      <c r="M469" s="21">
        <f>IF(OR($L469="",$J469=""),"",IF($J469&gt;0,ROUND($L469*Multa+$L469*Juros/30*$J469,2),0))</f>
        <v>0</v>
      </c>
      <c r="N469" s="22">
        <f>IF($L469="","",IF($L469&lt;=0.005,0,$L469+N($M469)))</f>
        <v>0</v>
      </c>
      <c r="O469" s="23">
        <f>IF(OR($I469="Vencido",$I469="Vencido (parcial)"),"Olá, "&amp;$A469&amp;"! Consta em aberto '"&amp;$B469&amp;"' com vencimento em "&amp;DAY($D469)&amp;"/"&amp;MONTH($D469)&amp;"/"&amp;YEAR($D469)&amp;", no valor de R$ "&amp;FIXED($N469,2)&amp;" (com multa e juros). Podemos ajudar a regularizar hoje? Obrigado!",IF($I469="Vence hoje","Olá, "&amp;$A469&amp;"! Lembrete: '"&amp;$B469&amp;"' vence hoje, no valor de R$ "&amp;FIXED($L469,2)&amp;". Obrigado!",""))</f>
        <v>0</v>
      </c>
    </row>
    <row r="470" spans="1:15">
      <c r="A470" s="13"/>
      <c r="B470" s="13"/>
      <c r="C470" s="17"/>
      <c r="D470" s="17"/>
      <c r="E470" s="18"/>
      <c r="F470" s="17"/>
      <c r="G470" s="18"/>
      <c r="H470" s="13"/>
      <c r="I470" s="19">
        <f>IF($E470="","",IF($L470&lt;=0.005,"Pago",IF($D470="","Sem vencimento",IF($D470&lt;Hoje,IF(N($G470)&gt;0,"Vencido (parcial)","Vencido"),IF($D470=Hoje,"Vence hoje","A vencer")))))</f>
        <v>0</v>
      </c>
      <c r="J470" s="20">
        <f>IF(OR($E470="",$D470=""),"",IF(AND($L470&gt;0.005,$D470&lt;Hoje),Hoje-$D470,0))</f>
        <v>0</v>
      </c>
      <c r="K470" s="20">
        <f>IF($J470="","",IF($L470&lt;=0.005,"Pago",IF($J470&lt;=0,"A vencer",IF($J470&lt;=15,"1-15 dias",IF($J470&lt;=30,"16-30 dias",IF($J470&lt;=60,"31-60 dias","Mais de 60 dias"))))))</f>
        <v>0</v>
      </c>
      <c r="L470" s="21">
        <f>IF($E470="","",MAX(0,$E470-N($G470)))</f>
        <v>0</v>
      </c>
      <c r="M470" s="21">
        <f>IF(OR($L470="",$J470=""),"",IF($J470&gt;0,ROUND($L470*Multa+$L470*Juros/30*$J470,2),0))</f>
        <v>0</v>
      </c>
      <c r="N470" s="22">
        <f>IF($L470="","",IF($L470&lt;=0.005,0,$L470+N($M470)))</f>
        <v>0</v>
      </c>
      <c r="O470" s="23">
        <f>IF(OR($I470="Vencido",$I470="Vencido (parcial)"),"Olá, "&amp;$A470&amp;"! Consta em aberto '"&amp;$B470&amp;"' com vencimento em "&amp;DAY($D470)&amp;"/"&amp;MONTH($D470)&amp;"/"&amp;YEAR($D470)&amp;", no valor de R$ "&amp;FIXED($N470,2)&amp;" (com multa e juros). Podemos ajudar a regularizar hoje? Obrigado!",IF($I470="Vence hoje","Olá, "&amp;$A470&amp;"! Lembrete: '"&amp;$B470&amp;"' vence hoje, no valor de R$ "&amp;FIXED($L470,2)&amp;". Obrigado!",""))</f>
        <v>0</v>
      </c>
    </row>
    <row r="471" spans="1:15">
      <c r="A471" s="13"/>
      <c r="B471" s="13"/>
      <c r="C471" s="17"/>
      <c r="D471" s="17"/>
      <c r="E471" s="18"/>
      <c r="F471" s="17"/>
      <c r="G471" s="18"/>
      <c r="H471" s="13"/>
      <c r="I471" s="19">
        <f>IF($E471="","",IF($L471&lt;=0.005,"Pago",IF($D471="","Sem vencimento",IF($D471&lt;Hoje,IF(N($G471)&gt;0,"Vencido (parcial)","Vencido"),IF($D471=Hoje,"Vence hoje","A vencer")))))</f>
        <v>0</v>
      </c>
      <c r="J471" s="20">
        <f>IF(OR($E471="",$D471=""),"",IF(AND($L471&gt;0.005,$D471&lt;Hoje),Hoje-$D471,0))</f>
        <v>0</v>
      </c>
      <c r="K471" s="20">
        <f>IF($J471="","",IF($L471&lt;=0.005,"Pago",IF($J471&lt;=0,"A vencer",IF($J471&lt;=15,"1-15 dias",IF($J471&lt;=30,"16-30 dias",IF($J471&lt;=60,"31-60 dias","Mais de 60 dias"))))))</f>
        <v>0</v>
      </c>
      <c r="L471" s="21">
        <f>IF($E471="","",MAX(0,$E471-N($G471)))</f>
        <v>0</v>
      </c>
      <c r="M471" s="21">
        <f>IF(OR($L471="",$J471=""),"",IF($J471&gt;0,ROUND($L471*Multa+$L471*Juros/30*$J471,2),0))</f>
        <v>0</v>
      </c>
      <c r="N471" s="22">
        <f>IF($L471="","",IF($L471&lt;=0.005,0,$L471+N($M471)))</f>
        <v>0</v>
      </c>
      <c r="O471" s="23">
        <f>IF(OR($I471="Vencido",$I471="Vencido (parcial)"),"Olá, "&amp;$A471&amp;"! Consta em aberto '"&amp;$B471&amp;"' com vencimento em "&amp;DAY($D471)&amp;"/"&amp;MONTH($D471)&amp;"/"&amp;YEAR($D471)&amp;", no valor de R$ "&amp;FIXED($N471,2)&amp;" (com multa e juros). Podemos ajudar a regularizar hoje? Obrigado!",IF($I471="Vence hoje","Olá, "&amp;$A471&amp;"! Lembrete: '"&amp;$B471&amp;"' vence hoje, no valor de R$ "&amp;FIXED($L471,2)&amp;". Obrigado!",""))</f>
        <v>0</v>
      </c>
    </row>
    <row r="472" spans="1:15">
      <c r="A472" s="13"/>
      <c r="B472" s="13"/>
      <c r="C472" s="17"/>
      <c r="D472" s="17"/>
      <c r="E472" s="18"/>
      <c r="F472" s="17"/>
      <c r="G472" s="18"/>
      <c r="H472" s="13"/>
      <c r="I472" s="19">
        <f>IF($E472="","",IF($L472&lt;=0.005,"Pago",IF($D472="","Sem vencimento",IF($D472&lt;Hoje,IF(N($G472)&gt;0,"Vencido (parcial)","Vencido"),IF($D472=Hoje,"Vence hoje","A vencer")))))</f>
        <v>0</v>
      </c>
      <c r="J472" s="20">
        <f>IF(OR($E472="",$D472=""),"",IF(AND($L472&gt;0.005,$D472&lt;Hoje),Hoje-$D472,0))</f>
        <v>0</v>
      </c>
      <c r="K472" s="20">
        <f>IF($J472="","",IF($L472&lt;=0.005,"Pago",IF($J472&lt;=0,"A vencer",IF($J472&lt;=15,"1-15 dias",IF($J472&lt;=30,"16-30 dias",IF($J472&lt;=60,"31-60 dias","Mais de 60 dias"))))))</f>
        <v>0</v>
      </c>
      <c r="L472" s="21">
        <f>IF($E472="","",MAX(0,$E472-N($G472)))</f>
        <v>0</v>
      </c>
      <c r="M472" s="21">
        <f>IF(OR($L472="",$J472=""),"",IF($J472&gt;0,ROUND($L472*Multa+$L472*Juros/30*$J472,2),0))</f>
        <v>0</v>
      </c>
      <c r="N472" s="22">
        <f>IF($L472="","",IF($L472&lt;=0.005,0,$L472+N($M472)))</f>
        <v>0</v>
      </c>
      <c r="O472" s="23">
        <f>IF(OR($I472="Vencido",$I472="Vencido (parcial)"),"Olá, "&amp;$A472&amp;"! Consta em aberto '"&amp;$B472&amp;"' com vencimento em "&amp;DAY($D472)&amp;"/"&amp;MONTH($D472)&amp;"/"&amp;YEAR($D472)&amp;", no valor de R$ "&amp;FIXED($N472,2)&amp;" (com multa e juros). Podemos ajudar a regularizar hoje? Obrigado!",IF($I472="Vence hoje","Olá, "&amp;$A472&amp;"! Lembrete: '"&amp;$B472&amp;"' vence hoje, no valor de R$ "&amp;FIXED($L472,2)&amp;". Obrigado!",""))</f>
        <v>0</v>
      </c>
    </row>
    <row r="473" spans="1:15">
      <c r="A473" s="13"/>
      <c r="B473" s="13"/>
      <c r="C473" s="17"/>
      <c r="D473" s="17"/>
      <c r="E473" s="18"/>
      <c r="F473" s="17"/>
      <c r="G473" s="18"/>
      <c r="H473" s="13"/>
      <c r="I473" s="19">
        <f>IF($E473="","",IF($L473&lt;=0.005,"Pago",IF($D473="","Sem vencimento",IF($D473&lt;Hoje,IF(N($G473)&gt;0,"Vencido (parcial)","Vencido"),IF($D473=Hoje,"Vence hoje","A vencer")))))</f>
        <v>0</v>
      </c>
      <c r="J473" s="20">
        <f>IF(OR($E473="",$D473=""),"",IF(AND($L473&gt;0.005,$D473&lt;Hoje),Hoje-$D473,0))</f>
        <v>0</v>
      </c>
      <c r="K473" s="20">
        <f>IF($J473="","",IF($L473&lt;=0.005,"Pago",IF($J473&lt;=0,"A vencer",IF($J473&lt;=15,"1-15 dias",IF($J473&lt;=30,"16-30 dias",IF($J473&lt;=60,"31-60 dias","Mais de 60 dias"))))))</f>
        <v>0</v>
      </c>
      <c r="L473" s="21">
        <f>IF($E473="","",MAX(0,$E473-N($G473)))</f>
        <v>0</v>
      </c>
      <c r="M473" s="21">
        <f>IF(OR($L473="",$J473=""),"",IF($J473&gt;0,ROUND($L473*Multa+$L473*Juros/30*$J473,2),0))</f>
        <v>0</v>
      </c>
      <c r="N473" s="22">
        <f>IF($L473="","",IF($L473&lt;=0.005,0,$L473+N($M473)))</f>
        <v>0</v>
      </c>
      <c r="O473" s="23">
        <f>IF(OR($I473="Vencido",$I473="Vencido (parcial)"),"Olá, "&amp;$A473&amp;"! Consta em aberto '"&amp;$B473&amp;"' com vencimento em "&amp;DAY($D473)&amp;"/"&amp;MONTH($D473)&amp;"/"&amp;YEAR($D473)&amp;", no valor de R$ "&amp;FIXED($N473,2)&amp;" (com multa e juros). Podemos ajudar a regularizar hoje? Obrigado!",IF($I473="Vence hoje","Olá, "&amp;$A473&amp;"! Lembrete: '"&amp;$B473&amp;"' vence hoje, no valor de R$ "&amp;FIXED($L473,2)&amp;". Obrigado!",""))</f>
        <v>0</v>
      </c>
    </row>
    <row r="474" spans="1:15">
      <c r="A474" s="13"/>
      <c r="B474" s="13"/>
      <c r="C474" s="17"/>
      <c r="D474" s="17"/>
      <c r="E474" s="18"/>
      <c r="F474" s="17"/>
      <c r="G474" s="18"/>
      <c r="H474" s="13"/>
      <c r="I474" s="19">
        <f>IF($E474="","",IF($L474&lt;=0.005,"Pago",IF($D474="","Sem vencimento",IF($D474&lt;Hoje,IF(N($G474)&gt;0,"Vencido (parcial)","Vencido"),IF($D474=Hoje,"Vence hoje","A vencer")))))</f>
        <v>0</v>
      </c>
      <c r="J474" s="20">
        <f>IF(OR($E474="",$D474=""),"",IF(AND($L474&gt;0.005,$D474&lt;Hoje),Hoje-$D474,0))</f>
        <v>0</v>
      </c>
      <c r="K474" s="20">
        <f>IF($J474="","",IF($L474&lt;=0.005,"Pago",IF($J474&lt;=0,"A vencer",IF($J474&lt;=15,"1-15 dias",IF($J474&lt;=30,"16-30 dias",IF($J474&lt;=60,"31-60 dias","Mais de 60 dias"))))))</f>
        <v>0</v>
      </c>
      <c r="L474" s="21">
        <f>IF($E474="","",MAX(0,$E474-N($G474)))</f>
        <v>0</v>
      </c>
      <c r="M474" s="21">
        <f>IF(OR($L474="",$J474=""),"",IF($J474&gt;0,ROUND($L474*Multa+$L474*Juros/30*$J474,2),0))</f>
        <v>0</v>
      </c>
      <c r="N474" s="22">
        <f>IF($L474="","",IF($L474&lt;=0.005,0,$L474+N($M474)))</f>
        <v>0</v>
      </c>
      <c r="O474" s="23">
        <f>IF(OR($I474="Vencido",$I474="Vencido (parcial)"),"Olá, "&amp;$A474&amp;"! Consta em aberto '"&amp;$B474&amp;"' com vencimento em "&amp;DAY($D474)&amp;"/"&amp;MONTH($D474)&amp;"/"&amp;YEAR($D474)&amp;", no valor de R$ "&amp;FIXED($N474,2)&amp;" (com multa e juros). Podemos ajudar a regularizar hoje? Obrigado!",IF($I474="Vence hoje","Olá, "&amp;$A474&amp;"! Lembrete: '"&amp;$B474&amp;"' vence hoje, no valor de R$ "&amp;FIXED($L474,2)&amp;". Obrigado!",""))</f>
        <v>0</v>
      </c>
    </row>
    <row r="475" spans="1:15">
      <c r="A475" s="13"/>
      <c r="B475" s="13"/>
      <c r="C475" s="17"/>
      <c r="D475" s="17"/>
      <c r="E475" s="18"/>
      <c r="F475" s="17"/>
      <c r="G475" s="18"/>
      <c r="H475" s="13"/>
      <c r="I475" s="19">
        <f>IF($E475="","",IF($L475&lt;=0.005,"Pago",IF($D475="","Sem vencimento",IF($D475&lt;Hoje,IF(N($G475)&gt;0,"Vencido (parcial)","Vencido"),IF($D475=Hoje,"Vence hoje","A vencer")))))</f>
        <v>0</v>
      </c>
      <c r="J475" s="20">
        <f>IF(OR($E475="",$D475=""),"",IF(AND($L475&gt;0.005,$D475&lt;Hoje),Hoje-$D475,0))</f>
        <v>0</v>
      </c>
      <c r="K475" s="20">
        <f>IF($J475="","",IF($L475&lt;=0.005,"Pago",IF($J475&lt;=0,"A vencer",IF($J475&lt;=15,"1-15 dias",IF($J475&lt;=30,"16-30 dias",IF($J475&lt;=60,"31-60 dias","Mais de 60 dias"))))))</f>
        <v>0</v>
      </c>
      <c r="L475" s="21">
        <f>IF($E475="","",MAX(0,$E475-N($G475)))</f>
        <v>0</v>
      </c>
      <c r="M475" s="21">
        <f>IF(OR($L475="",$J475=""),"",IF($J475&gt;0,ROUND($L475*Multa+$L475*Juros/30*$J475,2),0))</f>
        <v>0</v>
      </c>
      <c r="N475" s="22">
        <f>IF($L475="","",IF($L475&lt;=0.005,0,$L475+N($M475)))</f>
        <v>0</v>
      </c>
      <c r="O475" s="23">
        <f>IF(OR($I475="Vencido",$I475="Vencido (parcial)"),"Olá, "&amp;$A475&amp;"! Consta em aberto '"&amp;$B475&amp;"' com vencimento em "&amp;DAY($D475)&amp;"/"&amp;MONTH($D475)&amp;"/"&amp;YEAR($D475)&amp;", no valor de R$ "&amp;FIXED($N475,2)&amp;" (com multa e juros). Podemos ajudar a regularizar hoje? Obrigado!",IF($I475="Vence hoje","Olá, "&amp;$A475&amp;"! Lembrete: '"&amp;$B475&amp;"' vence hoje, no valor de R$ "&amp;FIXED($L475,2)&amp;". Obrigado!",""))</f>
        <v>0</v>
      </c>
    </row>
    <row r="476" spans="1:15">
      <c r="A476" s="13"/>
      <c r="B476" s="13"/>
      <c r="C476" s="17"/>
      <c r="D476" s="17"/>
      <c r="E476" s="18"/>
      <c r="F476" s="17"/>
      <c r="G476" s="18"/>
      <c r="H476" s="13"/>
      <c r="I476" s="19">
        <f>IF($E476="","",IF($L476&lt;=0.005,"Pago",IF($D476="","Sem vencimento",IF($D476&lt;Hoje,IF(N($G476)&gt;0,"Vencido (parcial)","Vencido"),IF($D476=Hoje,"Vence hoje","A vencer")))))</f>
        <v>0</v>
      </c>
      <c r="J476" s="20">
        <f>IF(OR($E476="",$D476=""),"",IF(AND($L476&gt;0.005,$D476&lt;Hoje),Hoje-$D476,0))</f>
        <v>0</v>
      </c>
      <c r="K476" s="20">
        <f>IF($J476="","",IF($L476&lt;=0.005,"Pago",IF($J476&lt;=0,"A vencer",IF($J476&lt;=15,"1-15 dias",IF($J476&lt;=30,"16-30 dias",IF($J476&lt;=60,"31-60 dias","Mais de 60 dias"))))))</f>
        <v>0</v>
      </c>
      <c r="L476" s="21">
        <f>IF($E476="","",MAX(0,$E476-N($G476)))</f>
        <v>0</v>
      </c>
      <c r="M476" s="21">
        <f>IF(OR($L476="",$J476=""),"",IF($J476&gt;0,ROUND($L476*Multa+$L476*Juros/30*$J476,2),0))</f>
        <v>0</v>
      </c>
      <c r="N476" s="22">
        <f>IF($L476="","",IF($L476&lt;=0.005,0,$L476+N($M476)))</f>
        <v>0</v>
      </c>
      <c r="O476" s="23">
        <f>IF(OR($I476="Vencido",$I476="Vencido (parcial)"),"Olá, "&amp;$A476&amp;"! Consta em aberto '"&amp;$B476&amp;"' com vencimento em "&amp;DAY($D476)&amp;"/"&amp;MONTH($D476)&amp;"/"&amp;YEAR($D476)&amp;", no valor de R$ "&amp;FIXED($N476,2)&amp;" (com multa e juros). Podemos ajudar a regularizar hoje? Obrigado!",IF($I476="Vence hoje","Olá, "&amp;$A476&amp;"! Lembrete: '"&amp;$B476&amp;"' vence hoje, no valor de R$ "&amp;FIXED($L476,2)&amp;". Obrigado!",""))</f>
        <v>0</v>
      </c>
    </row>
    <row r="477" spans="1:15">
      <c r="A477" s="13"/>
      <c r="B477" s="13"/>
      <c r="C477" s="17"/>
      <c r="D477" s="17"/>
      <c r="E477" s="18"/>
      <c r="F477" s="17"/>
      <c r="G477" s="18"/>
      <c r="H477" s="13"/>
      <c r="I477" s="19">
        <f>IF($E477="","",IF($L477&lt;=0.005,"Pago",IF($D477="","Sem vencimento",IF($D477&lt;Hoje,IF(N($G477)&gt;0,"Vencido (parcial)","Vencido"),IF($D477=Hoje,"Vence hoje","A vencer")))))</f>
        <v>0</v>
      </c>
      <c r="J477" s="20">
        <f>IF(OR($E477="",$D477=""),"",IF(AND($L477&gt;0.005,$D477&lt;Hoje),Hoje-$D477,0))</f>
        <v>0</v>
      </c>
      <c r="K477" s="20">
        <f>IF($J477="","",IF($L477&lt;=0.005,"Pago",IF($J477&lt;=0,"A vencer",IF($J477&lt;=15,"1-15 dias",IF($J477&lt;=30,"16-30 dias",IF($J477&lt;=60,"31-60 dias","Mais de 60 dias"))))))</f>
        <v>0</v>
      </c>
      <c r="L477" s="21">
        <f>IF($E477="","",MAX(0,$E477-N($G477)))</f>
        <v>0</v>
      </c>
      <c r="M477" s="21">
        <f>IF(OR($L477="",$J477=""),"",IF($J477&gt;0,ROUND($L477*Multa+$L477*Juros/30*$J477,2),0))</f>
        <v>0</v>
      </c>
      <c r="N477" s="22">
        <f>IF($L477="","",IF($L477&lt;=0.005,0,$L477+N($M477)))</f>
        <v>0</v>
      </c>
      <c r="O477" s="23">
        <f>IF(OR($I477="Vencido",$I477="Vencido (parcial)"),"Olá, "&amp;$A477&amp;"! Consta em aberto '"&amp;$B477&amp;"' com vencimento em "&amp;DAY($D477)&amp;"/"&amp;MONTH($D477)&amp;"/"&amp;YEAR($D477)&amp;", no valor de R$ "&amp;FIXED($N477,2)&amp;" (com multa e juros). Podemos ajudar a regularizar hoje? Obrigado!",IF($I477="Vence hoje","Olá, "&amp;$A477&amp;"! Lembrete: '"&amp;$B477&amp;"' vence hoje, no valor de R$ "&amp;FIXED($L477,2)&amp;". Obrigado!",""))</f>
        <v>0</v>
      </c>
    </row>
    <row r="478" spans="1:15">
      <c r="A478" s="13"/>
      <c r="B478" s="13"/>
      <c r="C478" s="17"/>
      <c r="D478" s="17"/>
      <c r="E478" s="18"/>
      <c r="F478" s="17"/>
      <c r="G478" s="18"/>
      <c r="H478" s="13"/>
      <c r="I478" s="19">
        <f>IF($E478="","",IF($L478&lt;=0.005,"Pago",IF($D478="","Sem vencimento",IF($D478&lt;Hoje,IF(N($G478)&gt;0,"Vencido (parcial)","Vencido"),IF($D478=Hoje,"Vence hoje","A vencer")))))</f>
        <v>0</v>
      </c>
      <c r="J478" s="20">
        <f>IF(OR($E478="",$D478=""),"",IF(AND($L478&gt;0.005,$D478&lt;Hoje),Hoje-$D478,0))</f>
        <v>0</v>
      </c>
      <c r="K478" s="20">
        <f>IF($J478="","",IF($L478&lt;=0.005,"Pago",IF($J478&lt;=0,"A vencer",IF($J478&lt;=15,"1-15 dias",IF($J478&lt;=30,"16-30 dias",IF($J478&lt;=60,"31-60 dias","Mais de 60 dias"))))))</f>
        <v>0</v>
      </c>
      <c r="L478" s="21">
        <f>IF($E478="","",MAX(0,$E478-N($G478)))</f>
        <v>0</v>
      </c>
      <c r="M478" s="21">
        <f>IF(OR($L478="",$J478=""),"",IF($J478&gt;0,ROUND($L478*Multa+$L478*Juros/30*$J478,2),0))</f>
        <v>0</v>
      </c>
      <c r="N478" s="22">
        <f>IF($L478="","",IF($L478&lt;=0.005,0,$L478+N($M478)))</f>
        <v>0</v>
      </c>
      <c r="O478" s="23">
        <f>IF(OR($I478="Vencido",$I478="Vencido (parcial)"),"Olá, "&amp;$A478&amp;"! Consta em aberto '"&amp;$B478&amp;"' com vencimento em "&amp;DAY($D478)&amp;"/"&amp;MONTH($D478)&amp;"/"&amp;YEAR($D478)&amp;", no valor de R$ "&amp;FIXED($N478,2)&amp;" (com multa e juros). Podemos ajudar a regularizar hoje? Obrigado!",IF($I478="Vence hoje","Olá, "&amp;$A478&amp;"! Lembrete: '"&amp;$B478&amp;"' vence hoje, no valor de R$ "&amp;FIXED($L478,2)&amp;". Obrigado!",""))</f>
        <v>0</v>
      </c>
    </row>
    <row r="479" spans="1:15">
      <c r="A479" s="13"/>
      <c r="B479" s="13"/>
      <c r="C479" s="17"/>
      <c r="D479" s="17"/>
      <c r="E479" s="18"/>
      <c r="F479" s="17"/>
      <c r="G479" s="18"/>
      <c r="H479" s="13"/>
      <c r="I479" s="19">
        <f>IF($E479="","",IF($L479&lt;=0.005,"Pago",IF($D479="","Sem vencimento",IF($D479&lt;Hoje,IF(N($G479)&gt;0,"Vencido (parcial)","Vencido"),IF($D479=Hoje,"Vence hoje","A vencer")))))</f>
        <v>0</v>
      </c>
      <c r="J479" s="20">
        <f>IF(OR($E479="",$D479=""),"",IF(AND($L479&gt;0.005,$D479&lt;Hoje),Hoje-$D479,0))</f>
        <v>0</v>
      </c>
      <c r="K479" s="20">
        <f>IF($J479="","",IF($L479&lt;=0.005,"Pago",IF($J479&lt;=0,"A vencer",IF($J479&lt;=15,"1-15 dias",IF($J479&lt;=30,"16-30 dias",IF($J479&lt;=60,"31-60 dias","Mais de 60 dias"))))))</f>
        <v>0</v>
      </c>
      <c r="L479" s="21">
        <f>IF($E479="","",MAX(0,$E479-N($G479)))</f>
        <v>0</v>
      </c>
      <c r="M479" s="21">
        <f>IF(OR($L479="",$J479=""),"",IF($J479&gt;0,ROUND($L479*Multa+$L479*Juros/30*$J479,2),0))</f>
        <v>0</v>
      </c>
      <c r="N479" s="22">
        <f>IF($L479="","",IF($L479&lt;=0.005,0,$L479+N($M479)))</f>
        <v>0</v>
      </c>
      <c r="O479" s="23">
        <f>IF(OR($I479="Vencido",$I479="Vencido (parcial)"),"Olá, "&amp;$A479&amp;"! Consta em aberto '"&amp;$B479&amp;"' com vencimento em "&amp;DAY($D479)&amp;"/"&amp;MONTH($D479)&amp;"/"&amp;YEAR($D479)&amp;", no valor de R$ "&amp;FIXED($N479,2)&amp;" (com multa e juros). Podemos ajudar a regularizar hoje? Obrigado!",IF($I479="Vence hoje","Olá, "&amp;$A479&amp;"! Lembrete: '"&amp;$B479&amp;"' vence hoje, no valor de R$ "&amp;FIXED($L479,2)&amp;". Obrigado!",""))</f>
        <v>0</v>
      </c>
    </row>
    <row r="480" spans="1:15">
      <c r="A480" s="13"/>
      <c r="B480" s="13"/>
      <c r="C480" s="17"/>
      <c r="D480" s="17"/>
      <c r="E480" s="18"/>
      <c r="F480" s="17"/>
      <c r="G480" s="18"/>
      <c r="H480" s="13"/>
      <c r="I480" s="19">
        <f>IF($E480="","",IF($L480&lt;=0.005,"Pago",IF($D480="","Sem vencimento",IF($D480&lt;Hoje,IF(N($G480)&gt;0,"Vencido (parcial)","Vencido"),IF($D480=Hoje,"Vence hoje","A vencer")))))</f>
        <v>0</v>
      </c>
      <c r="J480" s="20">
        <f>IF(OR($E480="",$D480=""),"",IF(AND($L480&gt;0.005,$D480&lt;Hoje),Hoje-$D480,0))</f>
        <v>0</v>
      </c>
      <c r="K480" s="20">
        <f>IF($J480="","",IF($L480&lt;=0.005,"Pago",IF($J480&lt;=0,"A vencer",IF($J480&lt;=15,"1-15 dias",IF($J480&lt;=30,"16-30 dias",IF($J480&lt;=60,"31-60 dias","Mais de 60 dias"))))))</f>
        <v>0</v>
      </c>
      <c r="L480" s="21">
        <f>IF($E480="","",MAX(0,$E480-N($G480)))</f>
        <v>0</v>
      </c>
      <c r="M480" s="21">
        <f>IF(OR($L480="",$J480=""),"",IF($J480&gt;0,ROUND($L480*Multa+$L480*Juros/30*$J480,2),0))</f>
        <v>0</v>
      </c>
      <c r="N480" s="22">
        <f>IF($L480="","",IF($L480&lt;=0.005,0,$L480+N($M480)))</f>
        <v>0</v>
      </c>
      <c r="O480" s="23">
        <f>IF(OR($I480="Vencido",$I480="Vencido (parcial)"),"Olá, "&amp;$A480&amp;"! Consta em aberto '"&amp;$B480&amp;"' com vencimento em "&amp;DAY($D480)&amp;"/"&amp;MONTH($D480)&amp;"/"&amp;YEAR($D480)&amp;", no valor de R$ "&amp;FIXED($N480,2)&amp;" (com multa e juros). Podemos ajudar a regularizar hoje? Obrigado!",IF($I480="Vence hoje","Olá, "&amp;$A480&amp;"! Lembrete: '"&amp;$B480&amp;"' vence hoje, no valor de R$ "&amp;FIXED($L480,2)&amp;". Obrigado!",""))</f>
        <v>0</v>
      </c>
    </row>
    <row r="481" spans="1:15">
      <c r="A481" s="13"/>
      <c r="B481" s="13"/>
      <c r="C481" s="17"/>
      <c r="D481" s="17"/>
      <c r="E481" s="18"/>
      <c r="F481" s="17"/>
      <c r="G481" s="18"/>
      <c r="H481" s="13"/>
      <c r="I481" s="19">
        <f>IF($E481="","",IF($L481&lt;=0.005,"Pago",IF($D481="","Sem vencimento",IF($D481&lt;Hoje,IF(N($G481)&gt;0,"Vencido (parcial)","Vencido"),IF($D481=Hoje,"Vence hoje","A vencer")))))</f>
        <v>0</v>
      </c>
      <c r="J481" s="20">
        <f>IF(OR($E481="",$D481=""),"",IF(AND($L481&gt;0.005,$D481&lt;Hoje),Hoje-$D481,0))</f>
        <v>0</v>
      </c>
      <c r="K481" s="20">
        <f>IF($J481="","",IF($L481&lt;=0.005,"Pago",IF($J481&lt;=0,"A vencer",IF($J481&lt;=15,"1-15 dias",IF($J481&lt;=30,"16-30 dias",IF($J481&lt;=60,"31-60 dias","Mais de 60 dias"))))))</f>
        <v>0</v>
      </c>
      <c r="L481" s="21">
        <f>IF($E481="","",MAX(0,$E481-N($G481)))</f>
        <v>0</v>
      </c>
      <c r="M481" s="21">
        <f>IF(OR($L481="",$J481=""),"",IF($J481&gt;0,ROUND($L481*Multa+$L481*Juros/30*$J481,2),0))</f>
        <v>0</v>
      </c>
      <c r="N481" s="22">
        <f>IF($L481="","",IF($L481&lt;=0.005,0,$L481+N($M481)))</f>
        <v>0</v>
      </c>
      <c r="O481" s="23">
        <f>IF(OR($I481="Vencido",$I481="Vencido (parcial)"),"Olá, "&amp;$A481&amp;"! Consta em aberto '"&amp;$B481&amp;"' com vencimento em "&amp;DAY($D481)&amp;"/"&amp;MONTH($D481)&amp;"/"&amp;YEAR($D481)&amp;", no valor de R$ "&amp;FIXED($N481,2)&amp;" (com multa e juros). Podemos ajudar a regularizar hoje? Obrigado!",IF($I481="Vence hoje","Olá, "&amp;$A481&amp;"! Lembrete: '"&amp;$B481&amp;"' vence hoje, no valor de R$ "&amp;FIXED($L481,2)&amp;". Obrigado!",""))</f>
        <v>0</v>
      </c>
    </row>
    <row r="482" spans="1:15">
      <c r="A482" s="13"/>
      <c r="B482" s="13"/>
      <c r="C482" s="17"/>
      <c r="D482" s="17"/>
      <c r="E482" s="18"/>
      <c r="F482" s="17"/>
      <c r="G482" s="18"/>
      <c r="H482" s="13"/>
      <c r="I482" s="19">
        <f>IF($E482="","",IF($L482&lt;=0.005,"Pago",IF($D482="","Sem vencimento",IF($D482&lt;Hoje,IF(N($G482)&gt;0,"Vencido (parcial)","Vencido"),IF($D482=Hoje,"Vence hoje","A vencer")))))</f>
        <v>0</v>
      </c>
      <c r="J482" s="20">
        <f>IF(OR($E482="",$D482=""),"",IF(AND($L482&gt;0.005,$D482&lt;Hoje),Hoje-$D482,0))</f>
        <v>0</v>
      </c>
      <c r="K482" s="20">
        <f>IF($J482="","",IF($L482&lt;=0.005,"Pago",IF($J482&lt;=0,"A vencer",IF($J482&lt;=15,"1-15 dias",IF($J482&lt;=30,"16-30 dias",IF($J482&lt;=60,"31-60 dias","Mais de 60 dias"))))))</f>
        <v>0</v>
      </c>
      <c r="L482" s="21">
        <f>IF($E482="","",MAX(0,$E482-N($G482)))</f>
        <v>0</v>
      </c>
      <c r="M482" s="21">
        <f>IF(OR($L482="",$J482=""),"",IF($J482&gt;0,ROUND($L482*Multa+$L482*Juros/30*$J482,2),0))</f>
        <v>0</v>
      </c>
      <c r="N482" s="22">
        <f>IF($L482="","",IF($L482&lt;=0.005,0,$L482+N($M482)))</f>
        <v>0</v>
      </c>
      <c r="O482" s="23">
        <f>IF(OR($I482="Vencido",$I482="Vencido (parcial)"),"Olá, "&amp;$A482&amp;"! Consta em aberto '"&amp;$B482&amp;"' com vencimento em "&amp;DAY($D482)&amp;"/"&amp;MONTH($D482)&amp;"/"&amp;YEAR($D482)&amp;", no valor de R$ "&amp;FIXED($N482,2)&amp;" (com multa e juros). Podemos ajudar a regularizar hoje? Obrigado!",IF($I482="Vence hoje","Olá, "&amp;$A482&amp;"! Lembrete: '"&amp;$B482&amp;"' vence hoje, no valor de R$ "&amp;FIXED($L482,2)&amp;". Obrigado!",""))</f>
        <v>0</v>
      </c>
    </row>
    <row r="483" spans="1:15">
      <c r="A483" s="13"/>
      <c r="B483" s="13"/>
      <c r="C483" s="17"/>
      <c r="D483" s="17"/>
      <c r="E483" s="18"/>
      <c r="F483" s="17"/>
      <c r="G483" s="18"/>
      <c r="H483" s="13"/>
      <c r="I483" s="19">
        <f>IF($E483="","",IF($L483&lt;=0.005,"Pago",IF($D483="","Sem vencimento",IF($D483&lt;Hoje,IF(N($G483)&gt;0,"Vencido (parcial)","Vencido"),IF($D483=Hoje,"Vence hoje","A vencer")))))</f>
        <v>0</v>
      </c>
      <c r="J483" s="20">
        <f>IF(OR($E483="",$D483=""),"",IF(AND($L483&gt;0.005,$D483&lt;Hoje),Hoje-$D483,0))</f>
        <v>0</v>
      </c>
      <c r="K483" s="20">
        <f>IF($J483="","",IF($L483&lt;=0.005,"Pago",IF($J483&lt;=0,"A vencer",IF($J483&lt;=15,"1-15 dias",IF($J483&lt;=30,"16-30 dias",IF($J483&lt;=60,"31-60 dias","Mais de 60 dias"))))))</f>
        <v>0</v>
      </c>
      <c r="L483" s="21">
        <f>IF($E483="","",MAX(0,$E483-N($G483)))</f>
        <v>0</v>
      </c>
      <c r="M483" s="21">
        <f>IF(OR($L483="",$J483=""),"",IF($J483&gt;0,ROUND($L483*Multa+$L483*Juros/30*$J483,2),0))</f>
        <v>0</v>
      </c>
      <c r="N483" s="22">
        <f>IF($L483="","",IF($L483&lt;=0.005,0,$L483+N($M483)))</f>
        <v>0</v>
      </c>
      <c r="O483" s="23">
        <f>IF(OR($I483="Vencido",$I483="Vencido (parcial)"),"Olá, "&amp;$A483&amp;"! Consta em aberto '"&amp;$B483&amp;"' com vencimento em "&amp;DAY($D483)&amp;"/"&amp;MONTH($D483)&amp;"/"&amp;YEAR($D483)&amp;", no valor de R$ "&amp;FIXED($N483,2)&amp;" (com multa e juros). Podemos ajudar a regularizar hoje? Obrigado!",IF($I483="Vence hoje","Olá, "&amp;$A483&amp;"! Lembrete: '"&amp;$B483&amp;"' vence hoje, no valor de R$ "&amp;FIXED($L483,2)&amp;". Obrigado!",""))</f>
        <v>0</v>
      </c>
    </row>
    <row r="484" spans="1:15">
      <c r="A484" s="13"/>
      <c r="B484" s="13"/>
      <c r="C484" s="17"/>
      <c r="D484" s="17"/>
      <c r="E484" s="18"/>
      <c r="F484" s="17"/>
      <c r="G484" s="18"/>
      <c r="H484" s="13"/>
      <c r="I484" s="19">
        <f>IF($E484="","",IF($L484&lt;=0.005,"Pago",IF($D484="","Sem vencimento",IF($D484&lt;Hoje,IF(N($G484)&gt;0,"Vencido (parcial)","Vencido"),IF($D484=Hoje,"Vence hoje","A vencer")))))</f>
        <v>0</v>
      </c>
      <c r="J484" s="20">
        <f>IF(OR($E484="",$D484=""),"",IF(AND($L484&gt;0.005,$D484&lt;Hoje),Hoje-$D484,0))</f>
        <v>0</v>
      </c>
      <c r="K484" s="20">
        <f>IF($J484="","",IF($L484&lt;=0.005,"Pago",IF($J484&lt;=0,"A vencer",IF($J484&lt;=15,"1-15 dias",IF($J484&lt;=30,"16-30 dias",IF($J484&lt;=60,"31-60 dias","Mais de 60 dias"))))))</f>
        <v>0</v>
      </c>
      <c r="L484" s="21">
        <f>IF($E484="","",MAX(0,$E484-N($G484)))</f>
        <v>0</v>
      </c>
      <c r="M484" s="21">
        <f>IF(OR($L484="",$J484=""),"",IF($J484&gt;0,ROUND($L484*Multa+$L484*Juros/30*$J484,2),0))</f>
        <v>0</v>
      </c>
      <c r="N484" s="22">
        <f>IF($L484="","",IF($L484&lt;=0.005,0,$L484+N($M484)))</f>
        <v>0</v>
      </c>
      <c r="O484" s="23">
        <f>IF(OR($I484="Vencido",$I484="Vencido (parcial)"),"Olá, "&amp;$A484&amp;"! Consta em aberto '"&amp;$B484&amp;"' com vencimento em "&amp;DAY($D484)&amp;"/"&amp;MONTH($D484)&amp;"/"&amp;YEAR($D484)&amp;", no valor de R$ "&amp;FIXED($N484,2)&amp;" (com multa e juros). Podemos ajudar a regularizar hoje? Obrigado!",IF($I484="Vence hoje","Olá, "&amp;$A484&amp;"! Lembrete: '"&amp;$B484&amp;"' vence hoje, no valor de R$ "&amp;FIXED($L484,2)&amp;". Obrigado!",""))</f>
        <v>0</v>
      </c>
    </row>
    <row r="485" spans="1:15">
      <c r="A485" s="13"/>
      <c r="B485" s="13"/>
      <c r="C485" s="17"/>
      <c r="D485" s="17"/>
      <c r="E485" s="18"/>
      <c r="F485" s="17"/>
      <c r="G485" s="18"/>
      <c r="H485" s="13"/>
      <c r="I485" s="19">
        <f>IF($E485="","",IF($L485&lt;=0.005,"Pago",IF($D485="","Sem vencimento",IF($D485&lt;Hoje,IF(N($G485)&gt;0,"Vencido (parcial)","Vencido"),IF($D485=Hoje,"Vence hoje","A vencer")))))</f>
        <v>0</v>
      </c>
      <c r="J485" s="20">
        <f>IF(OR($E485="",$D485=""),"",IF(AND($L485&gt;0.005,$D485&lt;Hoje),Hoje-$D485,0))</f>
        <v>0</v>
      </c>
      <c r="K485" s="20">
        <f>IF($J485="","",IF($L485&lt;=0.005,"Pago",IF($J485&lt;=0,"A vencer",IF($J485&lt;=15,"1-15 dias",IF($J485&lt;=30,"16-30 dias",IF($J485&lt;=60,"31-60 dias","Mais de 60 dias"))))))</f>
        <v>0</v>
      </c>
      <c r="L485" s="21">
        <f>IF($E485="","",MAX(0,$E485-N($G485)))</f>
        <v>0</v>
      </c>
      <c r="M485" s="21">
        <f>IF(OR($L485="",$J485=""),"",IF($J485&gt;0,ROUND($L485*Multa+$L485*Juros/30*$J485,2),0))</f>
        <v>0</v>
      </c>
      <c r="N485" s="22">
        <f>IF($L485="","",IF($L485&lt;=0.005,0,$L485+N($M485)))</f>
        <v>0</v>
      </c>
      <c r="O485" s="23">
        <f>IF(OR($I485="Vencido",$I485="Vencido (parcial)"),"Olá, "&amp;$A485&amp;"! Consta em aberto '"&amp;$B485&amp;"' com vencimento em "&amp;DAY($D485)&amp;"/"&amp;MONTH($D485)&amp;"/"&amp;YEAR($D485)&amp;", no valor de R$ "&amp;FIXED($N485,2)&amp;" (com multa e juros). Podemos ajudar a regularizar hoje? Obrigado!",IF($I485="Vence hoje","Olá, "&amp;$A485&amp;"! Lembrete: '"&amp;$B485&amp;"' vence hoje, no valor de R$ "&amp;FIXED($L485,2)&amp;". Obrigado!",""))</f>
        <v>0</v>
      </c>
    </row>
    <row r="486" spans="1:15">
      <c r="A486" s="13"/>
      <c r="B486" s="13"/>
      <c r="C486" s="17"/>
      <c r="D486" s="17"/>
      <c r="E486" s="18"/>
      <c r="F486" s="17"/>
      <c r="G486" s="18"/>
      <c r="H486" s="13"/>
      <c r="I486" s="19">
        <f>IF($E486="","",IF($L486&lt;=0.005,"Pago",IF($D486="","Sem vencimento",IF($D486&lt;Hoje,IF(N($G486)&gt;0,"Vencido (parcial)","Vencido"),IF($D486=Hoje,"Vence hoje","A vencer")))))</f>
        <v>0</v>
      </c>
      <c r="J486" s="20">
        <f>IF(OR($E486="",$D486=""),"",IF(AND($L486&gt;0.005,$D486&lt;Hoje),Hoje-$D486,0))</f>
        <v>0</v>
      </c>
      <c r="K486" s="20">
        <f>IF($J486="","",IF($L486&lt;=0.005,"Pago",IF($J486&lt;=0,"A vencer",IF($J486&lt;=15,"1-15 dias",IF($J486&lt;=30,"16-30 dias",IF($J486&lt;=60,"31-60 dias","Mais de 60 dias"))))))</f>
        <v>0</v>
      </c>
      <c r="L486" s="21">
        <f>IF($E486="","",MAX(0,$E486-N($G486)))</f>
        <v>0</v>
      </c>
      <c r="M486" s="21">
        <f>IF(OR($L486="",$J486=""),"",IF($J486&gt;0,ROUND($L486*Multa+$L486*Juros/30*$J486,2),0))</f>
        <v>0</v>
      </c>
      <c r="N486" s="22">
        <f>IF($L486="","",IF($L486&lt;=0.005,0,$L486+N($M486)))</f>
        <v>0</v>
      </c>
      <c r="O486" s="23">
        <f>IF(OR($I486="Vencido",$I486="Vencido (parcial)"),"Olá, "&amp;$A486&amp;"! Consta em aberto '"&amp;$B486&amp;"' com vencimento em "&amp;DAY($D486)&amp;"/"&amp;MONTH($D486)&amp;"/"&amp;YEAR($D486)&amp;", no valor de R$ "&amp;FIXED($N486,2)&amp;" (com multa e juros). Podemos ajudar a regularizar hoje? Obrigado!",IF($I486="Vence hoje","Olá, "&amp;$A486&amp;"! Lembrete: '"&amp;$B486&amp;"' vence hoje, no valor de R$ "&amp;FIXED($L486,2)&amp;". Obrigado!",""))</f>
        <v>0</v>
      </c>
    </row>
    <row r="487" spans="1:15">
      <c r="A487" s="13"/>
      <c r="B487" s="13"/>
      <c r="C487" s="17"/>
      <c r="D487" s="17"/>
      <c r="E487" s="18"/>
      <c r="F487" s="17"/>
      <c r="G487" s="18"/>
      <c r="H487" s="13"/>
      <c r="I487" s="19">
        <f>IF($E487="","",IF($L487&lt;=0.005,"Pago",IF($D487="","Sem vencimento",IF($D487&lt;Hoje,IF(N($G487)&gt;0,"Vencido (parcial)","Vencido"),IF($D487=Hoje,"Vence hoje","A vencer")))))</f>
        <v>0</v>
      </c>
      <c r="J487" s="20">
        <f>IF(OR($E487="",$D487=""),"",IF(AND($L487&gt;0.005,$D487&lt;Hoje),Hoje-$D487,0))</f>
        <v>0</v>
      </c>
      <c r="K487" s="20">
        <f>IF($J487="","",IF($L487&lt;=0.005,"Pago",IF($J487&lt;=0,"A vencer",IF($J487&lt;=15,"1-15 dias",IF($J487&lt;=30,"16-30 dias",IF($J487&lt;=60,"31-60 dias","Mais de 60 dias"))))))</f>
        <v>0</v>
      </c>
      <c r="L487" s="21">
        <f>IF($E487="","",MAX(0,$E487-N($G487)))</f>
        <v>0</v>
      </c>
      <c r="M487" s="21">
        <f>IF(OR($L487="",$J487=""),"",IF($J487&gt;0,ROUND($L487*Multa+$L487*Juros/30*$J487,2),0))</f>
        <v>0</v>
      </c>
      <c r="N487" s="22">
        <f>IF($L487="","",IF($L487&lt;=0.005,0,$L487+N($M487)))</f>
        <v>0</v>
      </c>
      <c r="O487" s="23">
        <f>IF(OR($I487="Vencido",$I487="Vencido (parcial)"),"Olá, "&amp;$A487&amp;"! Consta em aberto '"&amp;$B487&amp;"' com vencimento em "&amp;DAY($D487)&amp;"/"&amp;MONTH($D487)&amp;"/"&amp;YEAR($D487)&amp;", no valor de R$ "&amp;FIXED($N487,2)&amp;" (com multa e juros). Podemos ajudar a regularizar hoje? Obrigado!",IF($I487="Vence hoje","Olá, "&amp;$A487&amp;"! Lembrete: '"&amp;$B487&amp;"' vence hoje, no valor de R$ "&amp;FIXED($L487,2)&amp;". Obrigado!",""))</f>
        <v>0</v>
      </c>
    </row>
    <row r="488" spans="1:15">
      <c r="A488" s="13"/>
      <c r="B488" s="13"/>
      <c r="C488" s="17"/>
      <c r="D488" s="17"/>
      <c r="E488" s="18"/>
      <c r="F488" s="17"/>
      <c r="G488" s="18"/>
      <c r="H488" s="13"/>
      <c r="I488" s="19">
        <f>IF($E488="","",IF($L488&lt;=0.005,"Pago",IF($D488="","Sem vencimento",IF($D488&lt;Hoje,IF(N($G488)&gt;0,"Vencido (parcial)","Vencido"),IF($D488=Hoje,"Vence hoje","A vencer")))))</f>
        <v>0</v>
      </c>
      <c r="J488" s="20">
        <f>IF(OR($E488="",$D488=""),"",IF(AND($L488&gt;0.005,$D488&lt;Hoje),Hoje-$D488,0))</f>
        <v>0</v>
      </c>
      <c r="K488" s="20">
        <f>IF($J488="","",IF($L488&lt;=0.005,"Pago",IF($J488&lt;=0,"A vencer",IF($J488&lt;=15,"1-15 dias",IF($J488&lt;=30,"16-30 dias",IF($J488&lt;=60,"31-60 dias","Mais de 60 dias"))))))</f>
        <v>0</v>
      </c>
      <c r="L488" s="21">
        <f>IF($E488="","",MAX(0,$E488-N($G488)))</f>
        <v>0</v>
      </c>
      <c r="M488" s="21">
        <f>IF(OR($L488="",$J488=""),"",IF($J488&gt;0,ROUND($L488*Multa+$L488*Juros/30*$J488,2),0))</f>
        <v>0</v>
      </c>
      <c r="N488" s="22">
        <f>IF($L488="","",IF($L488&lt;=0.005,0,$L488+N($M488)))</f>
        <v>0</v>
      </c>
      <c r="O488" s="23">
        <f>IF(OR($I488="Vencido",$I488="Vencido (parcial)"),"Olá, "&amp;$A488&amp;"! Consta em aberto '"&amp;$B488&amp;"' com vencimento em "&amp;DAY($D488)&amp;"/"&amp;MONTH($D488)&amp;"/"&amp;YEAR($D488)&amp;", no valor de R$ "&amp;FIXED($N488,2)&amp;" (com multa e juros). Podemos ajudar a regularizar hoje? Obrigado!",IF($I488="Vence hoje","Olá, "&amp;$A488&amp;"! Lembrete: '"&amp;$B488&amp;"' vence hoje, no valor de R$ "&amp;FIXED($L488,2)&amp;". Obrigado!",""))</f>
        <v>0</v>
      </c>
    </row>
    <row r="489" spans="1:15">
      <c r="A489" s="13"/>
      <c r="B489" s="13"/>
      <c r="C489" s="17"/>
      <c r="D489" s="17"/>
      <c r="E489" s="18"/>
      <c r="F489" s="17"/>
      <c r="G489" s="18"/>
      <c r="H489" s="13"/>
      <c r="I489" s="19">
        <f>IF($E489="","",IF($L489&lt;=0.005,"Pago",IF($D489="","Sem vencimento",IF($D489&lt;Hoje,IF(N($G489)&gt;0,"Vencido (parcial)","Vencido"),IF($D489=Hoje,"Vence hoje","A vencer")))))</f>
        <v>0</v>
      </c>
      <c r="J489" s="20">
        <f>IF(OR($E489="",$D489=""),"",IF(AND($L489&gt;0.005,$D489&lt;Hoje),Hoje-$D489,0))</f>
        <v>0</v>
      </c>
      <c r="K489" s="20">
        <f>IF($J489="","",IF($L489&lt;=0.005,"Pago",IF($J489&lt;=0,"A vencer",IF($J489&lt;=15,"1-15 dias",IF($J489&lt;=30,"16-30 dias",IF($J489&lt;=60,"31-60 dias","Mais de 60 dias"))))))</f>
        <v>0</v>
      </c>
      <c r="L489" s="21">
        <f>IF($E489="","",MAX(0,$E489-N($G489)))</f>
        <v>0</v>
      </c>
      <c r="M489" s="21">
        <f>IF(OR($L489="",$J489=""),"",IF($J489&gt;0,ROUND($L489*Multa+$L489*Juros/30*$J489,2),0))</f>
        <v>0</v>
      </c>
      <c r="N489" s="22">
        <f>IF($L489="","",IF($L489&lt;=0.005,0,$L489+N($M489)))</f>
        <v>0</v>
      </c>
      <c r="O489" s="23">
        <f>IF(OR($I489="Vencido",$I489="Vencido (parcial)"),"Olá, "&amp;$A489&amp;"! Consta em aberto '"&amp;$B489&amp;"' com vencimento em "&amp;DAY($D489)&amp;"/"&amp;MONTH($D489)&amp;"/"&amp;YEAR($D489)&amp;", no valor de R$ "&amp;FIXED($N489,2)&amp;" (com multa e juros). Podemos ajudar a regularizar hoje? Obrigado!",IF($I489="Vence hoje","Olá, "&amp;$A489&amp;"! Lembrete: '"&amp;$B489&amp;"' vence hoje, no valor de R$ "&amp;FIXED($L489,2)&amp;". Obrigado!",""))</f>
        <v>0</v>
      </c>
    </row>
    <row r="490" spans="1:15">
      <c r="A490" s="13"/>
      <c r="B490" s="13"/>
      <c r="C490" s="17"/>
      <c r="D490" s="17"/>
      <c r="E490" s="18"/>
      <c r="F490" s="17"/>
      <c r="G490" s="18"/>
      <c r="H490" s="13"/>
      <c r="I490" s="19">
        <f>IF($E490="","",IF($L490&lt;=0.005,"Pago",IF($D490="","Sem vencimento",IF($D490&lt;Hoje,IF(N($G490)&gt;0,"Vencido (parcial)","Vencido"),IF($D490=Hoje,"Vence hoje","A vencer")))))</f>
        <v>0</v>
      </c>
      <c r="J490" s="20">
        <f>IF(OR($E490="",$D490=""),"",IF(AND($L490&gt;0.005,$D490&lt;Hoje),Hoje-$D490,0))</f>
        <v>0</v>
      </c>
      <c r="K490" s="20">
        <f>IF($J490="","",IF($L490&lt;=0.005,"Pago",IF($J490&lt;=0,"A vencer",IF($J490&lt;=15,"1-15 dias",IF($J490&lt;=30,"16-30 dias",IF($J490&lt;=60,"31-60 dias","Mais de 60 dias"))))))</f>
        <v>0</v>
      </c>
      <c r="L490" s="21">
        <f>IF($E490="","",MAX(0,$E490-N($G490)))</f>
        <v>0</v>
      </c>
      <c r="M490" s="21">
        <f>IF(OR($L490="",$J490=""),"",IF($J490&gt;0,ROUND($L490*Multa+$L490*Juros/30*$J490,2),0))</f>
        <v>0</v>
      </c>
      <c r="N490" s="22">
        <f>IF($L490="","",IF($L490&lt;=0.005,0,$L490+N($M490)))</f>
        <v>0</v>
      </c>
      <c r="O490" s="23">
        <f>IF(OR($I490="Vencido",$I490="Vencido (parcial)"),"Olá, "&amp;$A490&amp;"! Consta em aberto '"&amp;$B490&amp;"' com vencimento em "&amp;DAY($D490)&amp;"/"&amp;MONTH($D490)&amp;"/"&amp;YEAR($D490)&amp;", no valor de R$ "&amp;FIXED($N490,2)&amp;" (com multa e juros). Podemos ajudar a regularizar hoje? Obrigado!",IF($I490="Vence hoje","Olá, "&amp;$A490&amp;"! Lembrete: '"&amp;$B490&amp;"' vence hoje, no valor de R$ "&amp;FIXED($L490,2)&amp;". Obrigado!",""))</f>
        <v>0</v>
      </c>
    </row>
    <row r="491" spans="1:15">
      <c r="A491" s="13"/>
      <c r="B491" s="13"/>
      <c r="C491" s="17"/>
      <c r="D491" s="17"/>
      <c r="E491" s="18"/>
      <c r="F491" s="17"/>
      <c r="G491" s="18"/>
      <c r="H491" s="13"/>
      <c r="I491" s="19">
        <f>IF($E491="","",IF($L491&lt;=0.005,"Pago",IF($D491="","Sem vencimento",IF($D491&lt;Hoje,IF(N($G491)&gt;0,"Vencido (parcial)","Vencido"),IF($D491=Hoje,"Vence hoje","A vencer")))))</f>
        <v>0</v>
      </c>
      <c r="J491" s="20">
        <f>IF(OR($E491="",$D491=""),"",IF(AND($L491&gt;0.005,$D491&lt;Hoje),Hoje-$D491,0))</f>
        <v>0</v>
      </c>
      <c r="K491" s="20">
        <f>IF($J491="","",IF($L491&lt;=0.005,"Pago",IF($J491&lt;=0,"A vencer",IF($J491&lt;=15,"1-15 dias",IF($J491&lt;=30,"16-30 dias",IF($J491&lt;=60,"31-60 dias","Mais de 60 dias"))))))</f>
        <v>0</v>
      </c>
      <c r="L491" s="21">
        <f>IF($E491="","",MAX(0,$E491-N($G491)))</f>
        <v>0</v>
      </c>
      <c r="M491" s="21">
        <f>IF(OR($L491="",$J491=""),"",IF($J491&gt;0,ROUND($L491*Multa+$L491*Juros/30*$J491,2),0))</f>
        <v>0</v>
      </c>
      <c r="N491" s="22">
        <f>IF($L491="","",IF($L491&lt;=0.005,0,$L491+N($M491)))</f>
        <v>0</v>
      </c>
      <c r="O491" s="23">
        <f>IF(OR($I491="Vencido",$I491="Vencido (parcial)"),"Olá, "&amp;$A491&amp;"! Consta em aberto '"&amp;$B491&amp;"' com vencimento em "&amp;DAY($D491)&amp;"/"&amp;MONTH($D491)&amp;"/"&amp;YEAR($D491)&amp;", no valor de R$ "&amp;FIXED($N491,2)&amp;" (com multa e juros). Podemos ajudar a regularizar hoje? Obrigado!",IF($I491="Vence hoje","Olá, "&amp;$A491&amp;"! Lembrete: '"&amp;$B491&amp;"' vence hoje, no valor de R$ "&amp;FIXED($L491,2)&amp;". Obrigado!",""))</f>
        <v>0</v>
      </c>
    </row>
    <row r="492" spans="1:15">
      <c r="A492" s="13"/>
      <c r="B492" s="13"/>
      <c r="C492" s="17"/>
      <c r="D492" s="17"/>
      <c r="E492" s="18"/>
      <c r="F492" s="17"/>
      <c r="G492" s="18"/>
      <c r="H492" s="13"/>
      <c r="I492" s="19">
        <f>IF($E492="","",IF($L492&lt;=0.005,"Pago",IF($D492="","Sem vencimento",IF($D492&lt;Hoje,IF(N($G492)&gt;0,"Vencido (parcial)","Vencido"),IF($D492=Hoje,"Vence hoje","A vencer")))))</f>
        <v>0</v>
      </c>
      <c r="J492" s="20">
        <f>IF(OR($E492="",$D492=""),"",IF(AND($L492&gt;0.005,$D492&lt;Hoje),Hoje-$D492,0))</f>
        <v>0</v>
      </c>
      <c r="K492" s="20">
        <f>IF($J492="","",IF($L492&lt;=0.005,"Pago",IF($J492&lt;=0,"A vencer",IF($J492&lt;=15,"1-15 dias",IF($J492&lt;=30,"16-30 dias",IF($J492&lt;=60,"31-60 dias","Mais de 60 dias"))))))</f>
        <v>0</v>
      </c>
      <c r="L492" s="21">
        <f>IF($E492="","",MAX(0,$E492-N($G492)))</f>
        <v>0</v>
      </c>
      <c r="M492" s="21">
        <f>IF(OR($L492="",$J492=""),"",IF($J492&gt;0,ROUND($L492*Multa+$L492*Juros/30*$J492,2),0))</f>
        <v>0</v>
      </c>
      <c r="N492" s="22">
        <f>IF($L492="","",IF($L492&lt;=0.005,0,$L492+N($M492)))</f>
        <v>0</v>
      </c>
      <c r="O492" s="23">
        <f>IF(OR($I492="Vencido",$I492="Vencido (parcial)"),"Olá, "&amp;$A492&amp;"! Consta em aberto '"&amp;$B492&amp;"' com vencimento em "&amp;DAY($D492)&amp;"/"&amp;MONTH($D492)&amp;"/"&amp;YEAR($D492)&amp;", no valor de R$ "&amp;FIXED($N492,2)&amp;" (com multa e juros). Podemos ajudar a regularizar hoje? Obrigado!",IF($I492="Vence hoje","Olá, "&amp;$A492&amp;"! Lembrete: '"&amp;$B492&amp;"' vence hoje, no valor de R$ "&amp;FIXED($L492,2)&amp;". Obrigado!",""))</f>
        <v>0</v>
      </c>
    </row>
    <row r="493" spans="1:15">
      <c r="A493" s="13"/>
      <c r="B493" s="13"/>
      <c r="C493" s="17"/>
      <c r="D493" s="17"/>
      <c r="E493" s="18"/>
      <c r="F493" s="17"/>
      <c r="G493" s="18"/>
      <c r="H493" s="13"/>
      <c r="I493" s="19">
        <f>IF($E493="","",IF($L493&lt;=0.005,"Pago",IF($D493="","Sem vencimento",IF($D493&lt;Hoje,IF(N($G493)&gt;0,"Vencido (parcial)","Vencido"),IF($D493=Hoje,"Vence hoje","A vencer")))))</f>
        <v>0</v>
      </c>
      <c r="J493" s="20">
        <f>IF(OR($E493="",$D493=""),"",IF(AND($L493&gt;0.005,$D493&lt;Hoje),Hoje-$D493,0))</f>
        <v>0</v>
      </c>
      <c r="K493" s="20">
        <f>IF($J493="","",IF($L493&lt;=0.005,"Pago",IF($J493&lt;=0,"A vencer",IF($J493&lt;=15,"1-15 dias",IF($J493&lt;=30,"16-30 dias",IF($J493&lt;=60,"31-60 dias","Mais de 60 dias"))))))</f>
        <v>0</v>
      </c>
      <c r="L493" s="21">
        <f>IF($E493="","",MAX(0,$E493-N($G493)))</f>
        <v>0</v>
      </c>
      <c r="M493" s="21">
        <f>IF(OR($L493="",$J493=""),"",IF($J493&gt;0,ROUND($L493*Multa+$L493*Juros/30*$J493,2),0))</f>
        <v>0</v>
      </c>
      <c r="N493" s="22">
        <f>IF($L493="","",IF($L493&lt;=0.005,0,$L493+N($M493)))</f>
        <v>0</v>
      </c>
      <c r="O493" s="23">
        <f>IF(OR($I493="Vencido",$I493="Vencido (parcial)"),"Olá, "&amp;$A493&amp;"! Consta em aberto '"&amp;$B493&amp;"' com vencimento em "&amp;DAY($D493)&amp;"/"&amp;MONTH($D493)&amp;"/"&amp;YEAR($D493)&amp;", no valor de R$ "&amp;FIXED($N493,2)&amp;" (com multa e juros). Podemos ajudar a regularizar hoje? Obrigado!",IF($I493="Vence hoje","Olá, "&amp;$A493&amp;"! Lembrete: '"&amp;$B493&amp;"' vence hoje, no valor de R$ "&amp;FIXED($L493,2)&amp;". Obrigado!",""))</f>
        <v>0</v>
      </c>
    </row>
    <row r="494" spans="1:15">
      <c r="A494" s="13"/>
      <c r="B494" s="13"/>
      <c r="C494" s="17"/>
      <c r="D494" s="17"/>
      <c r="E494" s="18"/>
      <c r="F494" s="17"/>
      <c r="G494" s="18"/>
      <c r="H494" s="13"/>
      <c r="I494" s="19">
        <f>IF($E494="","",IF($L494&lt;=0.005,"Pago",IF($D494="","Sem vencimento",IF($D494&lt;Hoje,IF(N($G494)&gt;0,"Vencido (parcial)","Vencido"),IF($D494=Hoje,"Vence hoje","A vencer")))))</f>
        <v>0</v>
      </c>
      <c r="J494" s="20">
        <f>IF(OR($E494="",$D494=""),"",IF(AND($L494&gt;0.005,$D494&lt;Hoje),Hoje-$D494,0))</f>
        <v>0</v>
      </c>
      <c r="K494" s="20">
        <f>IF($J494="","",IF($L494&lt;=0.005,"Pago",IF($J494&lt;=0,"A vencer",IF($J494&lt;=15,"1-15 dias",IF($J494&lt;=30,"16-30 dias",IF($J494&lt;=60,"31-60 dias","Mais de 60 dias"))))))</f>
        <v>0</v>
      </c>
      <c r="L494" s="21">
        <f>IF($E494="","",MAX(0,$E494-N($G494)))</f>
        <v>0</v>
      </c>
      <c r="M494" s="21">
        <f>IF(OR($L494="",$J494=""),"",IF($J494&gt;0,ROUND($L494*Multa+$L494*Juros/30*$J494,2),0))</f>
        <v>0</v>
      </c>
      <c r="N494" s="22">
        <f>IF($L494="","",IF($L494&lt;=0.005,0,$L494+N($M494)))</f>
        <v>0</v>
      </c>
      <c r="O494" s="23">
        <f>IF(OR($I494="Vencido",$I494="Vencido (parcial)"),"Olá, "&amp;$A494&amp;"! Consta em aberto '"&amp;$B494&amp;"' com vencimento em "&amp;DAY($D494)&amp;"/"&amp;MONTH($D494)&amp;"/"&amp;YEAR($D494)&amp;", no valor de R$ "&amp;FIXED($N494,2)&amp;" (com multa e juros). Podemos ajudar a regularizar hoje? Obrigado!",IF($I494="Vence hoje","Olá, "&amp;$A494&amp;"! Lembrete: '"&amp;$B494&amp;"' vence hoje, no valor de R$ "&amp;FIXED($L494,2)&amp;". Obrigado!",""))</f>
        <v>0</v>
      </c>
    </row>
    <row r="495" spans="1:15">
      <c r="A495" s="13"/>
      <c r="B495" s="13"/>
      <c r="C495" s="17"/>
      <c r="D495" s="17"/>
      <c r="E495" s="18"/>
      <c r="F495" s="17"/>
      <c r="G495" s="18"/>
      <c r="H495" s="13"/>
      <c r="I495" s="19">
        <f>IF($E495="","",IF($L495&lt;=0.005,"Pago",IF($D495="","Sem vencimento",IF($D495&lt;Hoje,IF(N($G495)&gt;0,"Vencido (parcial)","Vencido"),IF($D495=Hoje,"Vence hoje","A vencer")))))</f>
        <v>0</v>
      </c>
      <c r="J495" s="20">
        <f>IF(OR($E495="",$D495=""),"",IF(AND($L495&gt;0.005,$D495&lt;Hoje),Hoje-$D495,0))</f>
        <v>0</v>
      </c>
      <c r="K495" s="20">
        <f>IF($J495="","",IF($L495&lt;=0.005,"Pago",IF($J495&lt;=0,"A vencer",IF($J495&lt;=15,"1-15 dias",IF($J495&lt;=30,"16-30 dias",IF($J495&lt;=60,"31-60 dias","Mais de 60 dias"))))))</f>
        <v>0</v>
      </c>
      <c r="L495" s="21">
        <f>IF($E495="","",MAX(0,$E495-N($G495)))</f>
        <v>0</v>
      </c>
      <c r="M495" s="21">
        <f>IF(OR($L495="",$J495=""),"",IF($J495&gt;0,ROUND($L495*Multa+$L495*Juros/30*$J495,2),0))</f>
        <v>0</v>
      </c>
      <c r="N495" s="22">
        <f>IF($L495="","",IF($L495&lt;=0.005,0,$L495+N($M495)))</f>
        <v>0</v>
      </c>
      <c r="O495" s="23">
        <f>IF(OR($I495="Vencido",$I495="Vencido (parcial)"),"Olá, "&amp;$A495&amp;"! Consta em aberto '"&amp;$B495&amp;"' com vencimento em "&amp;DAY($D495)&amp;"/"&amp;MONTH($D495)&amp;"/"&amp;YEAR($D495)&amp;", no valor de R$ "&amp;FIXED($N495,2)&amp;" (com multa e juros). Podemos ajudar a regularizar hoje? Obrigado!",IF($I495="Vence hoje","Olá, "&amp;$A495&amp;"! Lembrete: '"&amp;$B495&amp;"' vence hoje, no valor de R$ "&amp;FIXED($L495,2)&amp;". Obrigado!",""))</f>
        <v>0</v>
      </c>
    </row>
    <row r="496" spans="1:15">
      <c r="A496" s="13"/>
      <c r="B496" s="13"/>
      <c r="C496" s="17"/>
      <c r="D496" s="17"/>
      <c r="E496" s="18"/>
      <c r="F496" s="17"/>
      <c r="G496" s="18"/>
      <c r="H496" s="13"/>
      <c r="I496" s="19">
        <f>IF($E496="","",IF($L496&lt;=0.005,"Pago",IF($D496="","Sem vencimento",IF($D496&lt;Hoje,IF(N($G496)&gt;0,"Vencido (parcial)","Vencido"),IF($D496=Hoje,"Vence hoje","A vencer")))))</f>
        <v>0</v>
      </c>
      <c r="J496" s="20">
        <f>IF(OR($E496="",$D496=""),"",IF(AND($L496&gt;0.005,$D496&lt;Hoje),Hoje-$D496,0))</f>
        <v>0</v>
      </c>
      <c r="K496" s="20">
        <f>IF($J496="","",IF($L496&lt;=0.005,"Pago",IF($J496&lt;=0,"A vencer",IF($J496&lt;=15,"1-15 dias",IF($J496&lt;=30,"16-30 dias",IF($J496&lt;=60,"31-60 dias","Mais de 60 dias"))))))</f>
        <v>0</v>
      </c>
      <c r="L496" s="21">
        <f>IF($E496="","",MAX(0,$E496-N($G496)))</f>
        <v>0</v>
      </c>
      <c r="M496" s="21">
        <f>IF(OR($L496="",$J496=""),"",IF($J496&gt;0,ROUND($L496*Multa+$L496*Juros/30*$J496,2),0))</f>
        <v>0</v>
      </c>
      <c r="N496" s="22">
        <f>IF($L496="","",IF($L496&lt;=0.005,0,$L496+N($M496)))</f>
        <v>0</v>
      </c>
      <c r="O496" s="23">
        <f>IF(OR($I496="Vencido",$I496="Vencido (parcial)"),"Olá, "&amp;$A496&amp;"! Consta em aberto '"&amp;$B496&amp;"' com vencimento em "&amp;DAY($D496)&amp;"/"&amp;MONTH($D496)&amp;"/"&amp;YEAR($D496)&amp;", no valor de R$ "&amp;FIXED($N496,2)&amp;" (com multa e juros). Podemos ajudar a regularizar hoje? Obrigado!",IF($I496="Vence hoje","Olá, "&amp;$A496&amp;"! Lembrete: '"&amp;$B496&amp;"' vence hoje, no valor de R$ "&amp;FIXED($L496,2)&amp;". Obrigado!",""))</f>
        <v>0</v>
      </c>
    </row>
    <row r="497" spans="1:15">
      <c r="A497" s="13"/>
      <c r="B497" s="13"/>
      <c r="C497" s="17"/>
      <c r="D497" s="17"/>
      <c r="E497" s="18"/>
      <c r="F497" s="17"/>
      <c r="G497" s="18"/>
      <c r="H497" s="13"/>
      <c r="I497" s="19">
        <f>IF($E497="","",IF($L497&lt;=0.005,"Pago",IF($D497="","Sem vencimento",IF($D497&lt;Hoje,IF(N($G497)&gt;0,"Vencido (parcial)","Vencido"),IF($D497=Hoje,"Vence hoje","A vencer")))))</f>
        <v>0</v>
      </c>
      <c r="J497" s="20">
        <f>IF(OR($E497="",$D497=""),"",IF(AND($L497&gt;0.005,$D497&lt;Hoje),Hoje-$D497,0))</f>
        <v>0</v>
      </c>
      <c r="K497" s="20">
        <f>IF($J497="","",IF($L497&lt;=0.005,"Pago",IF($J497&lt;=0,"A vencer",IF($J497&lt;=15,"1-15 dias",IF($J497&lt;=30,"16-30 dias",IF($J497&lt;=60,"31-60 dias","Mais de 60 dias"))))))</f>
        <v>0</v>
      </c>
      <c r="L497" s="21">
        <f>IF($E497="","",MAX(0,$E497-N($G497)))</f>
        <v>0</v>
      </c>
      <c r="M497" s="21">
        <f>IF(OR($L497="",$J497=""),"",IF($J497&gt;0,ROUND($L497*Multa+$L497*Juros/30*$J497,2),0))</f>
        <v>0</v>
      </c>
      <c r="N497" s="22">
        <f>IF($L497="","",IF($L497&lt;=0.005,0,$L497+N($M497)))</f>
        <v>0</v>
      </c>
      <c r="O497" s="23">
        <f>IF(OR($I497="Vencido",$I497="Vencido (parcial)"),"Olá, "&amp;$A497&amp;"! Consta em aberto '"&amp;$B497&amp;"' com vencimento em "&amp;DAY($D497)&amp;"/"&amp;MONTH($D497)&amp;"/"&amp;YEAR($D497)&amp;", no valor de R$ "&amp;FIXED($N497,2)&amp;" (com multa e juros). Podemos ajudar a regularizar hoje? Obrigado!",IF($I497="Vence hoje","Olá, "&amp;$A497&amp;"! Lembrete: '"&amp;$B497&amp;"' vence hoje, no valor de R$ "&amp;FIXED($L497,2)&amp;". Obrigado!",""))</f>
        <v>0</v>
      </c>
    </row>
    <row r="498" spans="1:15">
      <c r="A498" s="13"/>
      <c r="B498" s="13"/>
      <c r="C498" s="17"/>
      <c r="D498" s="17"/>
      <c r="E498" s="18"/>
      <c r="F498" s="17"/>
      <c r="G498" s="18"/>
      <c r="H498" s="13"/>
      <c r="I498" s="19">
        <f>IF($E498="","",IF($L498&lt;=0.005,"Pago",IF($D498="","Sem vencimento",IF($D498&lt;Hoje,IF(N($G498)&gt;0,"Vencido (parcial)","Vencido"),IF($D498=Hoje,"Vence hoje","A vencer")))))</f>
        <v>0</v>
      </c>
      <c r="J498" s="20">
        <f>IF(OR($E498="",$D498=""),"",IF(AND($L498&gt;0.005,$D498&lt;Hoje),Hoje-$D498,0))</f>
        <v>0</v>
      </c>
      <c r="K498" s="20">
        <f>IF($J498="","",IF($L498&lt;=0.005,"Pago",IF($J498&lt;=0,"A vencer",IF($J498&lt;=15,"1-15 dias",IF($J498&lt;=30,"16-30 dias",IF($J498&lt;=60,"31-60 dias","Mais de 60 dias"))))))</f>
        <v>0</v>
      </c>
      <c r="L498" s="21">
        <f>IF($E498="","",MAX(0,$E498-N($G498)))</f>
        <v>0</v>
      </c>
      <c r="M498" s="21">
        <f>IF(OR($L498="",$J498=""),"",IF($J498&gt;0,ROUND($L498*Multa+$L498*Juros/30*$J498,2),0))</f>
        <v>0</v>
      </c>
      <c r="N498" s="22">
        <f>IF($L498="","",IF($L498&lt;=0.005,0,$L498+N($M498)))</f>
        <v>0</v>
      </c>
      <c r="O498" s="23">
        <f>IF(OR($I498="Vencido",$I498="Vencido (parcial)"),"Olá, "&amp;$A498&amp;"! Consta em aberto '"&amp;$B498&amp;"' com vencimento em "&amp;DAY($D498)&amp;"/"&amp;MONTH($D498)&amp;"/"&amp;YEAR($D498)&amp;", no valor de R$ "&amp;FIXED($N498,2)&amp;" (com multa e juros). Podemos ajudar a regularizar hoje? Obrigado!",IF($I498="Vence hoje","Olá, "&amp;$A498&amp;"! Lembrete: '"&amp;$B498&amp;"' vence hoje, no valor de R$ "&amp;FIXED($L498,2)&amp;". Obrigado!",""))</f>
        <v>0</v>
      </c>
    </row>
    <row r="499" spans="1:15">
      <c r="A499" s="13"/>
      <c r="B499" s="13"/>
      <c r="C499" s="17"/>
      <c r="D499" s="17"/>
      <c r="E499" s="18"/>
      <c r="F499" s="17"/>
      <c r="G499" s="18"/>
      <c r="H499" s="13"/>
      <c r="I499" s="19">
        <f>IF($E499="","",IF($L499&lt;=0.005,"Pago",IF($D499="","Sem vencimento",IF($D499&lt;Hoje,IF(N($G499)&gt;0,"Vencido (parcial)","Vencido"),IF($D499=Hoje,"Vence hoje","A vencer")))))</f>
        <v>0</v>
      </c>
      <c r="J499" s="20">
        <f>IF(OR($E499="",$D499=""),"",IF(AND($L499&gt;0.005,$D499&lt;Hoje),Hoje-$D499,0))</f>
        <v>0</v>
      </c>
      <c r="K499" s="20">
        <f>IF($J499="","",IF($L499&lt;=0.005,"Pago",IF($J499&lt;=0,"A vencer",IF($J499&lt;=15,"1-15 dias",IF($J499&lt;=30,"16-30 dias",IF($J499&lt;=60,"31-60 dias","Mais de 60 dias"))))))</f>
        <v>0</v>
      </c>
      <c r="L499" s="21">
        <f>IF($E499="","",MAX(0,$E499-N($G499)))</f>
        <v>0</v>
      </c>
      <c r="M499" s="21">
        <f>IF(OR($L499="",$J499=""),"",IF($J499&gt;0,ROUND($L499*Multa+$L499*Juros/30*$J499,2),0))</f>
        <v>0</v>
      </c>
      <c r="N499" s="22">
        <f>IF($L499="","",IF($L499&lt;=0.005,0,$L499+N($M499)))</f>
        <v>0</v>
      </c>
      <c r="O499" s="23">
        <f>IF(OR($I499="Vencido",$I499="Vencido (parcial)"),"Olá, "&amp;$A499&amp;"! Consta em aberto '"&amp;$B499&amp;"' com vencimento em "&amp;DAY($D499)&amp;"/"&amp;MONTH($D499)&amp;"/"&amp;YEAR($D499)&amp;", no valor de R$ "&amp;FIXED($N499,2)&amp;" (com multa e juros). Podemos ajudar a regularizar hoje? Obrigado!",IF($I499="Vence hoje","Olá, "&amp;$A499&amp;"! Lembrete: '"&amp;$B499&amp;"' vence hoje, no valor de R$ "&amp;FIXED($L499,2)&amp;". Obrigado!",""))</f>
        <v>0</v>
      </c>
    </row>
    <row r="500" spans="1:15">
      <c r="A500" s="13"/>
      <c r="B500" s="13"/>
      <c r="C500" s="17"/>
      <c r="D500" s="17"/>
      <c r="E500" s="18"/>
      <c r="F500" s="17"/>
      <c r="G500" s="18"/>
      <c r="H500" s="13"/>
      <c r="I500" s="19">
        <f>IF($E500="","",IF($L500&lt;=0.005,"Pago",IF($D500="","Sem vencimento",IF($D500&lt;Hoje,IF(N($G500)&gt;0,"Vencido (parcial)","Vencido"),IF($D500=Hoje,"Vence hoje","A vencer")))))</f>
        <v>0</v>
      </c>
      <c r="J500" s="20">
        <f>IF(OR($E500="",$D500=""),"",IF(AND($L500&gt;0.005,$D500&lt;Hoje),Hoje-$D500,0))</f>
        <v>0</v>
      </c>
      <c r="K500" s="20">
        <f>IF($J500="","",IF($L500&lt;=0.005,"Pago",IF($J500&lt;=0,"A vencer",IF($J500&lt;=15,"1-15 dias",IF($J500&lt;=30,"16-30 dias",IF($J500&lt;=60,"31-60 dias","Mais de 60 dias"))))))</f>
        <v>0</v>
      </c>
      <c r="L500" s="21">
        <f>IF($E500="","",MAX(0,$E500-N($G500)))</f>
        <v>0</v>
      </c>
      <c r="M500" s="21">
        <f>IF(OR($L500="",$J500=""),"",IF($J500&gt;0,ROUND($L500*Multa+$L500*Juros/30*$J500,2),0))</f>
        <v>0</v>
      </c>
      <c r="N500" s="22">
        <f>IF($L500="","",IF($L500&lt;=0.005,0,$L500+N($M500)))</f>
        <v>0</v>
      </c>
      <c r="O500" s="23">
        <f>IF(OR($I500="Vencido",$I500="Vencido (parcial)"),"Olá, "&amp;$A500&amp;"! Consta em aberto '"&amp;$B500&amp;"' com vencimento em "&amp;DAY($D500)&amp;"/"&amp;MONTH($D500)&amp;"/"&amp;YEAR($D500)&amp;", no valor de R$ "&amp;FIXED($N500,2)&amp;" (com multa e juros). Podemos ajudar a regularizar hoje? Obrigado!",IF($I500="Vence hoje","Olá, "&amp;$A500&amp;"! Lembrete: '"&amp;$B500&amp;"' vence hoje, no valor de R$ "&amp;FIXED($L500,2)&amp;". Obrigado!",""))</f>
        <v>0</v>
      </c>
    </row>
    <row r="501" spans="1:15">
      <c r="A501" s="13"/>
      <c r="B501" s="13"/>
      <c r="C501" s="17"/>
      <c r="D501" s="17"/>
      <c r="E501" s="18"/>
      <c r="F501" s="17"/>
      <c r="G501" s="18"/>
      <c r="H501" s="13"/>
      <c r="I501" s="19">
        <f>IF($E501="","",IF($L501&lt;=0.005,"Pago",IF($D501="","Sem vencimento",IF($D501&lt;Hoje,IF(N($G501)&gt;0,"Vencido (parcial)","Vencido"),IF($D501=Hoje,"Vence hoje","A vencer")))))</f>
        <v>0</v>
      </c>
      <c r="J501" s="20">
        <f>IF(OR($E501="",$D501=""),"",IF(AND($L501&gt;0.005,$D501&lt;Hoje),Hoje-$D501,0))</f>
        <v>0</v>
      </c>
      <c r="K501" s="20">
        <f>IF($J501="","",IF($L501&lt;=0.005,"Pago",IF($J501&lt;=0,"A vencer",IF($J501&lt;=15,"1-15 dias",IF($J501&lt;=30,"16-30 dias",IF($J501&lt;=60,"31-60 dias","Mais de 60 dias"))))))</f>
        <v>0</v>
      </c>
      <c r="L501" s="21">
        <f>IF($E501="","",MAX(0,$E501-N($G501)))</f>
        <v>0</v>
      </c>
      <c r="M501" s="21">
        <f>IF(OR($L501="",$J501=""),"",IF($J501&gt;0,ROUND($L501*Multa+$L501*Juros/30*$J501,2),0))</f>
        <v>0</v>
      </c>
      <c r="N501" s="22">
        <f>IF($L501="","",IF($L501&lt;=0.005,0,$L501+N($M501)))</f>
        <v>0</v>
      </c>
      <c r="O501" s="23">
        <f>IF(OR($I501="Vencido",$I501="Vencido (parcial)"),"Olá, "&amp;$A501&amp;"! Consta em aberto '"&amp;$B501&amp;"' com vencimento em "&amp;DAY($D501)&amp;"/"&amp;MONTH($D501)&amp;"/"&amp;YEAR($D501)&amp;", no valor de R$ "&amp;FIXED($N501,2)&amp;" (com multa e juros). Podemos ajudar a regularizar hoje? Obrigado!",IF($I501="Vence hoje","Olá, "&amp;$A501&amp;"! Lembrete: '"&amp;$B501&amp;"' vence hoje, no valor de R$ "&amp;FIXED($L501,2)&amp;". Obrigado!",""))</f>
        <v>0</v>
      </c>
    </row>
    <row r="502" spans="1:15">
      <c r="A502" s="13"/>
      <c r="B502" s="13"/>
      <c r="C502" s="17"/>
      <c r="D502" s="17"/>
      <c r="E502" s="18"/>
      <c r="F502" s="17"/>
      <c r="G502" s="18"/>
      <c r="H502" s="13"/>
      <c r="I502" s="19">
        <f>IF($E502="","",IF($L502&lt;=0.005,"Pago",IF($D502="","Sem vencimento",IF($D502&lt;Hoje,IF(N($G502)&gt;0,"Vencido (parcial)","Vencido"),IF($D502=Hoje,"Vence hoje","A vencer")))))</f>
        <v>0</v>
      </c>
      <c r="J502" s="20">
        <f>IF(OR($E502="",$D502=""),"",IF(AND($L502&gt;0.005,$D502&lt;Hoje),Hoje-$D502,0))</f>
        <v>0</v>
      </c>
      <c r="K502" s="20">
        <f>IF($J502="","",IF($L502&lt;=0.005,"Pago",IF($J502&lt;=0,"A vencer",IF($J502&lt;=15,"1-15 dias",IF($J502&lt;=30,"16-30 dias",IF($J502&lt;=60,"31-60 dias","Mais de 60 dias"))))))</f>
        <v>0</v>
      </c>
      <c r="L502" s="21">
        <f>IF($E502="","",MAX(0,$E502-N($G502)))</f>
        <v>0</v>
      </c>
      <c r="M502" s="21">
        <f>IF(OR($L502="",$J502=""),"",IF($J502&gt;0,ROUND($L502*Multa+$L502*Juros/30*$J502,2),0))</f>
        <v>0</v>
      </c>
      <c r="N502" s="22">
        <f>IF($L502="","",IF($L502&lt;=0.005,0,$L502+N($M502)))</f>
        <v>0</v>
      </c>
      <c r="O502" s="23">
        <f>IF(OR($I502="Vencido",$I502="Vencido (parcial)"),"Olá, "&amp;$A502&amp;"! Consta em aberto '"&amp;$B502&amp;"' com vencimento em "&amp;DAY($D502)&amp;"/"&amp;MONTH($D502)&amp;"/"&amp;YEAR($D502)&amp;", no valor de R$ "&amp;FIXED($N502,2)&amp;" (com multa e juros). Podemos ajudar a regularizar hoje? Obrigado!",IF($I502="Vence hoje","Olá, "&amp;$A502&amp;"! Lembrete: '"&amp;$B502&amp;"' vence hoje, no valor de R$ "&amp;FIXED($L502,2)&amp;". Obrigado!",""))</f>
        <v>0</v>
      </c>
    </row>
    <row r="503" spans="1:15">
      <c r="A503" s="13"/>
      <c r="B503" s="13"/>
      <c r="C503" s="17"/>
      <c r="D503" s="17"/>
      <c r="E503" s="18"/>
      <c r="F503" s="17"/>
      <c r="G503" s="18"/>
      <c r="H503" s="13"/>
      <c r="I503" s="19">
        <f>IF($E503="","",IF($L503&lt;=0.005,"Pago",IF($D503="","Sem vencimento",IF($D503&lt;Hoje,IF(N($G503)&gt;0,"Vencido (parcial)","Vencido"),IF($D503=Hoje,"Vence hoje","A vencer")))))</f>
        <v>0</v>
      </c>
      <c r="J503" s="20">
        <f>IF(OR($E503="",$D503=""),"",IF(AND($L503&gt;0.005,$D503&lt;Hoje),Hoje-$D503,0))</f>
        <v>0</v>
      </c>
      <c r="K503" s="20">
        <f>IF($J503="","",IF($L503&lt;=0.005,"Pago",IF($J503&lt;=0,"A vencer",IF($J503&lt;=15,"1-15 dias",IF($J503&lt;=30,"16-30 dias",IF($J503&lt;=60,"31-60 dias","Mais de 60 dias"))))))</f>
        <v>0</v>
      </c>
      <c r="L503" s="21">
        <f>IF($E503="","",MAX(0,$E503-N($G503)))</f>
        <v>0</v>
      </c>
      <c r="M503" s="21">
        <f>IF(OR($L503="",$J503=""),"",IF($J503&gt;0,ROUND($L503*Multa+$L503*Juros/30*$J503,2),0))</f>
        <v>0</v>
      </c>
      <c r="N503" s="22">
        <f>IF($L503="","",IF($L503&lt;=0.005,0,$L503+N($M503)))</f>
        <v>0</v>
      </c>
      <c r="O503" s="23">
        <f>IF(OR($I503="Vencido",$I503="Vencido (parcial)"),"Olá, "&amp;$A503&amp;"! Consta em aberto '"&amp;$B503&amp;"' com vencimento em "&amp;DAY($D503)&amp;"/"&amp;MONTH($D503)&amp;"/"&amp;YEAR($D503)&amp;", no valor de R$ "&amp;FIXED($N503,2)&amp;" (com multa e juros). Podemos ajudar a regularizar hoje? Obrigado!",IF($I503="Vence hoje","Olá, "&amp;$A503&amp;"! Lembrete: '"&amp;$B503&amp;"' vence hoje, no valor de R$ "&amp;FIXED($L503,2)&amp;". Obrigado!",""))</f>
        <v>0</v>
      </c>
    </row>
    <row r="504" spans="1:15">
      <c r="A504" s="13"/>
      <c r="B504" s="13"/>
      <c r="C504" s="17"/>
      <c r="D504" s="17"/>
      <c r="E504" s="18"/>
      <c r="F504" s="17"/>
      <c r="G504" s="18"/>
      <c r="H504" s="13"/>
      <c r="I504" s="19">
        <f>IF($E504="","",IF($L504&lt;=0.005,"Pago",IF($D504="","Sem vencimento",IF($D504&lt;Hoje,IF(N($G504)&gt;0,"Vencido (parcial)","Vencido"),IF($D504=Hoje,"Vence hoje","A vencer")))))</f>
        <v>0</v>
      </c>
      <c r="J504" s="20">
        <f>IF(OR($E504="",$D504=""),"",IF(AND($L504&gt;0.005,$D504&lt;Hoje),Hoje-$D504,0))</f>
        <v>0</v>
      </c>
      <c r="K504" s="20">
        <f>IF($J504="","",IF($L504&lt;=0.005,"Pago",IF($J504&lt;=0,"A vencer",IF($J504&lt;=15,"1-15 dias",IF($J504&lt;=30,"16-30 dias",IF($J504&lt;=60,"31-60 dias","Mais de 60 dias"))))))</f>
        <v>0</v>
      </c>
      <c r="L504" s="21">
        <f>IF($E504="","",MAX(0,$E504-N($G504)))</f>
        <v>0</v>
      </c>
      <c r="M504" s="21">
        <f>IF(OR($L504="",$J504=""),"",IF($J504&gt;0,ROUND($L504*Multa+$L504*Juros/30*$J504,2),0))</f>
        <v>0</v>
      </c>
      <c r="N504" s="22">
        <f>IF($L504="","",IF($L504&lt;=0.005,0,$L504+N($M504)))</f>
        <v>0</v>
      </c>
      <c r="O504" s="23">
        <f>IF(OR($I504="Vencido",$I504="Vencido (parcial)"),"Olá, "&amp;$A504&amp;"! Consta em aberto '"&amp;$B504&amp;"' com vencimento em "&amp;DAY($D504)&amp;"/"&amp;MONTH($D504)&amp;"/"&amp;YEAR($D504)&amp;", no valor de R$ "&amp;FIXED($N504,2)&amp;" (com multa e juros). Podemos ajudar a regularizar hoje? Obrigado!",IF($I504="Vence hoje","Olá, "&amp;$A504&amp;"! Lembrete: '"&amp;$B504&amp;"' vence hoje, no valor de R$ "&amp;FIXED($L504,2)&amp;". Obrigado!",""))</f>
        <v>0</v>
      </c>
    </row>
    <row r="505" spans="1:15">
      <c r="A505" s="13"/>
      <c r="B505" s="13"/>
      <c r="C505" s="17"/>
      <c r="D505" s="17"/>
      <c r="E505" s="18"/>
      <c r="F505" s="17"/>
      <c r="G505" s="18"/>
      <c r="H505" s="13"/>
      <c r="I505" s="19">
        <f>IF($E505="","",IF($L505&lt;=0.005,"Pago",IF($D505="","Sem vencimento",IF($D505&lt;Hoje,IF(N($G505)&gt;0,"Vencido (parcial)","Vencido"),IF($D505=Hoje,"Vence hoje","A vencer")))))</f>
        <v>0</v>
      </c>
      <c r="J505" s="20">
        <f>IF(OR($E505="",$D505=""),"",IF(AND($L505&gt;0.005,$D505&lt;Hoje),Hoje-$D505,0))</f>
        <v>0</v>
      </c>
      <c r="K505" s="20">
        <f>IF($J505="","",IF($L505&lt;=0.005,"Pago",IF($J505&lt;=0,"A vencer",IF($J505&lt;=15,"1-15 dias",IF($J505&lt;=30,"16-30 dias",IF($J505&lt;=60,"31-60 dias","Mais de 60 dias"))))))</f>
        <v>0</v>
      </c>
      <c r="L505" s="21">
        <f>IF($E505="","",MAX(0,$E505-N($G505)))</f>
        <v>0</v>
      </c>
      <c r="M505" s="21">
        <f>IF(OR($L505="",$J505=""),"",IF($J505&gt;0,ROUND($L505*Multa+$L505*Juros/30*$J505,2),0))</f>
        <v>0</v>
      </c>
      <c r="N505" s="22">
        <f>IF($L505="","",IF($L505&lt;=0.005,0,$L505+N($M505)))</f>
        <v>0</v>
      </c>
      <c r="O505" s="23">
        <f>IF(OR($I505="Vencido",$I505="Vencido (parcial)"),"Olá, "&amp;$A505&amp;"! Consta em aberto '"&amp;$B505&amp;"' com vencimento em "&amp;DAY($D505)&amp;"/"&amp;MONTH($D505)&amp;"/"&amp;YEAR($D505)&amp;", no valor de R$ "&amp;FIXED($N505,2)&amp;" (com multa e juros). Podemos ajudar a regularizar hoje? Obrigado!",IF($I505="Vence hoje","Olá, "&amp;$A505&amp;"! Lembrete: '"&amp;$B505&amp;"' vence hoje, no valor de R$ "&amp;FIXED($L505,2)&amp;". Obrigado!",""))</f>
        <v>0</v>
      </c>
    </row>
    <row r="506" spans="1:15">
      <c r="A506" s="13"/>
      <c r="B506" s="13"/>
      <c r="C506" s="17"/>
      <c r="D506" s="17"/>
      <c r="E506" s="18"/>
      <c r="F506" s="17"/>
      <c r="G506" s="18"/>
      <c r="H506" s="13"/>
      <c r="I506" s="19">
        <f>IF($E506="","",IF($L506&lt;=0.005,"Pago",IF($D506="","Sem vencimento",IF($D506&lt;Hoje,IF(N($G506)&gt;0,"Vencido (parcial)","Vencido"),IF($D506=Hoje,"Vence hoje","A vencer")))))</f>
        <v>0</v>
      </c>
      <c r="J506" s="20">
        <f>IF(OR($E506="",$D506=""),"",IF(AND($L506&gt;0.005,$D506&lt;Hoje),Hoje-$D506,0))</f>
        <v>0</v>
      </c>
      <c r="K506" s="20">
        <f>IF($J506="","",IF($L506&lt;=0.005,"Pago",IF($J506&lt;=0,"A vencer",IF($J506&lt;=15,"1-15 dias",IF($J506&lt;=30,"16-30 dias",IF($J506&lt;=60,"31-60 dias","Mais de 60 dias"))))))</f>
        <v>0</v>
      </c>
      <c r="L506" s="21">
        <f>IF($E506="","",MAX(0,$E506-N($G506)))</f>
        <v>0</v>
      </c>
      <c r="M506" s="21">
        <f>IF(OR($L506="",$J506=""),"",IF($J506&gt;0,ROUND($L506*Multa+$L506*Juros/30*$J506,2),0))</f>
        <v>0</v>
      </c>
      <c r="N506" s="22">
        <f>IF($L506="","",IF($L506&lt;=0.005,0,$L506+N($M506)))</f>
        <v>0</v>
      </c>
      <c r="O506" s="23">
        <f>IF(OR($I506="Vencido",$I506="Vencido (parcial)"),"Olá, "&amp;$A506&amp;"! Consta em aberto '"&amp;$B506&amp;"' com vencimento em "&amp;DAY($D506)&amp;"/"&amp;MONTH($D506)&amp;"/"&amp;YEAR($D506)&amp;", no valor de R$ "&amp;FIXED($N506,2)&amp;" (com multa e juros). Podemos ajudar a regularizar hoje? Obrigado!",IF($I506="Vence hoje","Olá, "&amp;$A506&amp;"! Lembrete: '"&amp;$B506&amp;"' vence hoje, no valor de R$ "&amp;FIXED($L506,2)&amp;". Obrigado!",""))</f>
        <v>0</v>
      </c>
    </row>
    <row r="507" spans="1:15">
      <c r="A507" s="13"/>
      <c r="B507" s="13"/>
      <c r="C507" s="17"/>
      <c r="D507" s="17"/>
      <c r="E507" s="18"/>
      <c r="F507" s="17"/>
      <c r="G507" s="18"/>
      <c r="H507" s="13"/>
      <c r="I507" s="19">
        <f>IF($E507="","",IF($L507&lt;=0.005,"Pago",IF($D507="","Sem vencimento",IF($D507&lt;Hoje,IF(N($G507)&gt;0,"Vencido (parcial)","Vencido"),IF($D507=Hoje,"Vence hoje","A vencer")))))</f>
        <v>0</v>
      </c>
      <c r="J507" s="20">
        <f>IF(OR($E507="",$D507=""),"",IF(AND($L507&gt;0.005,$D507&lt;Hoje),Hoje-$D507,0))</f>
        <v>0</v>
      </c>
      <c r="K507" s="20">
        <f>IF($J507="","",IF($L507&lt;=0.005,"Pago",IF($J507&lt;=0,"A vencer",IF($J507&lt;=15,"1-15 dias",IF($J507&lt;=30,"16-30 dias",IF($J507&lt;=60,"31-60 dias","Mais de 60 dias"))))))</f>
        <v>0</v>
      </c>
      <c r="L507" s="21">
        <f>IF($E507="","",MAX(0,$E507-N($G507)))</f>
        <v>0</v>
      </c>
      <c r="M507" s="21">
        <f>IF(OR($L507="",$J507=""),"",IF($J507&gt;0,ROUND($L507*Multa+$L507*Juros/30*$J507,2),0))</f>
        <v>0</v>
      </c>
      <c r="N507" s="22">
        <f>IF($L507="","",IF($L507&lt;=0.005,0,$L507+N($M507)))</f>
        <v>0</v>
      </c>
      <c r="O507" s="23">
        <f>IF(OR($I507="Vencido",$I507="Vencido (parcial)"),"Olá, "&amp;$A507&amp;"! Consta em aberto '"&amp;$B507&amp;"' com vencimento em "&amp;DAY($D507)&amp;"/"&amp;MONTH($D507)&amp;"/"&amp;YEAR($D507)&amp;", no valor de R$ "&amp;FIXED($N507,2)&amp;" (com multa e juros). Podemos ajudar a regularizar hoje? Obrigado!",IF($I507="Vence hoje","Olá, "&amp;$A507&amp;"! Lembrete: '"&amp;$B507&amp;"' vence hoje, no valor de R$ "&amp;FIXED($L507,2)&amp;". Obrigado!",""))</f>
        <v>0</v>
      </c>
    </row>
    <row r="508" spans="1:15">
      <c r="A508" s="13"/>
      <c r="B508" s="13"/>
      <c r="C508" s="17"/>
      <c r="D508" s="17"/>
      <c r="E508" s="18"/>
      <c r="F508" s="17"/>
      <c r="G508" s="18"/>
      <c r="H508" s="13"/>
      <c r="I508" s="19">
        <f>IF($E508="","",IF($L508&lt;=0.005,"Pago",IF($D508="","Sem vencimento",IF($D508&lt;Hoje,IF(N($G508)&gt;0,"Vencido (parcial)","Vencido"),IF($D508=Hoje,"Vence hoje","A vencer")))))</f>
        <v>0</v>
      </c>
      <c r="J508" s="20">
        <f>IF(OR($E508="",$D508=""),"",IF(AND($L508&gt;0.005,$D508&lt;Hoje),Hoje-$D508,0))</f>
        <v>0</v>
      </c>
      <c r="K508" s="20">
        <f>IF($J508="","",IF($L508&lt;=0.005,"Pago",IF($J508&lt;=0,"A vencer",IF($J508&lt;=15,"1-15 dias",IF($J508&lt;=30,"16-30 dias",IF($J508&lt;=60,"31-60 dias","Mais de 60 dias"))))))</f>
        <v>0</v>
      </c>
      <c r="L508" s="21">
        <f>IF($E508="","",MAX(0,$E508-N($G508)))</f>
        <v>0</v>
      </c>
      <c r="M508" s="21">
        <f>IF(OR($L508="",$J508=""),"",IF($J508&gt;0,ROUND($L508*Multa+$L508*Juros/30*$J508,2),0))</f>
        <v>0</v>
      </c>
      <c r="N508" s="22">
        <f>IF($L508="","",IF($L508&lt;=0.005,0,$L508+N($M508)))</f>
        <v>0</v>
      </c>
      <c r="O508" s="23">
        <f>IF(OR($I508="Vencido",$I508="Vencido (parcial)"),"Olá, "&amp;$A508&amp;"! Consta em aberto '"&amp;$B508&amp;"' com vencimento em "&amp;DAY($D508)&amp;"/"&amp;MONTH($D508)&amp;"/"&amp;YEAR($D508)&amp;", no valor de R$ "&amp;FIXED($N508,2)&amp;" (com multa e juros). Podemos ajudar a regularizar hoje? Obrigado!",IF($I508="Vence hoje","Olá, "&amp;$A508&amp;"! Lembrete: '"&amp;$B508&amp;"' vence hoje, no valor de R$ "&amp;FIXED($L508,2)&amp;". Obrigado!",""))</f>
        <v>0</v>
      </c>
    </row>
    <row r="509" spans="1:15">
      <c r="A509" s="13"/>
      <c r="B509" s="13"/>
      <c r="C509" s="17"/>
      <c r="D509" s="17"/>
      <c r="E509" s="18"/>
      <c r="F509" s="17"/>
      <c r="G509" s="18"/>
      <c r="H509" s="13"/>
      <c r="I509" s="19">
        <f>IF($E509="","",IF($L509&lt;=0.005,"Pago",IF($D509="","Sem vencimento",IF($D509&lt;Hoje,IF(N($G509)&gt;0,"Vencido (parcial)","Vencido"),IF($D509=Hoje,"Vence hoje","A vencer")))))</f>
        <v>0</v>
      </c>
      <c r="J509" s="20">
        <f>IF(OR($E509="",$D509=""),"",IF(AND($L509&gt;0.005,$D509&lt;Hoje),Hoje-$D509,0))</f>
        <v>0</v>
      </c>
      <c r="K509" s="20">
        <f>IF($J509="","",IF($L509&lt;=0.005,"Pago",IF($J509&lt;=0,"A vencer",IF($J509&lt;=15,"1-15 dias",IF($J509&lt;=30,"16-30 dias",IF($J509&lt;=60,"31-60 dias","Mais de 60 dias"))))))</f>
        <v>0</v>
      </c>
      <c r="L509" s="21">
        <f>IF($E509="","",MAX(0,$E509-N($G509)))</f>
        <v>0</v>
      </c>
      <c r="M509" s="21">
        <f>IF(OR($L509="",$J509=""),"",IF($J509&gt;0,ROUND($L509*Multa+$L509*Juros/30*$J509,2),0))</f>
        <v>0</v>
      </c>
      <c r="N509" s="22">
        <f>IF($L509="","",IF($L509&lt;=0.005,0,$L509+N($M509)))</f>
        <v>0</v>
      </c>
      <c r="O509" s="23">
        <f>IF(OR($I509="Vencido",$I509="Vencido (parcial)"),"Olá, "&amp;$A509&amp;"! Consta em aberto '"&amp;$B509&amp;"' com vencimento em "&amp;DAY($D509)&amp;"/"&amp;MONTH($D509)&amp;"/"&amp;YEAR($D509)&amp;", no valor de R$ "&amp;FIXED($N509,2)&amp;" (com multa e juros). Podemos ajudar a regularizar hoje? Obrigado!",IF($I509="Vence hoje","Olá, "&amp;$A509&amp;"! Lembrete: '"&amp;$B509&amp;"' vence hoje, no valor de R$ "&amp;FIXED($L509,2)&amp;". Obrigado!",""))</f>
        <v>0</v>
      </c>
    </row>
    <row r="510" spans="1:15">
      <c r="A510" s="13"/>
      <c r="B510" s="13"/>
      <c r="C510" s="17"/>
      <c r="D510" s="17"/>
      <c r="E510" s="18"/>
      <c r="F510" s="17"/>
      <c r="G510" s="18"/>
      <c r="H510" s="13"/>
      <c r="I510" s="19">
        <f>IF($E510="","",IF($L510&lt;=0.005,"Pago",IF($D510="","Sem vencimento",IF($D510&lt;Hoje,IF(N($G510)&gt;0,"Vencido (parcial)","Vencido"),IF($D510=Hoje,"Vence hoje","A vencer")))))</f>
        <v>0</v>
      </c>
      <c r="J510" s="20">
        <f>IF(OR($E510="",$D510=""),"",IF(AND($L510&gt;0.005,$D510&lt;Hoje),Hoje-$D510,0))</f>
        <v>0</v>
      </c>
      <c r="K510" s="20">
        <f>IF($J510="","",IF($L510&lt;=0.005,"Pago",IF($J510&lt;=0,"A vencer",IF($J510&lt;=15,"1-15 dias",IF($J510&lt;=30,"16-30 dias",IF($J510&lt;=60,"31-60 dias","Mais de 60 dias"))))))</f>
        <v>0</v>
      </c>
      <c r="L510" s="21">
        <f>IF($E510="","",MAX(0,$E510-N($G510)))</f>
        <v>0</v>
      </c>
      <c r="M510" s="21">
        <f>IF(OR($L510="",$J510=""),"",IF($J510&gt;0,ROUND($L510*Multa+$L510*Juros/30*$J510,2),0))</f>
        <v>0</v>
      </c>
      <c r="N510" s="22">
        <f>IF($L510="","",IF($L510&lt;=0.005,0,$L510+N($M510)))</f>
        <v>0</v>
      </c>
      <c r="O510" s="23">
        <f>IF(OR($I510="Vencido",$I510="Vencido (parcial)"),"Olá, "&amp;$A510&amp;"! Consta em aberto '"&amp;$B510&amp;"' com vencimento em "&amp;DAY($D510)&amp;"/"&amp;MONTH($D510)&amp;"/"&amp;YEAR($D510)&amp;", no valor de R$ "&amp;FIXED($N510,2)&amp;" (com multa e juros). Podemos ajudar a regularizar hoje? Obrigado!",IF($I510="Vence hoje","Olá, "&amp;$A510&amp;"! Lembrete: '"&amp;$B510&amp;"' vence hoje, no valor de R$ "&amp;FIXED($L510,2)&amp;". Obrigado!",""))</f>
        <v>0</v>
      </c>
    </row>
    <row r="511" spans="1:15">
      <c r="A511" s="13"/>
      <c r="B511" s="13"/>
      <c r="C511" s="17"/>
      <c r="D511" s="17"/>
      <c r="E511" s="18"/>
      <c r="F511" s="17"/>
      <c r="G511" s="18"/>
      <c r="H511" s="13"/>
      <c r="I511" s="19">
        <f>IF($E511="","",IF($L511&lt;=0.005,"Pago",IF($D511="","Sem vencimento",IF($D511&lt;Hoje,IF(N($G511)&gt;0,"Vencido (parcial)","Vencido"),IF($D511=Hoje,"Vence hoje","A vencer")))))</f>
        <v>0</v>
      </c>
      <c r="J511" s="20">
        <f>IF(OR($E511="",$D511=""),"",IF(AND($L511&gt;0.005,$D511&lt;Hoje),Hoje-$D511,0))</f>
        <v>0</v>
      </c>
      <c r="K511" s="20">
        <f>IF($J511="","",IF($L511&lt;=0.005,"Pago",IF($J511&lt;=0,"A vencer",IF($J511&lt;=15,"1-15 dias",IF($J511&lt;=30,"16-30 dias",IF($J511&lt;=60,"31-60 dias","Mais de 60 dias"))))))</f>
        <v>0</v>
      </c>
      <c r="L511" s="21">
        <f>IF($E511="","",MAX(0,$E511-N($G511)))</f>
        <v>0</v>
      </c>
      <c r="M511" s="21">
        <f>IF(OR($L511="",$J511=""),"",IF($J511&gt;0,ROUND($L511*Multa+$L511*Juros/30*$J511,2),0))</f>
        <v>0</v>
      </c>
      <c r="N511" s="22">
        <f>IF($L511="","",IF($L511&lt;=0.005,0,$L511+N($M511)))</f>
        <v>0</v>
      </c>
      <c r="O511" s="23">
        <f>IF(OR($I511="Vencido",$I511="Vencido (parcial)"),"Olá, "&amp;$A511&amp;"! Consta em aberto '"&amp;$B511&amp;"' com vencimento em "&amp;DAY($D511)&amp;"/"&amp;MONTH($D511)&amp;"/"&amp;YEAR($D511)&amp;", no valor de R$ "&amp;FIXED($N511,2)&amp;" (com multa e juros). Podemos ajudar a regularizar hoje? Obrigado!",IF($I511="Vence hoje","Olá, "&amp;$A511&amp;"! Lembrete: '"&amp;$B511&amp;"' vence hoje, no valor de R$ "&amp;FIXED($L511,2)&amp;". Obrigado!",""))</f>
        <v>0</v>
      </c>
    </row>
    <row r="512" spans="1:15">
      <c r="A512" s="13"/>
      <c r="B512" s="13"/>
      <c r="C512" s="17"/>
      <c r="D512" s="17"/>
      <c r="E512" s="18"/>
      <c r="F512" s="17"/>
      <c r="G512" s="18"/>
      <c r="H512" s="13"/>
      <c r="I512" s="19">
        <f>IF($E512="","",IF($L512&lt;=0.005,"Pago",IF($D512="","Sem vencimento",IF($D512&lt;Hoje,IF(N($G512)&gt;0,"Vencido (parcial)","Vencido"),IF($D512=Hoje,"Vence hoje","A vencer")))))</f>
        <v>0</v>
      </c>
      <c r="J512" s="20">
        <f>IF(OR($E512="",$D512=""),"",IF(AND($L512&gt;0.005,$D512&lt;Hoje),Hoje-$D512,0))</f>
        <v>0</v>
      </c>
      <c r="K512" s="20">
        <f>IF($J512="","",IF($L512&lt;=0.005,"Pago",IF($J512&lt;=0,"A vencer",IF($J512&lt;=15,"1-15 dias",IF($J512&lt;=30,"16-30 dias",IF($J512&lt;=60,"31-60 dias","Mais de 60 dias"))))))</f>
        <v>0</v>
      </c>
      <c r="L512" s="21">
        <f>IF($E512="","",MAX(0,$E512-N($G512)))</f>
        <v>0</v>
      </c>
      <c r="M512" s="21">
        <f>IF(OR($L512="",$J512=""),"",IF($J512&gt;0,ROUND($L512*Multa+$L512*Juros/30*$J512,2),0))</f>
        <v>0</v>
      </c>
      <c r="N512" s="22">
        <f>IF($L512="","",IF($L512&lt;=0.005,0,$L512+N($M512)))</f>
        <v>0</v>
      </c>
      <c r="O512" s="23">
        <f>IF(OR($I512="Vencido",$I512="Vencido (parcial)"),"Olá, "&amp;$A512&amp;"! Consta em aberto '"&amp;$B512&amp;"' com vencimento em "&amp;DAY($D512)&amp;"/"&amp;MONTH($D512)&amp;"/"&amp;YEAR($D512)&amp;", no valor de R$ "&amp;FIXED($N512,2)&amp;" (com multa e juros). Podemos ajudar a regularizar hoje? Obrigado!",IF($I512="Vence hoje","Olá, "&amp;$A512&amp;"! Lembrete: '"&amp;$B512&amp;"' vence hoje, no valor de R$ "&amp;FIXED($L512,2)&amp;". Obrigado!",""))</f>
        <v>0</v>
      </c>
    </row>
    <row r="513" spans="1:15">
      <c r="A513" s="13"/>
      <c r="B513" s="13"/>
      <c r="C513" s="17"/>
      <c r="D513" s="17"/>
      <c r="E513" s="18"/>
      <c r="F513" s="17"/>
      <c r="G513" s="18"/>
      <c r="H513" s="13"/>
      <c r="I513" s="19">
        <f>IF($E513="","",IF($L513&lt;=0.005,"Pago",IF($D513="","Sem vencimento",IF($D513&lt;Hoje,IF(N($G513)&gt;0,"Vencido (parcial)","Vencido"),IF($D513=Hoje,"Vence hoje","A vencer")))))</f>
        <v>0</v>
      </c>
      <c r="J513" s="20">
        <f>IF(OR($E513="",$D513=""),"",IF(AND($L513&gt;0.005,$D513&lt;Hoje),Hoje-$D513,0))</f>
        <v>0</v>
      </c>
      <c r="K513" s="20">
        <f>IF($J513="","",IF($L513&lt;=0.005,"Pago",IF($J513&lt;=0,"A vencer",IF($J513&lt;=15,"1-15 dias",IF($J513&lt;=30,"16-30 dias",IF($J513&lt;=60,"31-60 dias","Mais de 60 dias"))))))</f>
        <v>0</v>
      </c>
      <c r="L513" s="21">
        <f>IF($E513="","",MAX(0,$E513-N($G513)))</f>
        <v>0</v>
      </c>
      <c r="M513" s="21">
        <f>IF(OR($L513="",$J513=""),"",IF($J513&gt;0,ROUND($L513*Multa+$L513*Juros/30*$J513,2),0))</f>
        <v>0</v>
      </c>
      <c r="N513" s="22">
        <f>IF($L513="","",IF($L513&lt;=0.005,0,$L513+N($M513)))</f>
        <v>0</v>
      </c>
      <c r="O513" s="23">
        <f>IF(OR($I513="Vencido",$I513="Vencido (parcial)"),"Olá, "&amp;$A513&amp;"! Consta em aberto '"&amp;$B513&amp;"' com vencimento em "&amp;DAY($D513)&amp;"/"&amp;MONTH($D513)&amp;"/"&amp;YEAR($D513)&amp;", no valor de R$ "&amp;FIXED($N513,2)&amp;" (com multa e juros). Podemos ajudar a regularizar hoje? Obrigado!",IF($I513="Vence hoje","Olá, "&amp;$A513&amp;"! Lembrete: '"&amp;$B513&amp;"' vence hoje, no valor de R$ "&amp;FIXED($L513,2)&amp;". Obrigado!",""))</f>
        <v>0</v>
      </c>
    </row>
    <row r="514" spans="1:15">
      <c r="A514" s="13"/>
      <c r="B514" s="13"/>
      <c r="C514" s="17"/>
      <c r="D514" s="17"/>
      <c r="E514" s="18"/>
      <c r="F514" s="17"/>
      <c r="G514" s="18"/>
      <c r="H514" s="13"/>
      <c r="I514" s="19">
        <f>IF($E514="","",IF($L514&lt;=0.005,"Pago",IF($D514="","Sem vencimento",IF($D514&lt;Hoje,IF(N($G514)&gt;0,"Vencido (parcial)","Vencido"),IF($D514=Hoje,"Vence hoje","A vencer")))))</f>
        <v>0</v>
      </c>
      <c r="J514" s="20">
        <f>IF(OR($E514="",$D514=""),"",IF(AND($L514&gt;0.005,$D514&lt;Hoje),Hoje-$D514,0))</f>
        <v>0</v>
      </c>
      <c r="K514" s="20">
        <f>IF($J514="","",IF($L514&lt;=0.005,"Pago",IF($J514&lt;=0,"A vencer",IF($J514&lt;=15,"1-15 dias",IF($J514&lt;=30,"16-30 dias",IF($J514&lt;=60,"31-60 dias","Mais de 60 dias"))))))</f>
        <v>0</v>
      </c>
      <c r="L514" s="21">
        <f>IF($E514="","",MAX(0,$E514-N($G514)))</f>
        <v>0</v>
      </c>
      <c r="M514" s="21">
        <f>IF(OR($L514="",$J514=""),"",IF($J514&gt;0,ROUND($L514*Multa+$L514*Juros/30*$J514,2),0))</f>
        <v>0</v>
      </c>
      <c r="N514" s="22">
        <f>IF($L514="","",IF($L514&lt;=0.005,0,$L514+N($M514)))</f>
        <v>0</v>
      </c>
      <c r="O514" s="23">
        <f>IF(OR($I514="Vencido",$I514="Vencido (parcial)"),"Olá, "&amp;$A514&amp;"! Consta em aberto '"&amp;$B514&amp;"' com vencimento em "&amp;DAY($D514)&amp;"/"&amp;MONTH($D514)&amp;"/"&amp;YEAR($D514)&amp;", no valor de R$ "&amp;FIXED($N514,2)&amp;" (com multa e juros). Podemos ajudar a regularizar hoje? Obrigado!",IF($I514="Vence hoje","Olá, "&amp;$A514&amp;"! Lembrete: '"&amp;$B514&amp;"' vence hoje, no valor de R$ "&amp;FIXED($L514,2)&amp;". Obrigado!",""))</f>
        <v>0</v>
      </c>
    </row>
    <row r="515" spans="1:15">
      <c r="A515" s="13"/>
      <c r="B515" s="13"/>
      <c r="C515" s="17"/>
      <c r="D515" s="17"/>
      <c r="E515" s="18"/>
      <c r="F515" s="17"/>
      <c r="G515" s="18"/>
      <c r="H515" s="13"/>
      <c r="I515" s="19">
        <f>IF($E515="","",IF($L515&lt;=0.005,"Pago",IF($D515="","Sem vencimento",IF($D515&lt;Hoje,IF(N($G515)&gt;0,"Vencido (parcial)","Vencido"),IF($D515=Hoje,"Vence hoje","A vencer")))))</f>
        <v>0</v>
      </c>
      <c r="J515" s="20">
        <f>IF(OR($E515="",$D515=""),"",IF(AND($L515&gt;0.005,$D515&lt;Hoje),Hoje-$D515,0))</f>
        <v>0</v>
      </c>
      <c r="K515" s="20">
        <f>IF($J515="","",IF($L515&lt;=0.005,"Pago",IF($J515&lt;=0,"A vencer",IF($J515&lt;=15,"1-15 dias",IF($J515&lt;=30,"16-30 dias",IF($J515&lt;=60,"31-60 dias","Mais de 60 dias"))))))</f>
        <v>0</v>
      </c>
      <c r="L515" s="21">
        <f>IF($E515="","",MAX(0,$E515-N($G515)))</f>
        <v>0</v>
      </c>
      <c r="M515" s="21">
        <f>IF(OR($L515="",$J515=""),"",IF($J515&gt;0,ROUND($L515*Multa+$L515*Juros/30*$J515,2),0))</f>
        <v>0</v>
      </c>
      <c r="N515" s="22">
        <f>IF($L515="","",IF($L515&lt;=0.005,0,$L515+N($M515)))</f>
        <v>0</v>
      </c>
      <c r="O515" s="23">
        <f>IF(OR($I515="Vencido",$I515="Vencido (parcial)"),"Olá, "&amp;$A515&amp;"! Consta em aberto '"&amp;$B515&amp;"' com vencimento em "&amp;DAY($D515)&amp;"/"&amp;MONTH($D515)&amp;"/"&amp;YEAR($D515)&amp;", no valor de R$ "&amp;FIXED($N515,2)&amp;" (com multa e juros). Podemos ajudar a regularizar hoje? Obrigado!",IF($I515="Vence hoje","Olá, "&amp;$A515&amp;"! Lembrete: '"&amp;$B515&amp;"' vence hoje, no valor de R$ "&amp;FIXED($L515,2)&amp;". Obrigado!",""))</f>
        <v>0</v>
      </c>
    </row>
    <row r="516" spans="1:15">
      <c r="A516" s="13"/>
      <c r="B516" s="13"/>
      <c r="C516" s="17"/>
      <c r="D516" s="17"/>
      <c r="E516" s="18"/>
      <c r="F516" s="17"/>
      <c r="G516" s="18"/>
      <c r="H516" s="13"/>
      <c r="I516" s="19">
        <f>IF($E516="","",IF($L516&lt;=0.005,"Pago",IF($D516="","Sem vencimento",IF($D516&lt;Hoje,IF(N($G516)&gt;0,"Vencido (parcial)","Vencido"),IF($D516=Hoje,"Vence hoje","A vencer")))))</f>
        <v>0</v>
      </c>
      <c r="J516" s="20">
        <f>IF(OR($E516="",$D516=""),"",IF(AND($L516&gt;0.005,$D516&lt;Hoje),Hoje-$D516,0))</f>
        <v>0</v>
      </c>
      <c r="K516" s="20">
        <f>IF($J516="","",IF($L516&lt;=0.005,"Pago",IF($J516&lt;=0,"A vencer",IF($J516&lt;=15,"1-15 dias",IF($J516&lt;=30,"16-30 dias",IF($J516&lt;=60,"31-60 dias","Mais de 60 dias"))))))</f>
        <v>0</v>
      </c>
      <c r="L516" s="21">
        <f>IF($E516="","",MAX(0,$E516-N($G516)))</f>
        <v>0</v>
      </c>
      <c r="M516" s="21">
        <f>IF(OR($L516="",$J516=""),"",IF($J516&gt;0,ROUND($L516*Multa+$L516*Juros/30*$J516,2),0))</f>
        <v>0</v>
      </c>
      <c r="N516" s="22">
        <f>IF($L516="","",IF($L516&lt;=0.005,0,$L516+N($M516)))</f>
        <v>0</v>
      </c>
      <c r="O516" s="23">
        <f>IF(OR($I516="Vencido",$I516="Vencido (parcial)"),"Olá, "&amp;$A516&amp;"! Consta em aberto '"&amp;$B516&amp;"' com vencimento em "&amp;DAY($D516)&amp;"/"&amp;MONTH($D516)&amp;"/"&amp;YEAR($D516)&amp;", no valor de R$ "&amp;FIXED($N516,2)&amp;" (com multa e juros). Podemos ajudar a regularizar hoje? Obrigado!",IF($I516="Vence hoje","Olá, "&amp;$A516&amp;"! Lembrete: '"&amp;$B516&amp;"' vence hoje, no valor de R$ "&amp;FIXED($L516,2)&amp;". Obrigado!",""))</f>
        <v>0</v>
      </c>
    </row>
    <row r="517" spans="1:15">
      <c r="A517" s="13"/>
      <c r="B517" s="13"/>
      <c r="C517" s="17"/>
      <c r="D517" s="17"/>
      <c r="E517" s="18"/>
      <c r="F517" s="17"/>
      <c r="G517" s="18"/>
      <c r="H517" s="13"/>
      <c r="I517" s="19">
        <f>IF($E517="","",IF($L517&lt;=0.005,"Pago",IF($D517="","Sem vencimento",IF($D517&lt;Hoje,IF(N($G517)&gt;0,"Vencido (parcial)","Vencido"),IF($D517=Hoje,"Vence hoje","A vencer")))))</f>
        <v>0</v>
      </c>
      <c r="J517" s="20">
        <f>IF(OR($E517="",$D517=""),"",IF(AND($L517&gt;0.005,$D517&lt;Hoje),Hoje-$D517,0))</f>
        <v>0</v>
      </c>
      <c r="K517" s="20">
        <f>IF($J517="","",IF($L517&lt;=0.005,"Pago",IF($J517&lt;=0,"A vencer",IF($J517&lt;=15,"1-15 dias",IF($J517&lt;=30,"16-30 dias",IF($J517&lt;=60,"31-60 dias","Mais de 60 dias"))))))</f>
        <v>0</v>
      </c>
      <c r="L517" s="21">
        <f>IF($E517="","",MAX(0,$E517-N($G517)))</f>
        <v>0</v>
      </c>
      <c r="M517" s="21">
        <f>IF(OR($L517="",$J517=""),"",IF($J517&gt;0,ROUND($L517*Multa+$L517*Juros/30*$J517,2),0))</f>
        <v>0</v>
      </c>
      <c r="N517" s="22">
        <f>IF($L517="","",IF($L517&lt;=0.005,0,$L517+N($M517)))</f>
        <v>0</v>
      </c>
      <c r="O517" s="23">
        <f>IF(OR($I517="Vencido",$I517="Vencido (parcial)"),"Olá, "&amp;$A517&amp;"! Consta em aberto '"&amp;$B517&amp;"' com vencimento em "&amp;DAY($D517)&amp;"/"&amp;MONTH($D517)&amp;"/"&amp;YEAR($D517)&amp;", no valor de R$ "&amp;FIXED($N517,2)&amp;" (com multa e juros). Podemos ajudar a regularizar hoje? Obrigado!",IF($I517="Vence hoje","Olá, "&amp;$A517&amp;"! Lembrete: '"&amp;$B517&amp;"' vence hoje, no valor de R$ "&amp;FIXED($L517,2)&amp;". Obrigado!",""))</f>
        <v>0</v>
      </c>
    </row>
    <row r="518" spans="1:15">
      <c r="A518" s="13"/>
      <c r="B518" s="13"/>
      <c r="C518" s="17"/>
      <c r="D518" s="17"/>
      <c r="E518" s="18"/>
      <c r="F518" s="17"/>
      <c r="G518" s="18"/>
      <c r="H518" s="13"/>
      <c r="I518" s="19">
        <f>IF($E518="","",IF($L518&lt;=0.005,"Pago",IF($D518="","Sem vencimento",IF($D518&lt;Hoje,IF(N($G518)&gt;0,"Vencido (parcial)","Vencido"),IF($D518=Hoje,"Vence hoje","A vencer")))))</f>
        <v>0</v>
      </c>
      <c r="J518" s="20">
        <f>IF(OR($E518="",$D518=""),"",IF(AND($L518&gt;0.005,$D518&lt;Hoje),Hoje-$D518,0))</f>
        <v>0</v>
      </c>
      <c r="K518" s="20">
        <f>IF($J518="","",IF($L518&lt;=0.005,"Pago",IF($J518&lt;=0,"A vencer",IF($J518&lt;=15,"1-15 dias",IF($J518&lt;=30,"16-30 dias",IF($J518&lt;=60,"31-60 dias","Mais de 60 dias"))))))</f>
        <v>0</v>
      </c>
      <c r="L518" s="21">
        <f>IF($E518="","",MAX(0,$E518-N($G518)))</f>
        <v>0</v>
      </c>
      <c r="M518" s="21">
        <f>IF(OR($L518="",$J518=""),"",IF($J518&gt;0,ROUND($L518*Multa+$L518*Juros/30*$J518,2),0))</f>
        <v>0</v>
      </c>
      <c r="N518" s="22">
        <f>IF($L518="","",IF($L518&lt;=0.005,0,$L518+N($M518)))</f>
        <v>0</v>
      </c>
      <c r="O518" s="23">
        <f>IF(OR($I518="Vencido",$I518="Vencido (parcial)"),"Olá, "&amp;$A518&amp;"! Consta em aberto '"&amp;$B518&amp;"' com vencimento em "&amp;DAY($D518)&amp;"/"&amp;MONTH($D518)&amp;"/"&amp;YEAR($D518)&amp;", no valor de R$ "&amp;FIXED($N518,2)&amp;" (com multa e juros). Podemos ajudar a regularizar hoje? Obrigado!",IF($I518="Vence hoje","Olá, "&amp;$A518&amp;"! Lembrete: '"&amp;$B518&amp;"' vence hoje, no valor de R$ "&amp;FIXED($L518,2)&amp;". Obrigado!",""))</f>
        <v>0</v>
      </c>
    </row>
    <row r="519" spans="1:15">
      <c r="A519" s="13"/>
      <c r="B519" s="13"/>
      <c r="C519" s="17"/>
      <c r="D519" s="17"/>
      <c r="E519" s="18"/>
      <c r="F519" s="17"/>
      <c r="G519" s="18"/>
      <c r="H519" s="13"/>
      <c r="I519" s="19">
        <f>IF($E519="","",IF($L519&lt;=0.005,"Pago",IF($D519="","Sem vencimento",IF($D519&lt;Hoje,IF(N($G519)&gt;0,"Vencido (parcial)","Vencido"),IF($D519=Hoje,"Vence hoje","A vencer")))))</f>
        <v>0</v>
      </c>
      <c r="J519" s="20">
        <f>IF(OR($E519="",$D519=""),"",IF(AND($L519&gt;0.005,$D519&lt;Hoje),Hoje-$D519,0))</f>
        <v>0</v>
      </c>
      <c r="K519" s="20">
        <f>IF($J519="","",IF($L519&lt;=0.005,"Pago",IF($J519&lt;=0,"A vencer",IF($J519&lt;=15,"1-15 dias",IF($J519&lt;=30,"16-30 dias",IF($J519&lt;=60,"31-60 dias","Mais de 60 dias"))))))</f>
        <v>0</v>
      </c>
      <c r="L519" s="21">
        <f>IF($E519="","",MAX(0,$E519-N($G519)))</f>
        <v>0</v>
      </c>
      <c r="M519" s="21">
        <f>IF(OR($L519="",$J519=""),"",IF($J519&gt;0,ROUND($L519*Multa+$L519*Juros/30*$J519,2),0))</f>
        <v>0</v>
      </c>
      <c r="N519" s="22">
        <f>IF($L519="","",IF($L519&lt;=0.005,0,$L519+N($M519)))</f>
        <v>0</v>
      </c>
      <c r="O519" s="23">
        <f>IF(OR($I519="Vencido",$I519="Vencido (parcial)"),"Olá, "&amp;$A519&amp;"! Consta em aberto '"&amp;$B519&amp;"' com vencimento em "&amp;DAY($D519)&amp;"/"&amp;MONTH($D519)&amp;"/"&amp;YEAR($D519)&amp;", no valor de R$ "&amp;FIXED($N519,2)&amp;" (com multa e juros). Podemos ajudar a regularizar hoje? Obrigado!",IF($I519="Vence hoje","Olá, "&amp;$A519&amp;"! Lembrete: '"&amp;$B519&amp;"' vence hoje, no valor de R$ "&amp;FIXED($L519,2)&amp;". Obrigado!",""))</f>
        <v>0</v>
      </c>
    </row>
    <row r="520" spans="1:15">
      <c r="A520" s="13"/>
      <c r="B520" s="13"/>
      <c r="C520" s="17"/>
      <c r="D520" s="17"/>
      <c r="E520" s="18"/>
      <c r="F520" s="17"/>
      <c r="G520" s="18"/>
      <c r="H520" s="13"/>
      <c r="I520" s="19">
        <f>IF($E520="","",IF($L520&lt;=0.005,"Pago",IF($D520="","Sem vencimento",IF($D520&lt;Hoje,IF(N($G520)&gt;0,"Vencido (parcial)","Vencido"),IF($D520=Hoje,"Vence hoje","A vencer")))))</f>
        <v>0</v>
      </c>
      <c r="J520" s="20">
        <f>IF(OR($E520="",$D520=""),"",IF(AND($L520&gt;0.005,$D520&lt;Hoje),Hoje-$D520,0))</f>
        <v>0</v>
      </c>
      <c r="K520" s="20">
        <f>IF($J520="","",IF($L520&lt;=0.005,"Pago",IF($J520&lt;=0,"A vencer",IF($J520&lt;=15,"1-15 dias",IF($J520&lt;=30,"16-30 dias",IF($J520&lt;=60,"31-60 dias","Mais de 60 dias"))))))</f>
        <v>0</v>
      </c>
      <c r="L520" s="21">
        <f>IF($E520="","",MAX(0,$E520-N($G520)))</f>
        <v>0</v>
      </c>
      <c r="M520" s="21">
        <f>IF(OR($L520="",$J520=""),"",IF($J520&gt;0,ROUND($L520*Multa+$L520*Juros/30*$J520,2),0))</f>
        <v>0</v>
      </c>
      <c r="N520" s="22">
        <f>IF($L520="","",IF($L520&lt;=0.005,0,$L520+N($M520)))</f>
        <v>0</v>
      </c>
      <c r="O520" s="23">
        <f>IF(OR($I520="Vencido",$I520="Vencido (parcial)"),"Olá, "&amp;$A520&amp;"! Consta em aberto '"&amp;$B520&amp;"' com vencimento em "&amp;DAY($D520)&amp;"/"&amp;MONTH($D520)&amp;"/"&amp;YEAR($D520)&amp;", no valor de R$ "&amp;FIXED($N520,2)&amp;" (com multa e juros). Podemos ajudar a regularizar hoje? Obrigado!",IF($I520="Vence hoje","Olá, "&amp;$A520&amp;"! Lembrete: '"&amp;$B520&amp;"' vence hoje, no valor de R$ "&amp;FIXED($L520,2)&amp;". Obrigado!",""))</f>
        <v>0</v>
      </c>
    </row>
    <row r="521" spans="1:15">
      <c r="A521" s="13"/>
      <c r="B521" s="13"/>
      <c r="C521" s="17"/>
      <c r="D521" s="17"/>
      <c r="E521" s="18"/>
      <c r="F521" s="17"/>
      <c r="G521" s="18"/>
      <c r="H521" s="13"/>
      <c r="I521" s="19">
        <f>IF($E521="","",IF($L521&lt;=0.005,"Pago",IF($D521="","Sem vencimento",IF($D521&lt;Hoje,IF(N($G521)&gt;0,"Vencido (parcial)","Vencido"),IF($D521=Hoje,"Vence hoje","A vencer")))))</f>
        <v>0</v>
      </c>
      <c r="J521" s="20">
        <f>IF(OR($E521="",$D521=""),"",IF(AND($L521&gt;0.005,$D521&lt;Hoje),Hoje-$D521,0))</f>
        <v>0</v>
      </c>
      <c r="K521" s="20">
        <f>IF($J521="","",IF($L521&lt;=0.005,"Pago",IF($J521&lt;=0,"A vencer",IF($J521&lt;=15,"1-15 dias",IF($J521&lt;=30,"16-30 dias",IF($J521&lt;=60,"31-60 dias","Mais de 60 dias"))))))</f>
        <v>0</v>
      </c>
      <c r="L521" s="21">
        <f>IF($E521="","",MAX(0,$E521-N($G521)))</f>
        <v>0</v>
      </c>
      <c r="M521" s="21">
        <f>IF(OR($L521="",$J521=""),"",IF($J521&gt;0,ROUND($L521*Multa+$L521*Juros/30*$J521,2),0))</f>
        <v>0</v>
      </c>
      <c r="N521" s="22">
        <f>IF($L521="","",IF($L521&lt;=0.005,0,$L521+N($M521)))</f>
        <v>0</v>
      </c>
      <c r="O521" s="23">
        <f>IF(OR($I521="Vencido",$I521="Vencido (parcial)"),"Olá, "&amp;$A521&amp;"! Consta em aberto '"&amp;$B521&amp;"' com vencimento em "&amp;DAY($D521)&amp;"/"&amp;MONTH($D521)&amp;"/"&amp;YEAR($D521)&amp;", no valor de R$ "&amp;FIXED($N521,2)&amp;" (com multa e juros). Podemos ajudar a regularizar hoje? Obrigado!",IF($I521="Vence hoje","Olá, "&amp;$A521&amp;"! Lembrete: '"&amp;$B521&amp;"' vence hoje, no valor de R$ "&amp;FIXED($L521,2)&amp;". Obrigado!",""))</f>
        <v>0</v>
      </c>
    </row>
    <row r="522" spans="1:15">
      <c r="A522" s="13"/>
      <c r="B522" s="13"/>
      <c r="C522" s="17"/>
      <c r="D522" s="17"/>
      <c r="E522" s="18"/>
      <c r="F522" s="17"/>
      <c r="G522" s="18"/>
      <c r="H522" s="13"/>
      <c r="I522" s="19">
        <f>IF($E522="","",IF($L522&lt;=0.005,"Pago",IF($D522="","Sem vencimento",IF($D522&lt;Hoje,IF(N($G522)&gt;0,"Vencido (parcial)","Vencido"),IF($D522=Hoje,"Vence hoje","A vencer")))))</f>
        <v>0</v>
      </c>
      <c r="J522" s="20">
        <f>IF(OR($E522="",$D522=""),"",IF(AND($L522&gt;0.005,$D522&lt;Hoje),Hoje-$D522,0))</f>
        <v>0</v>
      </c>
      <c r="K522" s="20">
        <f>IF($J522="","",IF($L522&lt;=0.005,"Pago",IF($J522&lt;=0,"A vencer",IF($J522&lt;=15,"1-15 dias",IF($J522&lt;=30,"16-30 dias",IF($J522&lt;=60,"31-60 dias","Mais de 60 dias"))))))</f>
        <v>0</v>
      </c>
      <c r="L522" s="21">
        <f>IF($E522="","",MAX(0,$E522-N($G522)))</f>
        <v>0</v>
      </c>
      <c r="M522" s="21">
        <f>IF(OR($L522="",$J522=""),"",IF($J522&gt;0,ROUND($L522*Multa+$L522*Juros/30*$J522,2),0))</f>
        <v>0</v>
      </c>
      <c r="N522" s="22">
        <f>IF($L522="","",IF($L522&lt;=0.005,0,$L522+N($M522)))</f>
        <v>0</v>
      </c>
      <c r="O522" s="23">
        <f>IF(OR($I522="Vencido",$I522="Vencido (parcial)"),"Olá, "&amp;$A522&amp;"! Consta em aberto '"&amp;$B522&amp;"' com vencimento em "&amp;DAY($D522)&amp;"/"&amp;MONTH($D522)&amp;"/"&amp;YEAR($D522)&amp;", no valor de R$ "&amp;FIXED($N522,2)&amp;" (com multa e juros). Podemos ajudar a regularizar hoje? Obrigado!",IF($I522="Vence hoje","Olá, "&amp;$A522&amp;"! Lembrete: '"&amp;$B522&amp;"' vence hoje, no valor de R$ "&amp;FIXED($L522,2)&amp;". Obrigado!",""))</f>
        <v>0</v>
      </c>
    </row>
    <row r="523" spans="1:15">
      <c r="A523" s="13"/>
      <c r="B523" s="13"/>
      <c r="C523" s="17"/>
      <c r="D523" s="17"/>
      <c r="E523" s="18"/>
      <c r="F523" s="17"/>
      <c r="G523" s="18"/>
      <c r="H523" s="13"/>
      <c r="I523" s="19">
        <f>IF($E523="","",IF($L523&lt;=0.005,"Pago",IF($D523="","Sem vencimento",IF($D523&lt;Hoje,IF(N($G523)&gt;0,"Vencido (parcial)","Vencido"),IF($D523=Hoje,"Vence hoje","A vencer")))))</f>
        <v>0</v>
      </c>
      <c r="J523" s="20">
        <f>IF(OR($E523="",$D523=""),"",IF(AND($L523&gt;0.005,$D523&lt;Hoje),Hoje-$D523,0))</f>
        <v>0</v>
      </c>
      <c r="K523" s="20">
        <f>IF($J523="","",IF($L523&lt;=0.005,"Pago",IF($J523&lt;=0,"A vencer",IF($J523&lt;=15,"1-15 dias",IF($J523&lt;=30,"16-30 dias",IF($J523&lt;=60,"31-60 dias","Mais de 60 dias"))))))</f>
        <v>0</v>
      </c>
      <c r="L523" s="21">
        <f>IF($E523="","",MAX(0,$E523-N($G523)))</f>
        <v>0</v>
      </c>
      <c r="M523" s="21">
        <f>IF(OR($L523="",$J523=""),"",IF($J523&gt;0,ROUND($L523*Multa+$L523*Juros/30*$J523,2),0))</f>
        <v>0</v>
      </c>
      <c r="N523" s="22">
        <f>IF($L523="","",IF($L523&lt;=0.005,0,$L523+N($M523)))</f>
        <v>0</v>
      </c>
      <c r="O523" s="23">
        <f>IF(OR($I523="Vencido",$I523="Vencido (parcial)"),"Olá, "&amp;$A523&amp;"! Consta em aberto '"&amp;$B523&amp;"' com vencimento em "&amp;DAY($D523)&amp;"/"&amp;MONTH($D523)&amp;"/"&amp;YEAR($D523)&amp;", no valor de R$ "&amp;FIXED($N523,2)&amp;" (com multa e juros). Podemos ajudar a regularizar hoje? Obrigado!",IF($I523="Vence hoje","Olá, "&amp;$A523&amp;"! Lembrete: '"&amp;$B523&amp;"' vence hoje, no valor de R$ "&amp;FIXED($L523,2)&amp;". Obrigado!",""))</f>
        <v>0</v>
      </c>
    </row>
    <row r="524" spans="1:15">
      <c r="A524" s="13"/>
      <c r="B524" s="13"/>
      <c r="C524" s="17"/>
      <c r="D524" s="17"/>
      <c r="E524" s="18"/>
      <c r="F524" s="17"/>
      <c r="G524" s="18"/>
      <c r="H524" s="13"/>
      <c r="I524" s="19">
        <f>IF($E524="","",IF($L524&lt;=0.005,"Pago",IF($D524="","Sem vencimento",IF($D524&lt;Hoje,IF(N($G524)&gt;0,"Vencido (parcial)","Vencido"),IF($D524=Hoje,"Vence hoje","A vencer")))))</f>
        <v>0</v>
      </c>
      <c r="J524" s="20">
        <f>IF(OR($E524="",$D524=""),"",IF(AND($L524&gt;0.005,$D524&lt;Hoje),Hoje-$D524,0))</f>
        <v>0</v>
      </c>
      <c r="K524" s="20">
        <f>IF($J524="","",IF($L524&lt;=0.005,"Pago",IF($J524&lt;=0,"A vencer",IF($J524&lt;=15,"1-15 dias",IF($J524&lt;=30,"16-30 dias",IF($J524&lt;=60,"31-60 dias","Mais de 60 dias"))))))</f>
        <v>0</v>
      </c>
      <c r="L524" s="21">
        <f>IF($E524="","",MAX(0,$E524-N($G524)))</f>
        <v>0</v>
      </c>
      <c r="M524" s="21">
        <f>IF(OR($L524="",$J524=""),"",IF($J524&gt;0,ROUND($L524*Multa+$L524*Juros/30*$J524,2),0))</f>
        <v>0</v>
      </c>
      <c r="N524" s="22">
        <f>IF($L524="","",IF($L524&lt;=0.005,0,$L524+N($M524)))</f>
        <v>0</v>
      </c>
      <c r="O524" s="23">
        <f>IF(OR($I524="Vencido",$I524="Vencido (parcial)"),"Olá, "&amp;$A524&amp;"! Consta em aberto '"&amp;$B524&amp;"' com vencimento em "&amp;DAY($D524)&amp;"/"&amp;MONTH($D524)&amp;"/"&amp;YEAR($D524)&amp;", no valor de R$ "&amp;FIXED($N524,2)&amp;" (com multa e juros). Podemos ajudar a regularizar hoje? Obrigado!",IF($I524="Vence hoje","Olá, "&amp;$A524&amp;"! Lembrete: '"&amp;$B524&amp;"' vence hoje, no valor de R$ "&amp;FIXED($L524,2)&amp;". Obrigado!",""))</f>
        <v>0</v>
      </c>
    </row>
    <row r="525" spans="1:15">
      <c r="A525" s="13"/>
      <c r="B525" s="13"/>
      <c r="C525" s="17"/>
      <c r="D525" s="17"/>
      <c r="E525" s="18"/>
      <c r="F525" s="17"/>
      <c r="G525" s="18"/>
      <c r="H525" s="13"/>
      <c r="I525" s="19">
        <f>IF($E525="","",IF($L525&lt;=0.005,"Pago",IF($D525="","Sem vencimento",IF($D525&lt;Hoje,IF(N($G525)&gt;0,"Vencido (parcial)","Vencido"),IF($D525=Hoje,"Vence hoje","A vencer")))))</f>
        <v>0</v>
      </c>
      <c r="J525" s="20">
        <f>IF(OR($E525="",$D525=""),"",IF(AND($L525&gt;0.005,$D525&lt;Hoje),Hoje-$D525,0))</f>
        <v>0</v>
      </c>
      <c r="K525" s="20">
        <f>IF($J525="","",IF($L525&lt;=0.005,"Pago",IF($J525&lt;=0,"A vencer",IF($J525&lt;=15,"1-15 dias",IF($J525&lt;=30,"16-30 dias",IF($J525&lt;=60,"31-60 dias","Mais de 60 dias"))))))</f>
        <v>0</v>
      </c>
      <c r="L525" s="21">
        <f>IF($E525="","",MAX(0,$E525-N($G525)))</f>
        <v>0</v>
      </c>
      <c r="M525" s="21">
        <f>IF(OR($L525="",$J525=""),"",IF($J525&gt;0,ROUND($L525*Multa+$L525*Juros/30*$J525,2),0))</f>
        <v>0</v>
      </c>
      <c r="N525" s="22">
        <f>IF($L525="","",IF($L525&lt;=0.005,0,$L525+N($M525)))</f>
        <v>0</v>
      </c>
      <c r="O525" s="23">
        <f>IF(OR($I525="Vencido",$I525="Vencido (parcial)"),"Olá, "&amp;$A525&amp;"! Consta em aberto '"&amp;$B525&amp;"' com vencimento em "&amp;DAY($D525)&amp;"/"&amp;MONTH($D525)&amp;"/"&amp;YEAR($D525)&amp;", no valor de R$ "&amp;FIXED($N525,2)&amp;" (com multa e juros). Podemos ajudar a regularizar hoje? Obrigado!",IF($I525="Vence hoje","Olá, "&amp;$A525&amp;"! Lembrete: '"&amp;$B525&amp;"' vence hoje, no valor de R$ "&amp;FIXED($L525,2)&amp;". Obrigado!",""))</f>
        <v>0</v>
      </c>
    </row>
    <row r="526" spans="1:15">
      <c r="A526" s="13"/>
      <c r="B526" s="13"/>
      <c r="C526" s="17"/>
      <c r="D526" s="17"/>
      <c r="E526" s="18"/>
      <c r="F526" s="17"/>
      <c r="G526" s="18"/>
      <c r="H526" s="13"/>
      <c r="I526" s="19">
        <f>IF($E526="","",IF($L526&lt;=0.005,"Pago",IF($D526="","Sem vencimento",IF($D526&lt;Hoje,IF(N($G526)&gt;0,"Vencido (parcial)","Vencido"),IF($D526=Hoje,"Vence hoje","A vencer")))))</f>
        <v>0</v>
      </c>
      <c r="J526" s="20">
        <f>IF(OR($E526="",$D526=""),"",IF(AND($L526&gt;0.005,$D526&lt;Hoje),Hoje-$D526,0))</f>
        <v>0</v>
      </c>
      <c r="K526" s="20">
        <f>IF($J526="","",IF($L526&lt;=0.005,"Pago",IF($J526&lt;=0,"A vencer",IF($J526&lt;=15,"1-15 dias",IF($J526&lt;=30,"16-30 dias",IF($J526&lt;=60,"31-60 dias","Mais de 60 dias"))))))</f>
        <v>0</v>
      </c>
      <c r="L526" s="21">
        <f>IF($E526="","",MAX(0,$E526-N($G526)))</f>
        <v>0</v>
      </c>
      <c r="M526" s="21">
        <f>IF(OR($L526="",$J526=""),"",IF($J526&gt;0,ROUND($L526*Multa+$L526*Juros/30*$J526,2),0))</f>
        <v>0</v>
      </c>
      <c r="N526" s="22">
        <f>IF($L526="","",IF($L526&lt;=0.005,0,$L526+N($M526)))</f>
        <v>0</v>
      </c>
      <c r="O526" s="23">
        <f>IF(OR($I526="Vencido",$I526="Vencido (parcial)"),"Olá, "&amp;$A526&amp;"! Consta em aberto '"&amp;$B526&amp;"' com vencimento em "&amp;DAY($D526)&amp;"/"&amp;MONTH($D526)&amp;"/"&amp;YEAR($D526)&amp;", no valor de R$ "&amp;FIXED($N526,2)&amp;" (com multa e juros). Podemos ajudar a regularizar hoje? Obrigado!",IF($I526="Vence hoje","Olá, "&amp;$A526&amp;"! Lembrete: '"&amp;$B526&amp;"' vence hoje, no valor de R$ "&amp;FIXED($L526,2)&amp;". Obrigado!",""))</f>
        <v>0</v>
      </c>
    </row>
    <row r="527" spans="1:15">
      <c r="A527" s="13"/>
      <c r="B527" s="13"/>
      <c r="C527" s="17"/>
      <c r="D527" s="17"/>
      <c r="E527" s="18"/>
      <c r="F527" s="17"/>
      <c r="G527" s="18"/>
      <c r="H527" s="13"/>
      <c r="I527" s="19">
        <f>IF($E527="","",IF($L527&lt;=0.005,"Pago",IF($D527="","Sem vencimento",IF($D527&lt;Hoje,IF(N($G527)&gt;0,"Vencido (parcial)","Vencido"),IF($D527=Hoje,"Vence hoje","A vencer")))))</f>
        <v>0</v>
      </c>
      <c r="J527" s="20">
        <f>IF(OR($E527="",$D527=""),"",IF(AND($L527&gt;0.005,$D527&lt;Hoje),Hoje-$D527,0))</f>
        <v>0</v>
      </c>
      <c r="K527" s="20">
        <f>IF($J527="","",IF($L527&lt;=0.005,"Pago",IF($J527&lt;=0,"A vencer",IF($J527&lt;=15,"1-15 dias",IF($J527&lt;=30,"16-30 dias",IF($J527&lt;=60,"31-60 dias","Mais de 60 dias"))))))</f>
        <v>0</v>
      </c>
      <c r="L527" s="21">
        <f>IF($E527="","",MAX(0,$E527-N($G527)))</f>
        <v>0</v>
      </c>
      <c r="M527" s="21">
        <f>IF(OR($L527="",$J527=""),"",IF($J527&gt;0,ROUND($L527*Multa+$L527*Juros/30*$J527,2),0))</f>
        <v>0</v>
      </c>
      <c r="N527" s="22">
        <f>IF($L527="","",IF($L527&lt;=0.005,0,$L527+N($M527)))</f>
        <v>0</v>
      </c>
      <c r="O527" s="23">
        <f>IF(OR($I527="Vencido",$I527="Vencido (parcial)"),"Olá, "&amp;$A527&amp;"! Consta em aberto '"&amp;$B527&amp;"' com vencimento em "&amp;DAY($D527)&amp;"/"&amp;MONTH($D527)&amp;"/"&amp;YEAR($D527)&amp;", no valor de R$ "&amp;FIXED($N527,2)&amp;" (com multa e juros). Podemos ajudar a regularizar hoje? Obrigado!",IF($I527="Vence hoje","Olá, "&amp;$A527&amp;"! Lembrete: '"&amp;$B527&amp;"' vence hoje, no valor de R$ "&amp;FIXED($L527,2)&amp;". Obrigado!",""))</f>
        <v>0</v>
      </c>
    </row>
    <row r="528" spans="1:15">
      <c r="A528" s="13"/>
      <c r="B528" s="13"/>
      <c r="C528" s="17"/>
      <c r="D528" s="17"/>
      <c r="E528" s="18"/>
      <c r="F528" s="17"/>
      <c r="G528" s="18"/>
      <c r="H528" s="13"/>
      <c r="I528" s="19">
        <f>IF($E528="","",IF($L528&lt;=0.005,"Pago",IF($D528="","Sem vencimento",IF($D528&lt;Hoje,IF(N($G528)&gt;0,"Vencido (parcial)","Vencido"),IF($D528=Hoje,"Vence hoje","A vencer")))))</f>
        <v>0</v>
      </c>
      <c r="J528" s="20">
        <f>IF(OR($E528="",$D528=""),"",IF(AND($L528&gt;0.005,$D528&lt;Hoje),Hoje-$D528,0))</f>
        <v>0</v>
      </c>
      <c r="K528" s="20">
        <f>IF($J528="","",IF($L528&lt;=0.005,"Pago",IF($J528&lt;=0,"A vencer",IF($J528&lt;=15,"1-15 dias",IF($J528&lt;=30,"16-30 dias",IF($J528&lt;=60,"31-60 dias","Mais de 60 dias"))))))</f>
        <v>0</v>
      </c>
      <c r="L528" s="21">
        <f>IF($E528="","",MAX(0,$E528-N($G528)))</f>
        <v>0</v>
      </c>
      <c r="M528" s="21">
        <f>IF(OR($L528="",$J528=""),"",IF($J528&gt;0,ROUND($L528*Multa+$L528*Juros/30*$J528,2),0))</f>
        <v>0</v>
      </c>
      <c r="N528" s="22">
        <f>IF($L528="","",IF($L528&lt;=0.005,0,$L528+N($M528)))</f>
        <v>0</v>
      </c>
      <c r="O528" s="23">
        <f>IF(OR($I528="Vencido",$I528="Vencido (parcial)"),"Olá, "&amp;$A528&amp;"! Consta em aberto '"&amp;$B528&amp;"' com vencimento em "&amp;DAY($D528)&amp;"/"&amp;MONTH($D528)&amp;"/"&amp;YEAR($D528)&amp;", no valor de R$ "&amp;FIXED($N528,2)&amp;" (com multa e juros). Podemos ajudar a regularizar hoje? Obrigado!",IF($I528="Vence hoje","Olá, "&amp;$A528&amp;"! Lembrete: '"&amp;$B528&amp;"' vence hoje, no valor de R$ "&amp;FIXED($L528,2)&amp;". Obrigado!",""))</f>
        <v>0</v>
      </c>
    </row>
    <row r="529" spans="1:15">
      <c r="A529" s="13"/>
      <c r="B529" s="13"/>
      <c r="C529" s="17"/>
      <c r="D529" s="17"/>
      <c r="E529" s="18"/>
      <c r="F529" s="17"/>
      <c r="G529" s="18"/>
      <c r="H529" s="13"/>
      <c r="I529" s="19">
        <f>IF($E529="","",IF($L529&lt;=0.005,"Pago",IF($D529="","Sem vencimento",IF($D529&lt;Hoje,IF(N($G529)&gt;0,"Vencido (parcial)","Vencido"),IF($D529=Hoje,"Vence hoje","A vencer")))))</f>
        <v>0</v>
      </c>
      <c r="J529" s="20">
        <f>IF(OR($E529="",$D529=""),"",IF(AND($L529&gt;0.005,$D529&lt;Hoje),Hoje-$D529,0))</f>
        <v>0</v>
      </c>
      <c r="K529" s="20">
        <f>IF($J529="","",IF($L529&lt;=0.005,"Pago",IF($J529&lt;=0,"A vencer",IF($J529&lt;=15,"1-15 dias",IF($J529&lt;=30,"16-30 dias",IF($J529&lt;=60,"31-60 dias","Mais de 60 dias"))))))</f>
        <v>0</v>
      </c>
      <c r="L529" s="21">
        <f>IF($E529="","",MAX(0,$E529-N($G529)))</f>
        <v>0</v>
      </c>
      <c r="M529" s="21">
        <f>IF(OR($L529="",$J529=""),"",IF($J529&gt;0,ROUND($L529*Multa+$L529*Juros/30*$J529,2),0))</f>
        <v>0</v>
      </c>
      <c r="N529" s="22">
        <f>IF($L529="","",IF($L529&lt;=0.005,0,$L529+N($M529)))</f>
        <v>0</v>
      </c>
      <c r="O529" s="23">
        <f>IF(OR($I529="Vencido",$I529="Vencido (parcial)"),"Olá, "&amp;$A529&amp;"! Consta em aberto '"&amp;$B529&amp;"' com vencimento em "&amp;DAY($D529)&amp;"/"&amp;MONTH($D529)&amp;"/"&amp;YEAR($D529)&amp;", no valor de R$ "&amp;FIXED($N529,2)&amp;" (com multa e juros). Podemos ajudar a regularizar hoje? Obrigado!",IF($I529="Vence hoje","Olá, "&amp;$A529&amp;"! Lembrete: '"&amp;$B529&amp;"' vence hoje, no valor de R$ "&amp;FIXED($L529,2)&amp;". Obrigado!",""))</f>
        <v>0</v>
      </c>
    </row>
    <row r="530" spans="1:15">
      <c r="A530" s="13"/>
      <c r="B530" s="13"/>
      <c r="C530" s="17"/>
      <c r="D530" s="17"/>
      <c r="E530" s="18"/>
      <c r="F530" s="17"/>
      <c r="G530" s="18"/>
      <c r="H530" s="13"/>
      <c r="I530" s="19">
        <f>IF($E530="","",IF($L530&lt;=0.005,"Pago",IF($D530="","Sem vencimento",IF($D530&lt;Hoje,IF(N($G530)&gt;0,"Vencido (parcial)","Vencido"),IF($D530=Hoje,"Vence hoje","A vencer")))))</f>
        <v>0</v>
      </c>
      <c r="J530" s="20">
        <f>IF(OR($E530="",$D530=""),"",IF(AND($L530&gt;0.005,$D530&lt;Hoje),Hoje-$D530,0))</f>
        <v>0</v>
      </c>
      <c r="K530" s="20">
        <f>IF($J530="","",IF($L530&lt;=0.005,"Pago",IF($J530&lt;=0,"A vencer",IF($J530&lt;=15,"1-15 dias",IF($J530&lt;=30,"16-30 dias",IF($J530&lt;=60,"31-60 dias","Mais de 60 dias"))))))</f>
        <v>0</v>
      </c>
      <c r="L530" s="21">
        <f>IF($E530="","",MAX(0,$E530-N($G530)))</f>
        <v>0</v>
      </c>
      <c r="M530" s="21">
        <f>IF(OR($L530="",$J530=""),"",IF($J530&gt;0,ROUND($L530*Multa+$L530*Juros/30*$J530,2),0))</f>
        <v>0</v>
      </c>
      <c r="N530" s="22">
        <f>IF($L530="","",IF($L530&lt;=0.005,0,$L530+N($M530)))</f>
        <v>0</v>
      </c>
      <c r="O530" s="23">
        <f>IF(OR($I530="Vencido",$I530="Vencido (parcial)"),"Olá, "&amp;$A530&amp;"! Consta em aberto '"&amp;$B530&amp;"' com vencimento em "&amp;DAY($D530)&amp;"/"&amp;MONTH($D530)&amp;"/"&amp;YEAR($D530)&amp;", no valor de R$ "&amp;FIXED($N530,2)&amp;" (com multa e juros). Podemos ajudar a regularizar hoje? Obrigado!",IF($I530="Vence hoje","Olá, "&amp;$A530&amp;"! Lembrete: '"&amp;$B530&amp;"' vence hoje, no valor de R$ "&amp;FIXED($L530,2)&amp;". Obrigado!",""))</f>
        <v>0</v>
      </c>
    </row>
    <row r="531" spans="1:15">
      <c r="A531" s="13"/>
      <c r="B531" s="13"/>
      <c r="C531" s="17"/>
      <c r="D531" s="17"/>
      <c r="E531" s="18"/>
      <c r="F531" s="17"/>
      <c r="G531" s="18"/>
      <c r="H531" s="13"/>
      <c r="I531" s="19">
        <f>IF($E531="","",IF($L531&lt;=0.005,"Pago",IF($D531="","Sem vencimento",IF($D531&lt;Hoje,IF(N($G531)&gt;0,"Vencido (parcial)","Vencido"),IF($D531=Hoje,"Vence hoje","A vencer")))))</f>
        <v>0</v>
      </c>
      <c r="J531" s="20">
        <f>IF(OR($E531="",$D531=""),"",IF(AND($L531&gt;0.005,$D531&lt;Hoje),Hoje-$D531,0))</f>
        <v>0</v>
      </c>
      <c r="K531" s="20">
        <f>IF($J531="","",IF($L531&lt;=0.005,"Pago",IF($J531&lt;=0,"A vencer",IF($J531&lt;=15,"1-15 dias",IF($J531&lt;=30,"16-30 dias",IF($J531&lt;=60,"31-60 dias","Mais de 60 dias"))))))</f>
        <v>0</v>
      </c>
      <c r="L531" s="21">
        <f>IF($E531="","",MAX(0,$E531-N($G531)))</f>
        <v>0</v>
      </c>
      <c r="M531" s="21">
        <f>IF(OR($L531="",$J531=""),"",IF($J531&gt;0,ROUND($L531*Multa+$L531*Juros/30*$J531,2),0))</f>
        <v>0</v>
      </c>
      <c r="N531" s="22">
        <f>IF($L531="","",IF($L531&lt;=0.005,0,$L531+N($M531)))</f>
        <v>0</v>
      </c>
      <c r="O531" s="23">
        <f>IF(OR($I531="Vencido",$I531="Vencido (parcial)"),"Olá, "&amp;$A531&amp;"! Consta em aberto '"&amp;$B531&amp;"' com vencimento em "&amp;DAY($D531)&amp;"/"&amp;MONTH($D531)&amp;"/"&amp;YEAR($D531)&amp;", no valor de R$ "&amp;FIXED($N531,2)&amp;" (com multa e juros). Podemos ajudar a regularizar hoje? Obrigado!",IF($I531="Vence hoje","Olá, "&amp;$A531&amp;"! Lembrete: '"&amp;$B531&amp;"' vence hoje, no valor de R$ "&amp;FIXED($L531,2)&amp;". Obrigado!",""))</f>
        <v>0</v>
      </c>
    </row>
    <row r="532" spans="1:15">
      <c r="A532" s="13"/>
      <c r="B532" s="13"/>
      <c r="C532" s="17"/>
      <c r="D532" s="17"/>
      <c r="E532" s="18"/>
      <c r="F532" s="17"/>
      <c r="G532" s="18"/>
      <c r="H532" s="13"/>
      <c r="I532" s="19">
        <f>IF($E532="","",IF($L532&lt;=0.005,"Pago",IF($D532="","Sem vencimento",IF($D532&lt;Hoje,IF(N($G532)&gt;0,"Vencido (parcial)","Vencido"),IF($D532=Hoje,"Vence hoje","A vencer")))))</f>
        <v>0</v>
      </c>
      <c r="J532" s="20">
        <f>IF(OR($E532="",$D532=""),"",IF(AND($L532&gt;0.005,$D532&lt;Hoje),Hoje-$D532,0))</f>
        <v>0</v>
      </c>
      <c r="K532" s="20">
        <f>IF($J532="","",IF($L532&lt;=0.005,"Pago",IF($J532&lt;=0,"A vencer",IF($J532&lt;=15,"1-15 dias",IF($J532&lt;=30,"16-30 dias",IF($J532&lt;=60,"31-60 dias","Mais de 60 dias"))))))</f>
        <v>0</v>
      </c>
      <c r="L532" s="21">
        <f>IF($E532="","",MAX(0,$E532-N($G532)))</f>
        <v>0</v>
      </c>
      <c r="M532" s="21">
        <f>IF(OR($L532="",$J532=""),"",IF($J532&gt;0,ROUND($L532*Multa+$L532*Juros/30*$J532,2),0))</f>
        <v>0</v>
      </c>
      <c r="N532" s="22">
        <f>IF($L532="","",IF($L532&lt;=0.005,0,$L532+N($M532)))</f>
        <v>0</v>
      </c>
      <c r="O532" s="23">
        <f>IF(OR($I532="Vencido",$I532="Vencido (parcial)"),"Olá, "&amp;$A532&amp;"! Consta em aberto '"&amp;$B532&amp;"' com vencimento em "&amp;DAY($D532)&amp;"/"&amp;MONTH($D532)&amp;"/"&amp;YEAR($D532)&amp;", no valor de R$ "&amp;FIXED($N532,2)&amp;" (com multa e juros). Podemos ajudar a regularizar hoje? Obrigado!",IF($I532="Vence hoje","Olá, "&amp;$A532&amp;"! Lembrete: '"&amp;$B532&amp;"' vence hoje, no valor de R$ "&amp;FIXED($L532,2)&amp;". Obrigado!",""))</f>
        <v>0</v>
      </c>
    </row>
    <row r="533" spans="1:15">
      <c r="A533" s="13"/>
      <c r="B533" s="13"/>
      <c r="C533" s="17"/>
      <c r="D533" s="17"/>
      <c r="E533" s="18"/>
      <c r="F533" s="17"/>
      <c r="G533" s="18"/>
      <c r="H533" s="13"/>
      <c r="I533" s="19">
        <f>IF($E533="","",IF($L533&lt;=0.005,"Pago",IF($D533="","Sem vencimento",IF($D533&lt;Hoje,IF(N($G533)&gt;0,"Vencido (parcial)","Vencido"),IF($D533=Hoje,"Vence hoje","A vencer")))))</f>
        <v>0</v>
      </c>
      <c r="J533" s="20">
        <f>IF(OR($E533="",$D533=""),"",IF(AND($L533&gt;0.005,$D533&lt;Hoje),Hoje-$D533,0))</f>
        <v>0</v>
      </c>
      <c r="K533" s="20">
        <f>IF($J533="","",IF($L533&lt;=0.005,"Pago",IF($J533&lt;=0,"A vencer",IF($J533&lt;=15,"1-15 dias",IF($J533&lt;=30,"16-30 dias",IF($J533&lt;=60,"31-60 dias","Mais de 60 dias"))))))</f>
        <v>0</v>
      </c>
      <c r="L533" s="21">
        <f>IF($E533="","",MAX(0,$E533-N($G533)))</f>
        <v>0</v>
      </c>
      <c r="M533" s="21">
        <f>IF(OR($L533="",$J533=""),"",IF($J533&gt;0,ROUND($L533*Multa+$L533*Juros/30*$J533,2),0))</f>
        <v>0</v>
      </c>
      <c r="N533" s="22">
        <f>IF($L533="","",IF($L533&lt;=0.005,0,$L533+N($M533)))</f>
        <v>0</v>
      </c>
      <c r="O533" s="23">
        <f>IF(OR($I533="Vencido",$I533="Vencido (parcial)"),"Olá, "&amp;$A533&amp;"! Consta em aberto '"&amp;$B533&amp;"' com vencimento em "&amp;DAY($D533)&amp;"/"&amp;MONTH($D533)&amp;"/"&amp;YEAR($D533)&amp;", no valor de R$ "&amp;FIXED($N533,2)&amp;" (com multa e juros). Podemos ajudar a regularizar hoje? Obrigado!",IF($I533="Vence hoje","Olá, "&amp;$A533&amp;"! Lembrete: '"&amp;$B533&amp;"' vence hoje, no valor de R$ "&amp;FIXED($L533,2)&amp;". Obrigado!",""))</f>
        <v>0</v>
      </c>
    </row>
    <row r="534" spans="1:15">
      <c r="A534" s="13"/>
      <c r="B534" s="13"/>
      <c r="C534" s="17"/>
      <c r="D534" s="17"/>
      <c r="E534" s="18"/>
      <c r="F534" s="17"/>
      <c r="G534" s="18"/>
      <c r="H534" s="13"/>
      <c r="I534" s="19">
        <f>IF($E534="","",IF($L534&lt;=0.005,"Pago",IF($D534="","Sem vencimento",IF($D534&lt;Hoje,IF(N($G534)&gt;0,"Vencido (parcial)","Vencido"),IF($D534=Hoje,"Vence hoje","A vencer")))))</f>
        <v>0</v>
      </c>
      <c r="J534" s="20">
        <f>IF(OR($E534="",$D534=""),"",IF(AND($L534&gt;0.005,$D534&lt;Hoje),Hoje-$D534,0))</f>
        <v>0</v>
      </c>
      <c r="K534" s="20">
        <f>IF($J534="","",IF($L534&lt;=0.005,"Pago",IF($J534&lt;=0,"A vencer",IF($J534&lt;=15,"1-15 dias",IF($J534&lt;=30,"16-30 dias",IF($J534&lt;=60,"31-60 dias","Mais de 60 dias"))))))</f>
        <v>0</v>
      </c>
      <c r="L534" s="21">
        <f>IF($E534="","",MAX(0,$E534-N($G534)))</f>
        <v>0</v>
      </c>
      <c r="M534" s="21">
        <f>IF(OR($L534="",$J534=""),"",IF($J534&gt;0,ROUND($L534*Multa+$L534*Juros/30*$J534,2),0))</f>
        <v>0</v>
      </c>
      <c r="N534" s="22">
        <f>IF($L534="","",IF($L534&lt;=0.005,0,$L534+N($M534)))</f>
        <v>0</v>
      </c>
      <c r="O534" s="23">
        <f>IF(OR($I534="Vencido",$I534="Vencido (parcial)"),"Olá, "&amp;$A534&amp;"! Consta em aberto '"&amp;$B534&amp;"' com vencimento em "&amp;DAY($D534)&amp;"/"&amp;MONTH($D534)&amp;"/"&amp;YEAR($D534)&amp;", no valor de R$ "&amp;FIXED($N534,2)&amp;" (com multa e juros). Podemos ajudar a regularizar hoje? Obrigado!",IF($I534="Vence hoje","Olá, "&amp;$A534&amp;"! Lembrete: '"&amp;$B534&amp;"' vence hoje, no valor de R$ "&amp;FIXED($L534,2)&amp;". Obrigado!",""))</f>
        <v>0</v>
      </c>
    </row>
    <row r="535" spans="1:15">
      <c r="A535" s="13"/>
      <c r="B535" s="13"/>
      <c r="C535" s="17"/>
      <c r="D535" s="17"/>
      <c r="E535" s="18"/>
      <c r="F535" s="17"/>
      <c r="G535" s="18"/>
      <c r="H535" s="13"/>
      <c r="I535" s="19">
        <f>IF($E535="","",IF($L535&lt;=0.005,"Pago",IF($D535="","Sem vencimento",IF($D535&lt;Hoje,IF(N($G535)&gt;0,"Vencido (parcial)","Vencido"),IF($D535=Hoje,"Vence hoje","A vencer")))))</f>
        <v>0</v>
      </c>
      <c r="J535" s="20">
        <f>IF(OR($E535="",$D535=""),"",IF(AND($L535&gt;0.005,$D535&lt;Hoje),Hoje-$D535,0))</f>
        <v>0</v>
      </c>
      <c r="K535" s="20">
        <f>IF($J535="","",IF($L535&lt;=0.005,"Pago",IF($J535&lt;=0,"A vencer",IF($J535&lt;=15,"1-15 dias",IF($J535&lt;=30,"16-30 dias",IF($J535&lt;=60,"31-60 dias","Mais de 60 dias"))))))</f>
        <v>0</v>
      </c>
      <c r="L535" s="21">
        <f>IF($E535="","",MAX(0,$E535-N($G535)))</f>
        <v>0</v>
      </c>
      <c r="M535" s="21">
        <f>IF(OR($L535="",$J535=""),"",IF($J535&gt;0,ROUND($L535*Multa+$L535*Juros/30*$J535,2),0))</f>
        <v>0</v>
      </c>
      <c r="N535" s="22">
        <f>IF($L535="","",IF($L535&lt;=0.005,0,$L535+N($M535)))</f>
        <v>0</v>
      </c>
      <c r="O535" s="23">
        <f>IF(OR($I535="Vencido",$I535="Vencido (parcial)"),"Olá, "&amp;$A535&amp;"! Consta em aberto '"&amp;$B535&amp;"' com vencimento em "&amp;DAY($D535)&amp;"/"&amp;MONTH($D535)&amp;"/"&amp;YEAR($D535)&amp;", no valor de R$ "&amp;FIXED($N535,2)&amp;" (com multa e juros). Podemos ajudar a regularizar hoje? Obrigado!",IF($I535="Vence hoje","Olá, "&amp;$A535&amp;"! Lembrete: '"&amp;$B535&amp;"' vence hoje, no valor de R$ "&amp;FIXED($L535,2)&amp;". Obrigado!",""))</f>
        <v>0</v>
      </c>
    </row>
    <row r="536" spans="1:15">
      <c r="A536" s="13"/>
      <c r="B536" s="13"/>
      <c r="C536" s="17"/>
      <c r="D536" s="17"/>
      <c r="E536" s="18"/>
      <c r="F536" s="17"/>
      <c r="G536" s="18"/>
      <c r="H536" s="13"/>
      <c r="I536" s="19">
        <f>IF($E536="","",IF($L536&lt;=0.005,"Pago",IF($D536="","Sem vencimento",IF($D536&lt;Hoje,IF(N($G536)&gt;0,"Vencido (parcial)","Vencido"),IF($D536=Hoje,"Vence hoje","A vencer")))))</f>
        <v>0</v>
      </c>
      <c r="J536" s="20">
        <f>IF(OR($E536="",$D536=""),"",IF(AND($L536&gt;0.005,$D536&lt;Hoje),Hoje-$D536,0))</f>
        <v>0</v>
      </c>
      <c r="K536" s="20">
        <f>IF($J536="","",IF($L536&lt;=0.005,"Pago",IF($J536&lt;=0,"A vencer",IF($J536&lt;=15,"1-15 dias",IF($J536&lt;=30,"16-30 dias",IF($J536&lt;=60,"31-60 dias","Mais de 60 dias"))))))</f>
        <v>0</v>
      </c>
      <c r="L536" s="21">
        <f>IF($E536="","",MAX(0,$E536-N($G536)))</f>
        <v>0</v>
      </c>
      <c r="M536" s="21">
        <f>IF(OR($L536="",$J536=""),"",IF($J536&gt;0,ROUND($L536*Multa+$L536*Juros/30*$J536,2),0))</f>
        <v>0</v>
      </c>
      <c r="N536" s="22">
        <f>IF($L536="","",IF($L536&lt;=0.005,0,$L536+N($M536)))</f>
        <v>0</v>
      </c>
      <c r="O536" s="23">
        <f>IF(OR($I536="Vencido",$I536="Vencido (parcial)"),"Olá, "&amp;$A536&amp;"! Consta em aberto '"&amp;$B536&amp;"' com vencimento em "&amp;DAY($D536)&amp;"/"&amp;MONTH($D536)&amp;"/"&amp;YEAR($D536)&amp;", no valor de R$ "&amp;FIXED($N536,2)&amp;" (com multa e juros). Podemos ajudar a regularizar hoje? Obrigado!",IF($I536="Vence hoje","Olá, "&amp;$A536&amp;"! Lembrete: '"&amp;$B536&amp;"' vence hoje, no valor de R$ "&amp;FIXED($L536,2)&amp;". Obrigado!",""))</f>
        <v>0</v>
      </c>
    </row>
    <row r="537" spans="1:15">
      <c r="A537" s="13"/>
      <c r="B537" s="13"/>
      <c r="C537" s="17"/>
      <c r="D537" s="17"/>
      <c r="E537" s="18"/>
      <c r="F537" s="17"/>
      <c r="G537" s="18"/>
      <c r="H537" s="13"/>
      <c r="I537" s="19">
        <f>IF($E537="","",IF($L537&lt;=0.005,"Pago",IF($D537="","Sem vencimento",IF($D537&lt;Hoje,IF(N($G537)&gt;0,"Vencido (parcial)","Vencido"),IF($D537=Hoje,"Vence hoje","A vencer")))))</f>
        <v>0</v>
      </c>
      <c r="J537" s="20">
        <f>IF(OR($E537="",$D537=""),"",IF(AND($L537&gt;0.005,$D537&lt;Hoje),Hoje-$D537,0))</f>
        <v>0</v>
      </c>
      <c r="K537" s="20">
        <f>IF($J537="","",IF($L537&lt;=0.005,"Pago",IF($J537&lt;=0,"A vencer",IF($J537&lt;=15,"1-15 dias",IF($J537&lt;=30,"16-30 dias",IF($J537&lt;=60,"31-60 dias","Mais de 60 dias"))))))</f>
        <v>0</v>
      </c>
      <c r="L537" s="21">
        <f>IF($E537="","",MAX(0,$E537-N($G537)))</f>
        <v>0</v>
      </c>
      <c r="M537" s="21">
        <f>IF(OR($L537="",$J537=""),"",IF($J537&gt;0,ROUND($L537*Multa+$L537*Juros/30*$J537,2),0))</f>
        <v>0</v>
      </c>
      <c r="N537" s="22">
        <f>IF($L537="","",IF($L537&lt;=0.005,0,$L537+N($M537)))</f>
        <v>0</v>
      </c>
      <c r="O537" s="23">
        <f>IF(OR($I537="Vencido",$I537="Vencido (parcial)"),"Olá, "&amp;$A537&amp;"! Consta em aberto '"&amp;$B537&amp;"' com vencimento em "&amp;DAY($D537)&amp;"/"&amp;MONTH($D537)&amp;"/"&amp;YEAR($D537)&amp;", no valor de R$ "&amp;FIXED($N537,2)&amp;" (com multa e juros). Podemos ajudar a regularizar hoje? Obrigado!",IF($I537="Vence hoje","Olá, "&amp;$A537&amp;"! Lembrete: '"&amp;$B537&amp;"' vence hoje, no valor de R$ "&amp;FIXED($L537,2)&amp;". Obrigado!",""))</f>
        <v>0</v>
      </c>
    </row>
    <row r="538" spans="1:15">
      <c r="A538" s="13"/>
      <c r="B538" s="13"/>
      <c r="C538" s="17"/>
      <c r="D538" s="17"/>
      <c r="E538" s="18"/>
      <c r="F538" s="17"/>
      <c r="G538" s="18"/>
      <c r="H538" s="13"/>
      <c r="I538" s="19">
        <f>IF($E538="","",IF($L538&lt;=0.005,"Pago",IF($D538="","Sem vencimento",IF($D538&lt;Hoje,IF(N($G538)&gt;0,"Vencido (parcial)","Vencido"),IF($D538=Hoje,"Vence hoje","A vencer")))))</f>
        <v>0</v>
      </c>
      <c r="J538" s="20">
        <f>IF(OR($E538="",$D538=""),"",IF(AND($L538&gt;0.005,$D538&lt;Hoje),Hoje-$D538,0))</f>
        <v>0</v>
      </c>
      <c r="K538" s="20">
        <f>IF($J538="","",IF($L538&lt;=0.005,"Pago",IF($J538&lt;=0,"A vencer",IF($J538&lt;=15,"1-15 dias",IF($J538&lt;=30,"16-30 dias",IF($J538&lt;=60,"31-60 dias","Mais de 60 dias"))))))</f>
        <v>0</v>
      </c>
      <c r="L538" s="21">
        <f>IF($E538="","",MAX(0,$E538-N($G538)))</f>
        <v>0</v>
      </c>
      <c r="M538" s="21">
        <f>IF(OR($L538="",$J538=""),"",IF($J538&gt;0,ROUND($L538*Multa+$L538*Juros/30*$J538,2),0))</f>
        <v>0</v>
      </c>
      <c r="N538" s="22">
        <f>IF($L538="","",IF($L538&lt;=0.005,0,$L538+N($M538)))</f>
        <v>0</v>
      </c>
      <c r="O538" s="23">
        <f>IF(OR($I538="Vencido",$I538="Vencido (parcial)"),"Olá, "&amp;$A538&amp;"! Consta em aberto '"&amp;$B538&amp;"' com vencimento em "&amp;DAY($D538)&amp;"/"&amp;MONTH($D538)&amp;"/"&amp;YEAR($D538)&amp;", no valor de R$ "&amp;FIXED($N538,2)&amp;" (com multa e juros). Podemos ajudar a regularizar hoje? Obrigado!",IF($I538="Vence hoje","Olá, "&amp;$A538&amp;"! Lembrete: '"&amp;$B538&amp;"' vence hoje, no valor de R$ "&amp;FIXED($L538,2)&amp;". Obrigado!",""))</f>
        <v>0</v>
      </c>
    </row>
    <row r="539" spans="1:15">
      <c r="A539" s="13"/>
      <c r="B539" s="13"/>
      <c r="C539" s="17"/>
      <c r="D539" s="17"/>
      <c r="E539" s="18"/>
      <c r="F539" s="17"/>
      <c r="G539" s="18"/>
      <c r="H539" s="13"/>
      <c r="I539" s="19">
        <f>IF($E539="","",IF($L539&lt;=0.005,"Pago",IF($D539="","Sem vencimento",IF($D539&lt;Hoje,IF(N($G539)&gt;0,"Vencido (parcial)","Vencido"),IF($D539=Hoje,"Vence hoje","A vencer")))))</f>
        <v>0</v>
      </c>
      <c r="J539" s="20">
        <f>IF(OR($E539="",$D539=""),"",IF(AND($L539&gt;0.005,$D539&lt;Hoje),Hoje-$D539,0))</f>
        <v>0</v>
      </c>
      <c r="K539" s="20">
        <f>IF($J539="","",IF($L539&lt;=0.005,"Pago",IF($J539&lt;=0,"A vencer",IF($J539&lt;=15,"1-15 dias",IF($J539&lt;=30,"16-30 dias",IF($J539&lt;=60,"31-60 dias","Mais de 60 dias"))))))</f>
        <v>0</v>
      </c>
      <c r="L539" s="21">
        <f>IF($E539="","",MAX(0,$E539-N($G539)))</f>
        <v>0</v>
      </c>
      <c r="M539" s="21">
        <f>IF(OR($L539="",$J539=""),"",IF($J539&gt;0,ROUND($L539*Multa+$L539*Juros/30*$J539,2),0))</f>
        <v>0</v>
      </c>
      <c r="N539" s="22">
        <f>IF($L539="","",IF($L539&lt;=0.005,0,$L539+N($M539)))</f>
        <v>0</v>
      </c>
      <c r="O539" s="23">
        <f>IF(OR($I539="Vencido",$I539="Vencido (parcial)"),"Olá, "&amp;$A539&amp;"! Consta em aberto '"&amp;$B539&amp;"' com vencimento em "&amp;DAY($D539)&amp;"/"&amp;MONTH($D539)&amp;"/"&amp;YEAR($D539)&amp;", no valor de R$ "&amp;FIXED($N539,2)&amp;" (com multa e juros). Podemos ajudar a regularizar hoje? Obrigado!",IF($I539="Vence hoje","Olá, "&amp;$A539&amp;"! Lembrete: '"&amp;$B539&amp;"' vence hoje, no valor de R$ "&amp;FIXED($L539,2)&amp;". Obrigado!",""))</f>
        <v>0</v>
      </c>
    </row>
    <row r="540" spans="1:15">
      <c r="A540" s="13"/>
      <c r="B540" s="13"/>
      <c r="C540" s="17"/>
      <c r="D540" s="17"/>
      <c r="E540" s="18"/>
      <c r="F540" s="17"/>
      <c r="G540" s="18"/>
      <c r="H540" s="13"/>
      <c r="I540" s="19">
        <f>IF($E540="","",IF($L540&lt;=0.005,"Pago",IF($D540="","Sem vencimento",IF($D540&lt;Hoje,IF(N($G540)&gt;0,"Vencido (parcial)","Vencido"),IF($D540=Hoje,"Vence hoje","A vencer")))))</f>
        <v>0</v>
      </c>
      <c r="J540" s="20">
        <f>IF(OR($E540="",$D540=""),"",IF(AND($L540&gt;0.005,$D540&lt;Hoje),Hoje-$D540,0))</f>
        <v>0</v>
      </c>
      <c r="K540" s="20">
        <f>IF($J540="","",IF($L540&lt;=0.005,"Pago",IF($J540&lt;=0,"A vencer",IF($J540&lt;=15,"1-15 dias",IF($J540&lt;=30,"16-30 dias",IF($J540&lt;=60,"31-60 dias","Mais de 60 dias"))))))</f>
        <v>0</v>
      </c>
      <c r="L540" s="21">
        <f>IF($E540="","",MAX(0,$E540-N($G540)))</f>
        <v>0</v>
      </c>
      <c r="M540" s="21">
        <f>IF(OR($L540="",$J540=""),"",IF($J540&gt;0,ROUND($L540*Multa+$L540*Juros/30*$J540,2),0))</f>
        <v>0</v>
      </c>
      <c r="N540" s="22">
        <f>IF($L540="","",IF($L540&lt;=0.005,0,$L540+N($M540)))</f>
        <v>0</v>
      </c>
      <c r="O540" s="23">
        <f>IF(OR($I540="Vencido",$I540="Vencido (parcial)"),"Olá, "&amp;$A540&amp;"! Consta em aberto '"&amp;$B540&amp;"' com vencimento em "&amp;DAY($D540)&amp;"/"&amp;MONTH($D540)&amp;"/"&amp;YEAR($D540)&amp;", no valor de R$ "&amp;FIXED($N540,2)&amp;" (com multa e juros). Podemos ajudar a regularizar hoje? Obrigado!",IF($I540="Vence hoje","Olá, "&amp;$A540&amp;"! Lembrete: '"&amp;$B540&amp;"' vence hoje, no valor de R$ "&amp;FIXED($L540,2)&amp;". Obrigado!",""))</f>
        <v>0</v>
      </c>
    </row>
    <row r="541" spans="1:15">
      <c r="A541" s="13"/>
      <c r="B541" s="13"/>
      <c r="C541" s="17"/>
      <c r="D541" s="17"/>
      <c r="E541" s="18"/>
      <c r="F541" s="17"/>
      <c r="G541" s="18"/>
      <c r="H541" s="13"/>
      <c r="I541" s="19">
        <f>IF($E541="","",IF($L541&lt;=0.005,"Pago",IF($D541="","Sem vencimento",IF($D541&lt;Hoje,IF(N($G541)&gt;0,"Vencido (parcial)","Vencido"),IF($D541=Hoje,"Vence hoje","A vencer")))))</f>
        <v>0</v>
      </c>
      <c r="J541" s="20">
        <f>IF(OR($E541="",$D541=""),"",IF(AND($L541&gt;0.005,$D541&lt;Hoje),Hoje-$D541,0))</f>
        <v>0</v>
      </c>
      <c r="K541" s="20">
        <f>IF($J541="","",IF($L541&lt;=0.005,"Pago",IF($J541&lt;=0,"A vencer",IF($J541&lt;=15,"1-15 dias",IF($J541&lt;=30,"16-30 dias",IF($J541&lt;=60,"31-60 dias","Mais de 60 dias"))))))</f>
        <v>0</v>
      </c>
      <c r="L541" s="21">
        <f>IF($E541="","",MAX(0,$E541-N($G541)))</f>
        <v>0</v>
      </c>
      <c r="M541" s="21">
        <f>IF(OR($L541="",$J541=""),"",IF($J541&gt;0,ROUND($L541*Multa+$L541*Juros/30*$J541,2),0))</f>
        <v>0</v>
      </c>
      <c r="N541" s="22">
        <f>IF($L541="","",IF($L541&lt;=0.005,0,$L541+N($M541)))</f>
        <v>0</v>
      </c>
      <c r="O541" s="23">
        <f>IF(OR($I541="Vencido",$I541="Vencido (parcial)"),"Olá, "&amp;$A541&amp;"! Consta em aberto '"&amp;$B541&amp;"' com vencimento em "&amp;DAY($D541)&amp;"/"&amp;MONTH($D541)&amp;"/"&amp;YEAR($D541)&amp;", no valor de R$ "&amp;FIXED($N541,2)&amp;" (com multa e juros). Podemos ajudar a regularizar hoje? Obrigado!",IF($I541="Vence hoje","Olá, "&amp;$A541&amp;"! Lembrete: '"&amp;$B541&amp;"' vence hoje, no valor de R$ "&amp;FIXED($L541,2)&amp;". Obrigado!",""))</f>
        <v>0</v>
      </c>
    </row>
    <row r="542" spans="1:15">
      <c r="A542" s="13"/>
      <c r="B542" s="13"/>
      <c r="C542" s="17"/>
      <c r="D542" s="17"/>
      <c r="E542" s="18"/>
      <c r="F542" s="17"/>
      <c r="G542" s="18"/>
      <c r="H542" s="13"/>
      <c r="I542" s="19">
        <f>IF($E542="","",IF($L542&lt;=0.005,"Pago",IF($D542="","Sem vencimento",IF($D542&lt;Hoje,IF(N($G542)&gt;0,"Vencido (parcial)","Vencido"),IF($D542=Hoje,"Vence hoje","A vencer")))))</f>
        <v>0</v>
      </c>
      <c r="J542" s="20">
        <f>IF(OR($E542="",$D542=""),"",IF(AND($L542&gt;0.005,$D542&lt;Hoje),Hoje-$D542,0))</f>
        <v>0</v>
      </c>
      <c r="K542" s="20">
        <f>IF($J542="","",IF($L542&lt;=0.005,"Pago",IF($J542&lt;=0,"A vencer",IF($J542&lt;=15,"1-15 dias",IF($J542&lt;=30,"16-30 dias",IF($J542&lt;=60,"31-60 dias","Mais de 60 dias"))))))</f>
        <v>0</v>
      </c>
      <c r="L542" s="21">
        <f>IF($E542="","",MAX(0,$E542-N($G542)))</f>
        <v>0</v>
      </c>
      <c r="M542" s="21">
        <f>IF(OR($L542="",$J542=""),"",IF($J542&gt;0,ROUND($L542*Multa+$L542*Juros/30*$J542,2),0))</f>
        <v>0</v>
      </c>
      <c r="N542" s="22">
        <f>IF($L542="","",IF($L542&lt;=0.005,0,$L542+N($M542)))</f>
        <v>0</v>
      </c>
      <c r="O542" s="23">
        <f>IF(OR($I542="Vencido",$I542="Vencido (parcial)"),"Olá, "&amp;$A542&amp;"! Consta em aberto '"&amp;$B542&amp;"' com vencimento em "&amp;DAY($D542)&amp;"/"&amp;MONTH($D542)&amp;"/"&amp;YEAR($D542)&amp;", no valor de R$ "&amp;FIXED($N542,2)&amp;" (com multa e juros). Podemos ajudar a regularizar hoje? Obrigado!",IF($I542="Vence hoje","Olá, "&amp;$A542&amp;"! Lembrete: '"&amp;$B542&amp;"' vence hoje, no valor de R$ "&amp;FIXED($L542,2)&amp;". Obrigado!",""))</f>
        <v>0</v>
      </c>
    </row>
    <row r="543" spans="1:15">
      <c r="A543" s="13"/>
      <c r="B543" s="13"/>
      <c r="C543" s="17"/>
      <c r="D543" s="17"/>
      <c r="E543" s="18"/>
      <c r="F543" s="17"/>
      <c r="G543" s="18"/>
      <c r="H543" s="13"/>
      <c r="I543" s="19">
        <f>IF($E543="","",IF($L543&lt;=0.005,"Pago",IF($D543="","Sem vencimento",IF($D543&lt;Hoje,IF(N($G543)&gt;0,"Vencido (parcial)","Vencido"),IF($D543=Hoje,"Vence hoje","A vencer")))))</f>
        <v>0</v>
      </c>
      <c r="J543" s="20">
        <f>IF(OR($E543="",$D543=""),"",IF(AND($L543&gt;0.005,$D543&lt;Hoje),Hoje-$D543,0))</f>
        <v>0</v>
      </c>
      <c r="K543" s="20">
        <f>IF($J543="","",IF($L543&lt;=0.005,"Pago",IF($J543&lt;=0,"A vencer",IF($J543&lt;=15,"1-15 dias",IF($J543&lt;=30,"16-30 dias",IF($J543&lt;=60,"31-60 dias","Mais de 60 dias"))))))</f>
        <v>0</v>
      </c>
      <c r="L543" s="21">
        <f>IF($E543="","",MAX(0,$E543-N($G543)))</f>
        <v>0</v>
      </c>
      <c r="M543" s="21">
        <f>IF(OR($L543="",$J543=""),"",IF($J543&gt;0,ROUND($L543*Multa+$L543*Juros/30*$J543,2),0))</f>
        <v>0</v>
      </c>
      <c r="N543" s="22">
        <f>IF($L543="","",IF($L543&lt;=0.005,0,$L543+N($M543)))</f>
        <v>0</v>
      </c>
      <c r="O543" s="23">
        <f>IF(OR($I543="Vencido",$I543="Vencido (parcial)"),"Olá, "&amp;$A543&amp;"! Consta em aberto '"&amp;$B543&amp;"' com vencimento em "&amp;DAY($D543)&amp;"/"&amp;MONTH($D543)&amp;"/"&amp;YEAR($D543)&amp;", no valor de R$ "&amp;FIXED($N543,2)&amp;" (com multa e juros). Podemos ajudar a regularizar hoje? Obrigado!",IF($I543="Vence hoje","Olá, "&amp;$A543&amp;"! Lembrete: '"&amp;$B543&amp;"' vence hoje, no valor de R$ "&amp;FIXED($L543,2)&amp;". Obrigado!",""))</f>
        <v>0</v>
      </c>
    </row>
    <row r="544" spans="1:15">
      <c r="A544" s="13"/>
      <c r="B544" s="13"/>
      <c r="C544" s="17"/>
      <c r="D544" s="17"/>
      <c r="E544" s="18"/>
      <c r="F544" s="17"/>
      <c r="G544" s="18"/>
      <c r="H544" s="13"/>
      <c r="I544" s="19">
        <f>IF($E544="","",IF($L544&lt;=0.005,"Pago",IF($D544="","Sem vencimento",IF($D544&lt;Hoje,IF(N($G544)&gt;0,"Vencido (parcial)","Vencido"),IF($D544=Hoje,"Vence hoje","A vencer")))))</f>
        <v>0</v>
      </c>
      <c r="J544" s="20">
        <f>IF(OR($E544="",$D544=""),"",IF(AND($L544&gt;0.005,$D544&lt;Hoje),Hoje-$D544,0))</f>
        <v>0</v>
      </c>
      <c r="K544" s="20">
        <f>IF($J544="","",IF($L544&lt;=0.005,"Pago",IF($J544&lt;=0,"A vencer",IF($J544&lt;=15,"1-15 dias",IF($J544&lt;=30,"16-30 dias",IF($J544&lt;=60,"31-60 dias","Mais de 60 dias"))))))</f>
        <v>0</v>
      </c>
      <c r="L544" s="21">
        <f>IF($E544="","",MAX(0,$E544-N($G544)))</f>
        <v>0</v>
      </c>
      <c r="M544" s="21">
        <f>IF(OR($L544="",$J544=""),"",IF($J544&gt;0,ROUND($L544*Multa+$L544*Juros/30*$J544,2),0))</f>
        <v>0</v>
      </c>
      <c r="N544" s="22">
        <f>IF($L544="","",IF($L544&lt;=0.005,0,$L544+N($M544)))</f>
        <v>0</v>
      </c>
      <c r="O544" s="23">
        <f>IF(OR($I544="Vencido",$I544="Vencido (parcial)"),"Olá, "&amp;$A544&amp;"! Consta em aberto '"&amp;$B544&amp;"' com vencimento em "&amp;DAY($D544)&amp;"/"&amp;MONTH($D544)&amp;"/"&amp;YEAR($D544)&amp;", no valor de R$ "&amp;FIXED($N544,2)&amp;" (com multa e juros). Podemos ajudar a regularizar hoje? Obrigado!",IF($I544="Vence hoje","Olá, "&amp;$A544&amp;"! Lembrete: '"&amp;$B544&amp;"' vence hoje, no valor de R$ "&amp;FIXED($L544,2)&amp;". Obrigado!",""))</f>
        <v>0</v>
      </c>
    </row>
    <row r="545" spans="1:15">
      <c r="A545" s="13"/>
      <c r="B545" s="13"/>
      <c r="C545" s="17"/>
      <c r="D545" s="17"/>
      <c r="E545" s="18"/>
      <c r="F545" s="17"/>
      <c r="G545" s="18"/>
      <c r="H545" s="13"/>
      <c r="I545" s="19">
        <f>IF($E545="","",IF($L545&lt;=0.005,"Pago",IF($D545="","Sem vencimento",IF($D545&lt;Hoje,IF(N($G545)&gt;0,"Vencido (parcial)","Vencido"),IF($D545=Hoje,"Vence hoje","A vencer")))))</f>
        <v>0</v>
      </c>
      <c r="J545" s="20">
        <f>IF(OR($E545="",$D545=""),"",IF(AND($L545&gt;0.005,$D545&lt;Hoje),Hoje-$D545,0))</f>
        <v>0</v>
      </c>
      <c r="K545" s="20">
        <f>IF($J545="","",IF($L545&lt;=0.005,"Pago",IF($J545&lt;=0,"A vencer",IF($J545&lt;=15,"1-15 dias",IF($J545&lt;=30,"16-30 dias",IF($J545&lt;=60,"31-60 dias","Mais de 60 dias"))))))</f>
        <v>0</v>
      </c>
      <c r="L545" s="21">
        <f>IF($E545="","",MAX(0,$E545-N($G545)))</f>
        <v>0</v>
      </c>
      <c r="M545" s="21">
        <f>IF(OR($L545="",$J545=""),"",IF($J545&gt;0,ROUND($L545*Multa+$L545*Juros/30*$J545,2),0))</f>
        <v>0</v>
      </c>
      <c r="N545" s="22">
        <f>IF($L545="","",IF($L545&lt;=0.005,0,$L545+N($M545)))</f>
        <v>0</v>
      </c>
      <c r="O545" s="23">
        <f>IF(OR($I545="Vencido",$I545="Vencido (parcial)"),"Olá, "&amp;$A545&amp;"! Consta em aberto '"&amp;$B545&amp;"' com vencimento em "&amp;DAY($D545)&amp;"/"&amp;MONTH($D545)&amp;"/"&amp;YEAR($D545)&amp;", no valor de R$ "&amp;FIXED($N545,2)&amp;" (com multa e juros). Podemos ajudar a regularizar hoje? Obrigado!",IF($I545="Vence hoje","Olá, "&amp;$A545&amp;"! Lembrete: '"&amp;$B545&amp;"' vence hoje, no valor de R$ "&amp;FIXED($L545,2)&amp;". Obrigado!",""))</f>
        <v>0</v>
      </c>
    </row>
    <row r="546" spans="1:15">
      <c r="A546" s="13"/>
      <c r="B546" s="13"/>
      <c r="C546" s="17"/>
      <c r="D546" s="17"/>
      <c r="E546" s="18"/>
      <c r="F546" s="17"/>
      <c r="G546" s="18"/>
      <c r="H546" s="13"/>
      <c r="I546" s="19">
        <f>IF($E546="","",IF($L546&lt;=0.005,"Pago",IF($D546="","Sem vencimento",IF($D546&lt;Hoje,IF(N($G546)&gt;0,"Vencido (parcial)","Vencido"),IF($D546=Hoje,"Vence hoje","A vencer")))))</f>
        <v>0</v>
      </c>
      <c r="J546" s="20">
        <f>IF(OR($E546="",$D546=""),"",IF(AND($L546&gt;0.005,$D546&lt;Hoje),Hoje-$D546,0))</f>
        <v>0</v>
      </c>
      <c r="K546" s="20">
        <f>IF($J546="","",IF($L546&lt;=0.005,"Pago",IF($J546&lt;=0,"A vencer",IF($J546&lt;=15,"1-15 dias",IF($J546&lt;=30,"16-30 dias",IF($J546&lt;=60,"31-60 dias","Mais de 60 dias"))))))</f>
        <v>0</v>
      </c>
      <c r="L546" s="21">
        <f>IF($E546="","",MAX(0,$E546-N($G546)))</f>
        <v>0</v>
      </c>
      <c r="M546" s="21">
        <f>IF(OR($L546="",$J546=""),"",IF($J546&gt;0,ROUND($L546*Multa+$L546*Juros/30*$J546,2),0))</f>
        <v>0</v>
      </c>
      <c r="N546" s="22">
        <f>IF($L546="","",IF($L546&lt;=0.005,0,$L546+N($M546)))</f>
        <v>0</v>
      </c>
      <c r="O546" s="23">
        <f>IF(OR($I546="Vencido",$I546="Vencido (parcial)"),"Olá, "&amp;$A546&amp;"! Consta em aberto '"&amp;$B546&amp;"' com vencimento em "&amp;DAY($D546)&amp;"/"&amp;MONTH($D546)&amp;"/"&amp;YEAR($D546)&amp;", no valor de R$ "&amp;FIXED($N546,2)&amp;" (com multa e juros). Podemos ajudar a regularizar hoje? Obrigado!",IF($I546="Vence hoje","Olá, "&amp;$A546&amp;"! Lembrete: '"&amp;$B546&amp;"' vence hoje, no valor de R$ "&amp;FIXED($L546,2)&amp;". Obrigado!",""))</f>
        <v>0</v>
      </c>
    </row>
    <row r="547" spans="1:15">
      <c r="A547" s="13"/>
      <c r="B547" s="13"/>
      <c r="C547" s="17"/>
      <c r="D547" s="17"/>
      <c r="E547" s="18"/>
      <c r="F547" s="17"/>
      <c r="G547" s="18"/>
      <c r="H547" s="13"/>
      <c r="I547" s="19">
        <f>IF($E547="","",IF($L547&lt;=0.005,"Pago",IF($D547="","Sem vencimento",IF($D547&lt;Hoje,IF(N($G547)&gt;0,"Vencido (parcial)","Vencido"),IF($D547=Hoje,"Vence hoje","A vencer")))))</f>
        <v>0</v>
      </c>
      <c r="J547" s="20">
        <f>IF(OR($E547="",$D547=""),"",IF(AND($L547&gt;0.005,$D547&lt;Hoje),Hoje-$D547,0))</f>
        <v>0</v>
      </c>
      <c r="K547" s="20">
        <f>IF($J547="","",IF($L547&lt;=0.005,"Pago",IF($J547&lt;=0,"A vencer",IF($J547&lt;=15,"1-15 dias",IF($J547&lt;=30,"16-30 dias",IF($J547&lt;=60,"31-60 dias","Mais de 60 dias"))))))</f>
        <v>0</v>
      </c>
      <c r="L547" s="21">
        <f>IF($E547="","",MAX(0,$E547-N($G547)))</f>
        <v>0</v>
      </c>
      <c r="M547" s="21">
        <f>IF(OR($L547="",$J547=""),"",IF($J547&gt;0,ROUND($L547*Multa+$L547*Juros/30*$J547,2),0))</f>
        <v>0</v>
      </c>
      <c r="N547" s="22">
        <f>IF($L547="","",IF($L547&lt;=0.005,0,$L547+N($M547)))</f>
        <v>0</v>
      </c>
      <c r="O547" s="23">
        <f>IF(OR($I547="Vencido",$I547="Vencido (parcial)"),"Olá, "&amp;$A547&amp;"! Consta em aberto '"&amp;$B547&amp;"' com vencimento em "&amp;DAY($D547)&amp;"/"&amp;MONTH($D547)&amp;"/"&amp;YEAR($D547)&amp;", no valor de R$ "&amp;FIXED($N547,2)&amp;" (com multa e juros). Podemos ajudar a regularizar hoje? Obrigado!",IF($I547="Vence hoje","Olá, "&amp;$A547&amp;"! Lembrete: '"&amp;$B547&amp;"' vence hoje, no valor de R$ "&amp;FIXED($L547,2)&amp;". Obrigado!",""))</f>
        <v>0</v>
      </c>
    </row>
    <row r="548" spans="1:15">
      <c r="A548" s="13"/>
      <c r="B548" s="13"/>
      <c r="C548" s="17"/>
      <c r="D548" s="17"/>
      <c r="E548" s="18"/>
      <c r="F548" s="17"/>
      <c r="G548" s="18"/>
      <c r="H548" s="13"/>
      <c r="I548" s="19">
        <f>IF($E548="","",IF($L548&lt;=0.005,"Pago",IF($D548="","Sem vencimento",IF($D548&lt;Hoje,IF(N($G548)&gt;0,"Vencido (parcial)","Vencido"),IF($D548=Hoje,"Vence hoje","A vencer")))))</f>
        <v>0</v>
      </c>
      <c r="J548" s="20">
        <f>IF(OR($E548="",$D548=""),"",IF(AND($L548&gt;0.005,$D548&lt;Hoje),Hoje-$D548,0))</f>
        <v>0</v>
      </c>
      <c r="K548" s="20">
        <f>IF($J548="","",IF($L548&lt;=0.005,"Pago",IF($J548&lt;=0,"A vencer",IF($J548&lt;=15,"1-15 dias",IF($J548&lt;=30,"16-30 dias",IF($J548&lt;=60,"31-60 dias","Mais de 60 dias"))))))</f>
        <v>0</v>
      </c>
      <c r="L548" s="21">
        <f>IF($E548="","",MAX(0,$E548-N($G548)))</f>
        <v>0</v>
      </c>
      <c r="M548" s="21">
        <f>IF(OR($L548="",$J548=""),"",IF($J548&gt;0,ROUND($L548*Multa+$L548*Juros/30*$J548,2),0))</f>
        <v>0</v>
      </c>
      <c r="N548" s="22">
        <f>IF($L548="","",IF($L548&lt;=0.005,0,$L548+N($M548)))</f>
        <v>0</v>
      </c>
      <c r="O548" s="23">
        <f>IF(OR($I548="Vencido",$I548="Vencido (parcial)"),"Olá, "&amp;$A548&amp;"! Consta em aberto '"&amp;$B548&amp;"' com vencimento em "&amp;DAY($D548)&amp;"/"&amp;MONTH($D548)&amp;"/"&amp;YEAR($D548)&amp;", no valor de R$ "&amp;FIXED($N548,2)&amp;" (com multa e juros). Podemos ajudar a regularizar hoje? Obrigado!",IF($I548="Vence hoje","Olá, "&amp;$A548&amp;"! Lembrete: '"&amp;$B548&amp;"' vence hoje, no valor de R$ "&amp;FIXED($L548,2)&amp;". Obrigado!",""))</f>
        <v>0</v>
      </c>
    </row>
    <row r="549" spans="1:15">
      <c r="A549" s="13"/>
      <c r="B549" s="13"/>
      <c r="C549" s="17"/>
      <c r="D549" s="17"/>
      <c r="E549" s="18"/>
      <c r="F549" s="17"/>
      <c r="G549" s="18"/>
      <c r="H549" s="13"/>
      <c r="I549" s="19">
        <f>IF($E549="","",IF($L549&lt;=0.005,"Pago",IF($D549="","Sem vencimento",IF($D549&lt;Hoje,IF(N($G549)&gt;0,"Vencido (parcial)","Vencido"),IF($D549=Hoje,"Vence hoje","A vencer")))))</f>
        <v>0</v>
      </c>
      <c r="J549" s="20">
        <f>IF(OR($E549="",$D549=""),"",IF(AND($L549&gt;0.005,$D549&lt;Hoje),Hoje-$D549,0))</f>
        <v>0</v>
      </c>
      <c r="K549" s="20">
        <f>IF($J549="","",IF($L549&lt;=0.005,"Pago",IF($J549&lt;=0,"A vencer",IF($J549&lt;=15,"1-15 dias",IF($J549&lt;=30,"16-30 dias",IF($J549&lt;=60,"31-60 dias","Mais de 60 dias"))))))</f>
        <v>0</v>
      </c>
      <c r="L549" s="21">
        <f>IF($E549="","",MAX(0,$E549-N($G549)))</f>
        <v>0</v>
      </c>
      <c r="M549" s="21">
        <f>IF(OR($L549="",$J549=""),"",IF($J549&gt;0,ROUND($L549*Multa+$L549*Juros/30*$J549,2),0))</f>
        <v>0</v>
      </c>
      <c r="N549" s="22">
        <f>IF($L549="","",IF($L549&lt;=0.005,0,$L549+N($M549)))</f>
        <v>0</v>
      </c>
      <c r="O549" s="23">
        <f>IF(OR($I549="Vencido",$I549="Vencido (parcial)"),"Olá, "&amp;$A549&amp;"! Consta em aberto '"&amp;$B549&amp;"' com vencimento em "&amp;DAY($D549)&amp;"/"&amp;MONTH($D549)&amp;"/"&amp;YEAR($D549)&amp;", no valor de R$ "&amp;FIXED($N549,2)&amp;" (com multa e juros). Podemos ajudar a regularizar hoje? Obrigado!",IF($I549="Vence hoje","Olá, "&amp;$A549&amp;"! Lembrete: '"&amp;$B549&amp;"' vence hoje, no valor de R$ "&amp;FIXED($L549,2)&amp;". Obrigado!",""))</f>
        <v>0</v>
      </c>
    </row>
    <row r="550" spans="1:15">
      <c r="A550" s="13"/>
      <c r="B550" s="13"/>
      <c r="C550" s="17"/>
      <c r="D550" s="17"/>
      <c r="E550" s="18"/>
      <c r="F550" s="17"/>
      <c r="G550" s="18"/>
      <c r="H550" s="13"/>
      <c r="I550" s="19">
        <f>IF($E550="","",IF($L550&lt;=0.005,"Pago",IF($D550="","Sem vencimento",IF($D550&lt;Hoje,IF(N($G550)&gt;0,"Vencido (parcial)","Vencido"),IF($D550=Hoje,"Vence hoje","A vencer")))))</f>
        <v>0</v>
      </c>
      <c r="J550" s="20">
        <f>IF(OR($E550="",$D550=""),"",IF(AND($L550&gt;0.005,$D550&lt;Hoje),Hoje-$D550,0))</f>
        <v>0</v>
      </c>
      <c r="K550" s="20">
        <f>IF($J550="","",IF($L550&lt;=0.005,"Pago",IF($J550&lt;=0,"A vencer",IF($J550&lt;=15,"1-15 dias",IF($J550&lt;=30,"16-30 dias",IF($J550&lt;=60,"31-60 dias","Mais de 60 dias"))))))</f>
        <v>0</v>
      </c>
      <c r="L550" s="21">
        <f>IF($E550="","",MAX(0,$E550-N($G550)))</f>
        <v>0</v>
      </c>
      <c r="M550" s="21">
        <f>IF(OR($L550="",$J550=""),"",IF($J550&gt;0,ROUND($L550*Multa+$L550*Juros/30*$J550,2),0))</f>
        <v>0</v>
      </c>
      <c r="N550" s="22">
        <f>IF($L550="","",IF($L550&lt;=0.005,0,$L550+N($M550)))</f>
        <v>0</v>
      </c>
      <c r="O550" s="23">
        <f>IF(OR($I550="Vencido",$I550="Vencido (parcial)"),"Olá, "&amp;$A550&amp;"! Consta em aberto '"&amp;$B550&amp;"' com vencimento em "&amp;DAY($D550)&amp;"/"&amp;MONTH($D550)&amp;"/"&amp;YEAR($D550)&amp;", no valor de R$ "&amp;FIXED($N550,2)&amp;" (com multa e juros). Podemos ajudar a regularizar hoje? Obrigado!",IF($I550="Vence hoje","Olá, "&amp;$A550&amp;"! Lembrete: '"&amp;$B550&amp;"' vence hoje, no valor de R$ "&amp;FIXED($L550,2)&amp;". Obrigado!",""))</f>
        <v>0</v>
      </c>
    </row>
    <row r="551" spans="1:15">
      <c r="A551" s="13"/>
      <c r="B551" s="13"/>
      <c r="C551" s="17"/>
      <c r="D551" s="17"/>
      <c r="E551" s="18"/>
      <c r="F551" s="17"/>
      <c r="G551" s="18"/>
      <c r="H551" s="13"/>
      <c r="I551" s="19">
        <f>IF($E551="","",IF($L551&lt;=0.005,"Pago",IF($D551="","Sem vencimento",IF($D551&lt;Hoje,IF(N($G551)&gt;0,"Vencido (parcial)","Vencido"),IF($D551=Hoje,"Vence hoje","A vencer")))))</f>
        <v>0</v>
      </c>
      <c r="J551" s="20">
        <f>IF(OR($E551="",$D551=""),"",IF(AND($L551&gt;0.005,$D551&lt;Hoje),Hoje-$D551,0))</f>
        <v>0</v>
      </c>
      <c r="K551" s="20">
        <f>IF($J551="","",IF($L551&lt;=0.005,"Pago",IF($J551&lt;=0,"A vencer",IF($J551&lt;=15,"1-15 dias",IF($J551&lt;=30,"16-30 dias",IF($J551&lt;=60,"31-60 dias","Mais de 60 dias"))))))</f>
        <v>0</v>
      </c>
      <c r="L551" s="21">
        <f>IF($E551="","",MAX(0,$E551-N($G551)))</f>
        <v>0</v>
      </c>
      <c r="M551" s="21">
        <f>IF(OR($L551="",$J551=""),"",IF($J551&gt;0,ROUND($L551*Multa+$L551*Juros/30*$J551,2),0))</f>
        <v>0</v>
      </c>
      <c r="N551" s="22">
        <f>IF($L551="","",IF($L551&lt;=0.005,0,$L551+N($M551)))</f>
        <v>0</v>
      </c>
      <c r="O551" s="23">
        <f>IF(OR($I551="Vencido",$I551="Vencido (parcial)"),"Olá, "&amp;$A551&amp;"! Consta em aberto '"&amp;$B551&amp;"' com vencimento em "&amp;DAY($D551)&amp;"/"&amp;MONTH($D551)&amp;"/"&amp;YEAR($D551)&amp;", no valor de R$ "&amp;FIXED($N551,2)&amp;" (com multa e juros). Podemos ajudar a regularizar hoje? Obrigado!",IF($I551="Vence hoje","Olá, "&amp;$A551&amp;"! Lembrete: '"&amp;$B551&amp;"' vence hoje, no valor de R$ "&amp;FIXED($L551,2)&amp;". Obrigado!",""))</f>
        <v>0</v>
      </c>
    </row>
    <row r="552" spans="1:15">
      <c r="A552" s="13"/>
      <c r="B552" s="13"/>
      <c r="C552" s="17"/>
      <c r="D552" s="17"/>
      <c r="E552" s="18"/>
      <c r="F552" s="17"/>
      <c r="G552" s="18"/>
      <c r="H552" s="13"/>
      <c r="I552" s="19">
        <f>IF($E552="","",IF($L552&lt;=0.005,"Pago",IF($D552="","Sem vencimento",IF($D552&lt;Hoje,IF(N($G552)&gt;0,"Vencido (parcial)","Vencido"),IF($D552=Hoje,"Vence hoje","A vencer")))))</f>
        <v>0</v>
      </c>
      <c r="J552" s="20">
        <f>IF(OR($E552="",$D552=""),"",IF(AND($L552&gt;0.005,$D552&lt;Hoje),Hoje-$D552,0))</f>
        <v>0</v>
      </c>
      <c r="K552" s="20">
        <f>IF($J552="","",IF($L552&lt;=0.005,"Pago",IF($J552&lt;=0,"A vencer",IF($J552&lt;=15,"1-15 dias",IF($J552&lt;=30,"16-30 dias",IF($J552&lt;=60,"31-60 dias","Mais de 60 dias"))))))</f>
        <v>0</v>
      </c>
      <c r="L552" s="21">
        <f>IF($E552="","",MAX(0,$E552-N($G552)))</f>
        <v>0</v>
      </c>
      <c r="M552" s="21">
        <f>IF(OR($L552="",$J552=""),"",IF($J552&gt;0,ROUND($L552*Multa+$L552*Juros/30*$J552,2),0))</f>
        <v>0</v>
      </c>
      <c r="N552" s="22">
        <f>IF($L552="","",IF($L552&lt;=0.005,0,$L552+N($M552)))</f>
        <v>0</v>
      </c>
      <c r="O552" s="23">
        <f>IF(OR($I552="Vencido",$I552="Vencido (parcial)"),"Olá, "&amp;$A552&amp;"! Consta em aberto '"&amp;$B552&amp;"' com vencimento em "&amp;DAY($D552)&amp;"/"&amp;MONTH($D552)&amp;"/"&amp;YEAR($D552)&amp;", no valor de R$ "&amp;FIXED($N552,2)&amp;" (com multa e juros). Podemos ajudar a regularizar hoje? Obrigado!",IF($I552="Vence hoje","Olá, "&amp;$A552&amp;"! Lembrete: '"&amp;$B552&amp;"' vence hoje, no valor de R$ "&amp;FIXED($L552,2)&amp;". Obrigado!",""))</f>
        <v>0</v>
      </c>
    </row>
    <row r="553" spans="1:15">
      <c r="A553" s="13"/>
      <c r="B553" s="13"/>
      <c r="C553" s="17"/>
      <c r="D553" s="17"/>
      <c r="E553" s="18"/>
      <c r="F553" s="17"/>
      <c r="G553" s="18"/>
      <c r="H553" s="13"/>
      <c r="I553" s="19">
        <f>IF($E553="","",IF($L553&lt;=0.005,"Pago",IF($D553="","Sem vencimento",IF($D553&lt;Hoje,IF(N($G553)&gt;0,"Vencido (parcial)","Vencido"),IF($D553=Hoje,"Vence hoje","A vencer")))))</f>
        <v>0</v>
      </c>
      <c r="J553" s="20">
        <f>IF(OR($E553="",$D553=""),"",IF(AND($L553&gt;0.005,$D553&lt;Hoje),Hoje-$D553,0))</f>
        <v>0</v>
      </c>
      <c r="K553" s="20">
        <f>IF($J553="","",IF($L553&lt;=0.005,"Pago",IF($J553&lt;=0,"A vencer",IF($J553&lt;=15,"1-15 dias",IF($J553&lt;=30,"16-30 dias",IF($J553&lt;=60,"31-60 dias","Mais de 60 dias"))))))</f>
        <v>0</v>
      </c>
      <c r="L553" s="21">
        <f>IF($E553="","",MAX(0,$E553-N($G553)))</f>
        <v>0</v>
      </c>
      <c r="M553" s="21">
        <f>IF(OR($L553="",$J553=""),"",IF($J553&gt;0,ROUND($L553*Multa+$L553*Juros/30*$J553,2),0))</f>
        <v>0</v>
      </c>
      <c r="N553" s="22">
        <f>IF($L553="","",IF($L553&lt;=0.005,0,$L553+N($M553)))</f>
        <v>0</v>
      </c>
      <c r="O553" s="23">
        <f>IF(OR($I553="Vencido",$I553="Vencido (parcial)"),"Olá, "&amp;$A553&amp;"! Consta em aberto '"&amp;$B553&amp;"' com vencimento em "&amp;DAY($D553)&amp;"/"&amp;MONTH($D553)&amp;"/"&amp;YEAR($D553)&amp;", no valor de R$ "&amp;FIXED($N553,2)&amp;" (com multa e juros). Podemos ajudar a regularizar hoje? Obrigado!",IF($I553="Vence hoje","Olá, "&amp;$A553&amp;"! Lembrete: '"&amp;$B553&amp;"' vence hoje, no valor de R$ "&amp;FIXED($L553,2)&amp;". Obrigado!",""))</f>
        <v>0</v>
      </c>
    </row>
    <row r="554" spans="1:15">
      <c r="A554" s="13"/>
      <c r="B554" s="13"/>
      <c r="C554" s="17"/>
      <c r="D554" s="17"/>
      <c r="E554" s="18"/>
      <c r="F554" s="17"/>
      <c r="G554" s="18"/>
      <c r="H554" s="13"/>
      <c r="I554" s="19">
        <f>IF($E554="","",IF($L554&lt;=0.005,"Pago",IF($D554="","Sem vencimento",IF($D554&lt;Hoje,IF(N($G554)&gt;0,"Vencido (parcial)","Vencido"),IF($D554=Hoje,"Vence hoje","A vencer")))))</f>
        <v>0</v>
      </c>
      <c r="J554" s="20">
        <f>IF(OR($E554="",$D554=""),"",IF(AND($L554&gt;0.005,$D554&lt;Hoje),Hoje-$D554,0))</f>
        <v>0</v>
      </c>
      <c r="K554" s="20">
        <f>IF($J554="","",IF($L554&lt;=0.005,"Pago",IF($J554&lt;=0,"A vencer",IF($J554&lt;=15,"1-15 dias",IF($J554&lt;=30,"16-30 dias",IF($J554&lt;=60,"31-60 dias","Mais de 60 dias"))))))</f>
        <v>0</v>
      </c>
      <c r="L554" s="21">
        <f>IF($E554="","",MAX(0,$E554-N($G554)))</f>
        <v>0</v>
      </c>
      <c r="M554" s="21">
        <f>IF(OR($L554="",$J554=""),"",IF($J554&gt;0,ROUND($L554*Multa+$L554*Juros/30*$J554,2),0))</f>
        <v>0</v>
      </c>
      <c r="N554" s="22">
        <f>IF($L554="","",IF($L554&lt;=0.005,0,$L554+N($M554)))</f>
        <v>0</v>
      </c>
      <c r="O554" s="23">
        <f>IF(OR($I554="Vencido",$I554="Vencido (parcial)"),"Olá, "&amp;$A554&amp;"! Consta em aberto '"&amp;$B554&amp;"' com vencimento em "&amp;DAY($D554)&amp;"/"&amp;MONTH($D554)&amp;"/"&amp;YEAR($D554)&amp;", no valor de R$ "&amp;FIXED($N554,2)&amp;" (com multa e juros). Podemos ajudar a regularizar hoje? Obrigado!",IF($I554="Vence hoje","Olá, "&amp;$A554&amp;"! Lembrete: '"&amp;$B554&amp;"' vence hoje, no valor de R$ "&amp;FIXED($L554,2)&amp;". Obrigado!",""))</f>
        <v>0</v>
      </c>
    </row>
    <row r="555" spans="1:15">
      <c r="A555" s="13"/>
      <c r="B555" s="13"/>
      <c r="C555" s="17"/>
      <c r="D555" s="17"/>
      <c r="E555" s="18"/>
      <c r="F555" s="17"/>
      <c r="G555" s="18"/>
      <c r="H555" s="13"/>
      <c r="I555" s="19">
        <f>IF($E555="","",IF($L555&lt;=0.005,"Pago",IF($D555="","Sem vencimento",IF($D555&lt;Hoje,IF(N($G555)&gt;0,"Vencido (parcial)","Vencido"),IF($D555=Hoje,"Vence hoje","A vencer")))))</f>
        <v>0</v>
      </c>
      <c r="J555" s="20">
        <f>IF(OR($E555="",$D555=""),"",IF(AND($L555&gt;0.005,$D555&lt;Hoje),Hoje-$D555,0))</f>
        <v>0</v>
      </c>
      <c r="K555" s="20">
        <f>IF($J555="","",IF($L555&lt;=0.005,"Pago",IF($J555&lt;=0,"A vencer",IF($J555&lt;=15,"1-15 dias",IF($J555&lt;=30,"16-30 dias",IF($J555&lt;=60,"31-60 dias","Mais de 60 dias"))))))</f>
        <v>0</v>
      </c>
      <c r="L555" s="21">
        <f>IF($E555="","",MAX(0,$E555-N($G555)))</f>
        <v>0</v>
      </c>
      <c r="M555" s="21">
        <f>IF(OR($L555="",$J555=""),"",IF($J555&gt;0,ROUND($L555*Multa+$L555*Juros/30*$J555,2),0))</f>
        <v>0</v>
      </c>
      <c r="N555" s="22">
        <f>IF($L555="","",IF($L555&lt;=0.005,0,$L555+N($M555)))</f>
        <v>0</v>
      </c>
      <c r="O555" s="23">
        <f>IF(OR($I555="Vencido",$I555="Vencido (parcial)"),"Olá, "&amp;$A555&amp;"! Consta em aberto '"&amp;$B555&amp;"' com vencimento em "&amp;DAY($D555)&amp;"/"&amp;MONTH($D555)&amp;"/"&amp;YEAR($D555)&amp;", no valor de R$ "&amp;FIXED($N555,2)&amp;" (com multa e juros). Podemos ajudar a regularizar hoje? Obrigado!",IF($I555="Vence hoje","Olá, "&amp;$A555&amp;"! Lembrete: '"&amp;$B555&amp;"' vence hoje, no valor de R$ "&amp;FIXED($L555,2)&amp;". Obrigado!",""))</f>
        <v>0</v>
      </c>
    </row>
    <row r="556" spans="1:15">
      <c r="A556" s="13"/>
      <c r="B556" s="13"/>
      <c r="C556" s="17"/>
      <c r="D556" s="17"/>
      <c r="E556" s="18"/>
      <c r="F556" s="17"/>
      <c r="G556" s="18"/>
      <c r="H556" s="13"/>
      <c r="I556" s="19">
        <f>IF($E556="","",IF($L556&lt;=0.005,"Pago",IF($D556="","Sem vencimento",IF($D556&lt;Hoje,IF(N($G556)&gt;0,"Vencido (parcial)","Vencido"),IF($D556=Hoje,"Vence hoje","A vencer")))))</f>
        <v>0</v>
      </c>
      <c r="J556" s="20">
        <f>IF(OR($E556="",$D556=""),"",IF(AND($L556&gt;0.005,$D556&lt;Hoje),Hoje-$D556,0))</f>
        <v>0</v>
      </c>
      <c r="K556" s="20">
        <f>IF($J556="","",IF($L556&lt;=0.005,"Pago",IF($J556&lt;=0,"A vencer",IF($J556&lt;=15,"1-15 dias",IF($J556&lt;=30,"16-30 dias",IF($J556&lt;=60,"31-60 dias","Mais de 60 dias"))))))</f>
        <v>0</v>
      </c>
      <c r="L556" s="21">
        <f>IF($E556="","",MAX(0,$E556-N($G556)))</f>
        <v>0</v>
      </c>
      <c r="M556" s="21">
        <f>IF(OR($L556="",$J556=""),"",IF($J556&gt;0,ROUND($L556*Multa+$L556*Juros/30*$J556,2),0))</f>
        <v>0</v>
      </c>
      <c r="N556" s="22">
        <f>IF($L556="","",IF($L556&lt;=0.005,0,$L556+N($M556)))</f>
        <v>0</v>
      </c>
      <c r="O556" s="23">
        <f>IF(OR($I556="Vencido",$I556="Vencido (parcial)"),"Olá, "&amp;$A556&amp;"! Consta em aberto '"&amp;$B556&amp;"' com vencimento em "&amp;DAY($D556)&amp;"/"&amp;MONTH($D556)&amp;"/"&amp;YEAR($D556)&amp;", no valor de R$ "&amp;FIXED($N556,2)&amp;" (com multa e juros). Podemos ajudar a regularizar hoje? Obrigado!",IF($I556="Vence hoje","Olá, "&amp;$A556&amp;"! Lembrete: '"&amp;$B556&amp;"' vence hoje, no valor de R$ "&amp;FIXED($L556,2)&amp;". Obrigado!",""))</f>
        <v>0</v>
      </c>
    </row>
    <row r="557" spans="1:15">
      <c r="A557" s="13"/>
      <c r="B557" s="13"/>
      <c r="C557" s="17"/>
      <c r="D557" s="17"/>
      <c r="E557" s="18"/>
      <c r="F557" s="17"/>
      <c r="G557" s="18"/>
      <c r="H557" s="13"/>
      <c r="I557" s="19">
        <f>IF($E557="","",IF($L557&lt;=0.005,"Pago",IF($D557="","Sem vencimento",IF($D557&lt;Hoje,IF(N($G557)&gt;0,"Vencido (parcial)","Vencido"),IF($D557=Hoje,"Vence hoje","A vencer")))))</f>
        <v>0</v>
      </c>
      <c r="J557" s="20">
        <f>IF(OR($E557="",$D557=""),"",IF(AND($L557&gt;0.005,$D557&lt;Hoje),Hoje-$D557,0))</f>
        <v>0</v>
      </c>
      <c r="K557" s="20">
        <f>IF($J557="","",IF($L557&lt;=0.005,"Pago",IF($J557&lt;=0,"A vencer",IF($J557&lt;=15,"1-15 dias",IF($J557&lt;=30,"16-30 dias",IF($J557&lt;=60,"31-60 dias","Mais de 60 dias"))))))</f>
        <v>0</v>
      </c>
      <c r="L557" s="21">
        <f>IF($E557="","",MAX(0,$E557-N($G557)))</f>
        <v>0</v>
      </c>
      <c r="M557" s="21">
        <f>IF(OR($L557="",$J557=""),"",IF($J557&gt;0,ROUND($L557*Multa+$L557*Juros/30*$J557,2),0))</f>
        <v>0</v>
      </c>
      <c r="N557" s="22">
        <f>IF($L557="","",IF($L557&lt;=0.005,0,$L557+N($M557)))</f>
        <v>0</v>
      </c>
      <c r="O557" s="23">
        <f>IF(OR($I557="Vencido",$I557="Vencido (parcial)"),"Olá, "&amp;$A557&amp;"! Consta em aberto '"&amp;$B557&amp;"' com vencimento em "&amp;DAY($D557)&amp;"/"&amp;MONTH($D557)&amp;"/"&amp;YEAR($D557)&amp;", no valor de R$ "&amp;FIXED($N557,2)&amp;" (com multa e juros). Podemos ajudar a regularizar hoje? Obrigado!",IF($I557="Vence hoje","Olá, "&amp;$A557&amp;"! Lembrete: '"&amp;$B557&amp;"' vence hoje, no valor de R$ "&amp;FIXED($L557,2)&amp;". Obrigado!",""))</f>
        <v>0</v>
      </c>
    </row>
    <row r="558" spans="1:15">
      <c r="A558" s="13"/>
      <c r="B558" s="13"/>
      <c r="C558" s="17"/>
      <c r="D558" s="17"/>
      <c r="E558" s="18"/>
      <c r="F558" s="17"/>
      <c r="G558" s="18"/>
      <c r="H558" s="13"/>
      <c r="I558" s="19">
        <f>IF($E558="","",IF($L558&lt;=0.005,"Pago",IF($D558="","Sem vencimento",IF($D558&lt;Hoje,IF(N($G558)&gt;0,"Vencido (parcial)","Vencido"),IF($D558=Hoje,"Vence hoje","A vencer")))))</f>
        <v>0</v>
      </c>
      <c r="J558" s="20">
        <f>IF(OR($E558="",$D558=""),"",IF(AND($L558&gt;0.005,$D558&lt;Hoje),Hoje-$D558,0))</f>
        <v>0</v>
      </c>
      <c r="K558" s="20">
        <f>IF($J558="","",IF($L558&lt;=0.005,"Pago",IF($J558&lt;=0,"A vencer",IF($J558&lt;=15,"1-15 dias",IF($J558&lt;=30,"16-30 dias",IF($J558&lt;=60,"31-60 dias","Mais de 60 dias"))))))</f>
        <v>0</v>
      </c>
      <c r="L558" s="21">
        <f>IF($E558="","",MAX(0,$E558-N($G558)))</f>
        <v>0</v>
      </c>
      <c r="M558" s="21">
        <f>IF(OR($L558="",$J558=""),"",IF($J558&gt;0,ROUND($L558*Multa+$L558*Juros/30*$J558,2),0))</f>
        <v>0</v>
      </c>
      <c r="N558" s="22">
        <f>IF($L558="","",IF($L558&lt;=0.005,0,$L558+N($M558)))</f>
        <v>0</v>
      </c>
      <c r="O558" s="23">
        <f>IF(OR($I558="Vencido",$I558="Vencido (parcial)"),"Olá, "&amp;$A558&amp;"! Consta em aberto '"&amp;$B558&amp;"' com vencimento em "&amp;DAY($D558)&amp;"/"&amp;MONTH($D558)&amp;"/"&amp;YEAR($D558)&amp;", no valor de R$ "&amp;FIXED($N558,2)&amp;" (com multa e juros). Podemos ajudar a regularizar hoje? Obrigado!",IF($I558="Vence hoje","Olá, "&amp;$A558&amp;"! Lembrete: '"&amp;$B558&amp;"' vence hoje, no valor de R$ "&amp;FIXED($L558,2)&amp;". Obrigado!",""))</f>
        <v>0</v>
      </c>
    </row>
    <row r="559" spans="1:15">
      <c r="A559" s="13"/>
      <c r="B559" s="13"/>
      <c r="C559" s="17"/>
      <c r="D559" s="17"/>
      <c r="E559" s="18"/>
      <c r="F559" s="17"/>
      <c r="G559" s="18"/>
      <c r="H559" s="13"/>
      <c r="I559" s="19">
        <f>IF($E559="","",IF($L559&lt;=0.005,"Pago",IF($D559="","Sem vencimento",IF($D559&lt;Hoje,IF(N($G559)&gt;0,"Vencido (parcial)","Vencido"),IF($D559=Hoje,"Vence hoje","A vencer")))))</f>
        <v>0</v>
      </c>
      <c r="J559" s="20">
        <f>IF(OR($E559="",$D559=""),"",IF(AND($L559&gt;0.005,$D559&lt;Hoje),Hoje-$D559,0))</f>
        <v>0</v>
      </c>
      <c r="K559" s="20">
        <f>IF($J559="","",IF($L559&lt;=0.005,"Pago",IF($J559&lt;=0,"A vencer",IF($J559&lt;=15,"1-15 dias",IF($J559&lt;=30,"16-30 dias",IF($J559&lt;=60,"31-60 dias","Mais de 60 dias"))))))</f>
        <v>0</v>
      </c>
      <c r="L559" s="21">
        <f>IF($E559="","",MAX(0,$E559-N($G559)))</f>
        <v>0</v>
      </c>
      <c r="M559" s="21">
        <f>IF(OR($L559="",$J559=""),"",IF($J559&gt;0,ROUND($L559*Multa+$L559*Juros/30*$J559,2),0))</f>
        <v>0</v>
      </c>
      <c r="N559" s="22">
        <f>IF($L559="","",IF($L559&lt;=0.005,0,$L559+N($M559)))</f>
        <v>0</v>
      </c>
      <c r="O559" s="23">
        <f>IF(OR($I559="Vencido",$I559="Vencido (parcial)"),"Olá, "&amp;$A559&amp;"! Consta em aberto '"&amp;$B559&amp;"' com vencimento em "&amp;DAY($D559)&amp;"/"&amp;MONTH($D559)&amp;"/"&amp;YEAR($D559)&amp;", no valor de R$ "&amp;FIXED($N559,2)&amp;" (com multa e juros). Podemos ajudar a regularizar hoje? Obrigado!",IF($I559="Vence hoje","Olá, "&amp;$A559&amp;"! Lembrete: '"&amp;$B559&amp;"' vence hoje, no valor de R$ "&amp;FIXED($L559,2)&amp;". Obrigado!",""))</f>
        <v>0</v>
      </c>
    </row>
    <row r="560" spans="1:15">
      <c r="A560" s="13"/>
      <c r="B560" s="13"/>
      <c r="C560" s="17"/>
      <c r="D560" s="17"/>
      <c r="E560" s="18"/>
      <c r="F560" s="17"/>
      <c r="G560" s="18"/>
      <c r="H560" s="13"/>
      <c r="I560" s="19">
        <f>IF($E560="","",IF($L560&lt;=0.005,"Pago",IF($D560="","Sem vencimento",IF($D560&lt;Hoje,IF(N($G560)&gt;0,"Vencido (parcial)","Vencido"),IF($D560=Hoje,"Vence hoje","A vencer")))))</f>
        <v>0</v>
      </c>
      <c r="J560" s="20">
        <f>IF(OR($E560="",$D560=""),"",IF(AND($L560&gt;0.005,$D560&lt;Hoje),Hoje-$D560,0))</f>
        <v>0</v>
      </c>
      <c r="K560" s="20">
        <f>IF($J560="","",IF($L560&lt;=0.005,"Pago",IF($J560&lt;=0,"A vencer",IF($J560&lt;=15,"1-15 dias",IF($J560&lt;=30,"16-30 dias",IF($J560&lt;=60,"31-60 dias","Mais de 60 dias"))))))</f>
        <v>0</v>
      </c>
      <c r="L560" s="21">
        <f>IF($E560="","",MAX(0,$E560-N($G560)))</f>
        <v>0</v>
      </c>
      <c r="M560" s="21">
        <f>IF(OR($L560="",$J560=""),"",IF($J560&gt;0,ROUND($L560*Multa+$L560*Juros/30*$J560,2),0))</f>
        <v>0</v>
      </c>
      <c r="N560" s="22">
        <f>IF($L560="","",IF($L560&lt;=0.005,0,$L560+N($M560)))</f>
        <v>0</v>
      </c>
      <c r="O560" s="23">
        <f>IF(OR($I560="Vencido",$I560="Vencido (parcial)"),"Olá, "&amp;$A560&amp;"! Consta em aberto '"&amp;$B560&amp;"' com vencimento em "&amp;DAY($D560)&amp;"/"&amp;MONTH($D560)&amp;"/"&amp;YEAR($D560)&amp;", no valor de R$ "&amp;FIXED($N560,2)&amp;" (com multa e juros). Podemos ajudar a regularizar hoje? Obrigado!",IF($I560="Vence hoje","Olá, "&amp;$A560&amp;"! Lembrete: '"&amp;$B560&amp;"' vence hoje, no valor de R$ "&amp;FIXED($L560,2)&amp;". Obrigado!",""))</f>
        <v>0</v>
      </c>
    </row>
    <row r="561" spans="1:15">
      <c r="A561" s="13"/>
      <c r="B561" s="13"/>
      <c r="C561" s="17"/>
      <c r="D561" s="17"/>
      <c r="E561" s="18"/>
      <c r="F561" s="17"/>
      <c r="G561" s="18"/>
      <c r="H561" s="13"/>
      <c r="I561" s="19">
        <f>IF($E561="","",IF($L561&lt;=0.005,"Pago",IF($D561="","Sem vencimento",IF($D561&lt;Hoje,IF(N($G561)&gt;0,"Vencido (parcial)","Vencido"),IF($D561=Hoje,"Vence hoje","A vencer")))))</f>
        <v>0</v>
      </c>
      <c r="J561" s="20">
        <f>IF(OR($E561="",$D561=""),"",IF(AND($L561&gt;0.005,$D561&lt;Hoje),Hoje-$D561,0))</f>
        <v>0</v>
      </c>
      <c r="K561" s="20">
        <f>IF($J561="","",IF($L561&lt;=0.005,"Pago",IF($J561&lt;=0,"A vencer",IF($J561&lt;=15,"1-15 dias",IF($J561&lt;=30,"16-30 dias",IF($J561&lt;=60,"31-60 dias","Mais de 60 dias"))))))</f>
        <v>0</v>
      </c>
      <c r="L561" s="21">
        <f>IF($E561="","",MAX(0,$E561-N($G561)))</f>
        <v>0</v>
      </c>
      <c r="M561" s="21">
        <f>IF(OR($L561="",$J561=""),"",IF($J561&gt;0,ROUND($L561*Multa+$L561*Juros/30*$J561,2),0))</f>
        <v>0</v>
      </c>
      <c r="N561" s="22">
        <f>IF($L561="","",IF($L561&lt;=0.005,0,$L561+N($M561)))</f>
        <v>0</v>
      </c>
      <c r="O561" s="23">
        <f>IF(OR($I561="Vencido",$I561="Vencido (parcial)"),"Olá, "&amp;$A561&amp;"! Consta em aberto '"&amp;$B561&amp;"' com vencimento em "&amp;DAY($D561)&amp;"/"&amp;MONTH($D561)&amp;"/"&amp;YEAR($D561)&amp;", no valor de R$ "&amp;FIXED($N561,2)&amp;" (com multa e juros). Podemos ajudar a regularizar hoje? Obrigado!",IF($I561="Vence hoje","Olá, "&amp;$A561&amp;"! Lembrete: '"&amp;$B561&amp;"' vence hoje, no valor de R$ "&amp;FIXED($L561,2)&amp;". Obrigado!",""))</f>
        <v>0</v>
      </c>
    </row>
    <row r="562" spans="1:15">
      <c r="A562" s="13"/>
      <c r="B562" s="13"/>
      <c r="C562" s="17"/>
      <c r="D562" s="17"/>
      <c r="E562" s="18"/>
      <c r="F562" s="17"/>
      <c r="G562" s="18"/>
      <c r="H562" s="13"/>
      <c r="I562" s="19">
        <f>IF($E562="","",IF($L562&lt;=0.005,"Pago",IF($D562="","Sem vencimento",IF($D562&lt;Hoje,IF(N($G562)&gt;0,"Vencido (parcial)","Vencido"),IF($D562=Hoje,"Vence hoje","A vencer")))))</f>
        <v>0</v>
      </c>
      <c r="J562" s="20">
        <f>IF(OR($E562="",$D562=""),"",IF(AND($L562&gt;0.005,$D562&lt;Hoje),Hoje-$D562,0))</f>
        <v>0</v>
      </c>
      <c r="K562" s="20">
        <f>IF($J562="","",IF($L562&lt;=0.005,"Pago",IF($J562&lt;=0,"A vencer",IF($J562&lt;=15,"1-15 dias",IF($J562&lt;=30,"16-30 dias",IF($J562&lt;=60,"31-60 dias","Mais de 60 dias"))))))</f>
        <v>0</v>
      </c>
      <c r="L562" s="21">
        <f>IF($E562="","",MAX(0,$E562-N($G562)))</f>
        <v>0</v>
      </c>
      <c r="M562" s="21">
        <f>IF(OR($L562="",$J562=""),"",IF($J562&gt;0,ROUND($L562*Multa+$L562*Juros/30*$J562,2),0))</f>
        <v>0</v>
      </c>
      <c r="N562" s="22">
        <f>IF($L562="","",IF($L562&lt;=0.005,0,$L562+N($M562)))</f>
        <v>0</v>
      </c>
      <c r="O562" s="23">
        <f>IF(OR($I562="Vencido",$I562="Vencido (parcial)"),"Olá, "&amp;$A562&amp;"! Consta em aberto '"&amp;$B562&amp;"' com vencimento em "&amp;DAY($D562)&amp;"/"&amp;MONTH($D562)&amp;"/"&amp;YEAR($D562)&amp;", no valor de R$ "&amp;FIXED($N562,2)&amp;" (com multa e juros). Podemos ajudar a regularizar hoje? Obrigado!",IF($I562="Vence hoje","Olá, "&amp;$A562&amp;"! Lembrete: '"&amp;$B562&amp;"' vence hoje, no valor de R$ "&amp;FIXED($L562,2)&amp;". Obrigado!",""))</f>
        <v>0</v>
      </c>
    </row>
    <row r="563" spans="1:15">
      <c r="A563" s="13"/>
      <c r="B563" s="13"/>
      <c r="C563" s="17"/>
      <c r="D563" s="17"/>
      <c r="E563" s="18"/>
      <c r="F563" s="17"/>
      <c r="G563" s="18"/>
      <c r="H563" s="13"/>
      <c r="I563" s="19">
        <f>IF($E563="","",IF($L563&lt;=0.005,"Pago",IF($D563="","Sem vencimento",IF($D563&lt;Hoje,IF(N($G563)&gt;0,"Vencido (parcial)","Vencido"),IF($D563=Hoje,"Vence hoje","A vencer")))))</f>
        <v>0</v>
      </c>
      <c r="J563" s="20">
        <f>IF(OR($E563="",$D563=""),"",IF(AND($L563&gt;0.005,$D563&lt;Hoje),Hoje-$D563,0))</f>
        <v>0</v>
      </c>
      <c r="K563" s="20">
        <f>IF($J563="","",IF($L563&lt;=0.005,"Pago",IF($J563&lt;=0,"A vencer",IF($J563&lt;=15,"1-15 dias",IF($J563&lt;=30,"16-30 dias",IF($J563&lt;=60,"31-60 dias","Mais de 60 dias"))))))</f>
        <v>0</v>
      </c>
      <c r="L563" s="21">
        <f>IF($E563="","",MAX(0,$E563-N($G563)))</f>
        <v>0</v>
      </c>
      <c r="M563" s="21">
        <f>IF(OR($L563="",$J563=""),"",IF($J563&gt;0,ROUND($L563*Multa+$L563*Juros/30*$J563,2),0))</f>
        <v>0</v>
      </c>
      <c r="N563" s="22">
        <f>IF($L563="","",IF($L563&lt;=0.005,0,$L563+N($M563)))</f>
        <v>0</v>
      </c>
      <c r="O563" s="23">
        <f>IF(OR($I563="Vencido",$I563="Vencido (parcial)"),"Olá, "&amp;$A563&amp;"! Consta em aberto '"&amp;$B563&amp;"' com vencimento em "&amp;DAY($D563)&amp;"/"&amp;MONTH($D563)&amp;"/"&amp;YEAR($D563)&amp;", no valor de R$ "&amp;FIXED($N563,2)&amp;" (com multa e juros). Podemos ajudar a regularizar hoje? Obrigado!",IF($I563="Vence hoje","Olá, "&amp;$A563&amp;"! Lembrete: '"&amp;$B563&amp;"' vence hoje, no valor de R$ "&amp;FIXED($L563,2)&amp;". Obrigado!",""))</f>
        <v>0</v>
      </c>
    </row>
    <row r="564" spans="1:15">
      <c r="A564" s="13"/>
      <c r="B564" s="13"/>
      <c r="C564" s="17"/>
      <c r="D564" s="17"/>
      <c r="E564" s="18"/>
      <c r="F564" s="17"/>
      <c r="G564" s="18"/>
      <c r="H564" s="13"/>
      <c r="I564" s="19">
        <f>IF($E564="","",IF($L564&lt;=0.005,"Pago",IF($D564="","Sem vencimento",IF($D564&lt;Hoje,IF(N($G564)&gt;0,"Vencido (parcial)","Vencido"),IF($D564=Hoje,"Vence hoje","A vencer")))))</f>
        <v>0</v>
      </c>
      <c r="J564" s="20">
        <f>IF(OR($E564="",$D564=""),"",IF(AND($L564&gt;0.005,$D564&lt;Hoje),Hoje-$D564,0))</f>
        <v>0</v>
      </c>
      <c r="K564" s="20">
        <f>IF($J564="","",IF($L564&lt;=0.005,"Pago",IF($J564&lt;=0,"A vencer",IF($J564&lt;=15,"1-15 dias",IF($J564&lt;=30,"16-30 dias",IF($J564&lt;=60,"31-60 dias","Mais de 60 dias"))))))</f>
        <v>0</v>
      </c>
      <c r="L564" s="21">
        <f>IF($E564="","",MAX(0,$E564-N($G564)))</f>
        <v>0</v>
      </c>
      <c r="M564" s="21">
        <f>IF(OR($L564="",$J564=""),"",IF($J564&gt;0,ROUND($L564*Multa+$L564*Juros/30*$J564,2),0))</f>
        <v>0</v>
      </c>
      <c r="N564" s="22">
        <f>IF($L564="","",IF($L564&lt;=0.005,0,$L564+N($M564)))</f>
        <v>0</v>
      </c>
      <c r="O564" s="23">
        <f>IF(OR($I564="Vencido",$I564="Vencido (parcial)"),"Olá, "&amp;$A564&amp;"! Consta em aberto '"&amp;$B564&amp;"' com vencimento em "&amp;DAY($D564)&amp;"/"&amp;MONTH($D564)&amp;"/"&amp;YEAR($D564)&amp;", no valor de R$ "&amp;FIXED($N564,2)&amp;" (com multa e juros). Podemos ajudar a regularizar hoje? Obrigado!",IF($I564="Vence hoje","Olá, "&amp;$A564&amp;"! Lembrete: '"&amp;$B564&amp;"' vence hoje, no valor de R$ "&amp;FIXED($L564,2)&amp;". Obrigado!",""))</f>
        <v>0</v>
      </c>
    </row>
    <row r="565" spans="1:15">
      <c r="A565" s="13"/>
      <c r="B565" s="13"/>
      <c r="C565" s="17"/>
      <c r="D565" s="17"/>
      <c r="E565" s="18"/>
      <c r="F565" s="17"/>
      <c r="G565" s="18"/>
      <c r="H565" s="13"/>
      <c r="I565" s="19">
        <f>IF($E565="","",IF($L565&lt;=0.005,"Pago",IF($D565="","Sem vencimento",IF($D565&lt;Hoje,IF(N($G565)&gt;0,"Vencido (parcial)","Vencido"),IF($D565=Hoje,"Vence hoje","A vencer")))))</f>
        <v>0</v>
      </c>
      <c r="J565" s="20">
        <f>IF(OR($E565="",$D565=""),"",IF(AND($L565&gt;0.005,$D565&lt;Hoje),Hoje-$D565,0))</f>
        <v>0</v>
      </c>
      <c r="K565" s="20">
        <f>IF($J565="","",IF($L565&lt;=0.005,"Pago",IF($J565&lt;=0,"A vencer",IF($J565&lt;=15,"1-15 dias",IF($J565&lt;=30,"16-30 dias",IF($J565&lt;=60,"31-60 dias","Mais de 60 dias"))))))</f>
        <v>0</v>
      </c>
      <c r="L565" s="21">
        <f>IF($E565="","",MAX(0,$E565-N($G565)))</f>
        <v>0</v>
      </c>
      <c r="M565" s="21">
        <f>IF(OR($L565="",$J565=""),"",IF($J565&gt;0,ROUND($L565*Multa+$L565*Juros/30*$J565,2),0))</f>
        <v>0</v>
      </c>
      <c r="N565" s="22">
        <f>IF($L565="","",IF($L565&lt;=0.005,0,$L565+N($M565)))</f>
        <v>0</v>
      </c>
      <c r="O565" s="23">
        <f>IF(OR($I565="Vencido",$I565="Vencido (parcial)"),"Olá, "&amp;$A565&amp;"! Consta em aberto '"&amp;$B565&amp;"' com vencimento em "&amp;DAY($D565)&amp;"/"&amp;MONTH($D565)&amp;"/"&amp;YEAR($D565)&amp;", no valor de R$ "&amp;FIXED($N565,2)&amp;" (com multa e juros). Podemos ajudar a regularizar hoje? Obrigado!",IF($I565="Vence hoje","Olá, "&amp;$A565&amp;"! Lembrete: '"&amp;$B565&amp;"' vence hoje, no valor de R$ "&amp;FIXED($L565,2)&amp;". Obrigado!",""))</f>
        <v>0</v>
      </c>
    </row>
    <row r="566" spans="1:15">
      <c r="A566" s="13"/>
      <c r="B566" s="13"/>
      <c r="C566" s="17"/>
      <c r="D566" s="17"/>
      <c r="E566" s="18"/>
      <c r="F566" s="17"/>
      <c r="G566" s="18"/>
      <c r="H566" s="13"/>
      <c r="I566" s="19">
        <f>IF($E566="","",IF($L566&lt;=0.005,"Pago",IF($D566="","Sem vencimento",IF($D566&lt;Hoje,IF(N($G566)&gt;0,"Vencido (parcial)","Vencido"),IF($D566=Hoje,"Vence hoje","A vencer")))))</f>
        <v>0</v>
      </c>
      <c r="J566" s="20">
        <f>IF(OR($E566="",$D566=""),"",IF(AND($L566&gt;0.005,$D566&lt;Hoje),Hoje-$D566,0))</f>
        <v>0</v>
      </c>
      <c r="K566" s="20">
        <f>IF($J566="","",IF($L566&lt;=0.005,"Pago",IF($J566&lt;=0,"A vencer",IF($J566&lt;=15,"1-15 dias",IF($J566&lt;=30,"16-30 dias",IF($J566&lt;=60,"31-60 dias","Mais de 60 dias"))))))</f>
        <v>0</v>
      </c>
      <c r="L566" s="21">
        <f>IF($E566="","",MAX(0,$E566-N($G566)))</f>
        <v>0</v>
      </c>
      <c r="M566" s="21">
        <f>IF(OR($L566="",$J566=""),"",IF($J566&gt;0,ROUND($L566*Multa+$L566*Juros/30*$J566,2),0))</f>
        <v>0</v>
      </c>
      <c r="N566" s="22">
        <f>IF($L566="","",IF($L566&lt;=0.005,0,$L566+N($M566)))</f>
        <v>0</v>
      </c>
      <c r="O566" s="23">
        <f>IF(OR($I566="Vencido",$I566="Vencido (parcial)"),"Olá, "&amp;$A566&amp;"! Consta em aberto '"&amp;$B566&amp;"' com vencimento em "&amp;DAY($D566)&amp;"/"&amp;MONTH($D566)&amp;"/"&amp;YEAR($D566)&amp;", no valor de R$ "&amp;FIXED($N566,2)&amp;" (com multa e juros). Podemos ajudar a regularizar hoje? Obrigado!",IF($I566="Vence hoje","Olá, "&amp;$A566&amp;"! Lembrete: '"&amp;$B566&amp;"' vence hoje, no valor de R$ "&amp;FIXED($L566,2)&amp;". Obrigado!",""))</f>
        <v>0</v>
      </c>
    </row>
    <row r="567" spans="1:15">
      <c r="A567" s="13"/>
      <c r="B567" s="13"/>
      <c r="C567" s="17"/>
      <c r="D567" s="17"/>
      <c r="E567" s="18"/>
      <c r="F567" s="17"/>
      <c r="G567" s="18"/>
      <c r="H567" s="13"/>
      <c r="I567" s="19">
        <f>IF($E567="","",IF($L567&lt;=0.005,"Pago",IF($D567="","Sem vencimento",IF($D567&lt;Hoje,IF(N($G567)&gt;0,"Vencido (parcial)","Vencido"),IF($D567=Hoje,"Vence hoje","A vencer")))))</f>
        <v>0</v>
      </c>
      <c r="J567" s="20">
        <f>IF(OR($E567="",$D567=""),"",IF(AND($L567&gt;0.005,$D567&lt;Hoje),Hoje-$D567,0))</f>
        <v>0</v>
      </c>
      <c r="K567" s="20">
        <f>IF($J567="","",IF($L567&lt;=0.005,"Pago",IF($J567&lt;=0,"A vencer",IF($J567&lt;=15,"1-15 dias",IF($J567&lt;=30,"16-30 dias",IF($J567&lt;=60,"31-60 dias","Mais de 60 dias"))))))</f>
        <v>0</v>
      </c>
      <c r="L567" s="21">
        <f>IF($E567="","",MAX(0,$E567-N($G567)))</f>
        <v>0</v>
      </c>
      <c r="M567" s="21">
        <f>IF(OR($L567="",$J567=""),"",IF($J567&gt;0,ROUND($L567*Multa+$L567*Juros/30*$J567,2),0))</f>
        <v>0</v>
      </c>
      <c r="N567" s="22">
        <f>IF($L567="","",IF($L567&lt;=0.005,0,$L567+N($M567)))</f>
        <v>0</v>
      </c>
      <c r="O567" s="23">
        <f>IF(OR($I567="Vencido",$I567="Vencido (parcial)"),"Olá, "&amp;$A567&amp;"! Consta em aberto '"&amp;$B567&amp;"' com vencimento em "&amp;DAY($D567)&amp;"/"&amp;MONTH($D567)&amp;"/"&amp;YEAR($D567)&amp;", no valor de R$ "&amp;FIXED($N567,2)&amp;" (com multa e juros). Podemos ajudar a regularizar hoje? Obrigado!",IF($I567="Vence hoje","Olá, "&amp;$A567&amp;"! Lembrete: '"&amp;$B567&amp;"' vence hoje, no valor de R$ "&amp;FIXED($L567,2)&amp;". Obrigado!",""))</f>
        <v>0</v>
      </c>
    </row>
    <row r="568" spans="1:15">
      <c r="A568" s="13"/>
      <c r="B568" s="13"/>
      <c r="C568" s="17"/>
      <c r="D568" s="17"/>
      <c r="E568" s="18"/>
      <c r="F568" s="17"/>
      <c r="G568" s="18"/>
      <c r="H568" s="13"/>
      <c r="I568" s="19">
        <f>IF($E568="","",IF($L568&lt;=0.005,"Pago",IF($D568="","Sem vencimento",IF($D568&lt;Hoje,IF(N($G568)&gt;0,"Vencido (parcial)","Vencido"),IF($D568=Hoje,"Vence hoje","A vencer")))))</f>
        <v>0</v>
      </c>
      <c r="J568" s="20">
        <f>IF(OR($E568="",$D568=""),"",IF(AND($L568&gt;0.005,$D568&lt;Hoje),Hoje-$D568,0))</f>
        <v>0</v>
      </c>
      <c r="K568" s="20">
        <f>IF($J568="","",IF($L568&lt;=0.005,"Pago",IF($J568&lt;=0,"A vencer",IF($J568&lt;=15,"1-15 dias",IF($J568&lt;=30,"16-30 dias",IF($J568&lt;=60,"31-60 dias","Mais de 60 dias"))))))</f>
        <v>0</v>
      </c>
      <c r="L568" s="21">
        <f>IF($E568="","",MAX(0,$E568-N($G568)))</f>
        <v>0</v>
      </c>
      <c r="M568" s="21">
        <f>IF(OR($L568="",$J568=""),"",IF($J568&gt;0,ROUND($L568*Multa+$L568*Juros/30*$J568,2),0))</f>
        <v>0</v>
      </c>
      <c r="N568" s="22">
        <f>IF($L568="","",IF($L568&lt;=0.005,0,$L568+N($M568)))</f>
        <v>0</v>
      </c>
      <c r="O568" s="23">
        <f>IF(OR($I568="Vencido",$I568="Vencido (parcial)"),"Olá, "&amp;$A568&amp;"! Consta em aberto '"&amp;$B568&amp;"' com vencimento em "&amp;DAY($D568)&amp;"/"&amp;MONTH($D568)&amp;"/"&amp;YEAR($D568)&amp;", no valor de R$ "&amp;FIXED($N568,2)&amp;" (com multa e juros). Podemos ajudar a regularizar hoje? Obrigado!",IF($I568="Vence hoje","Olá, "&amp;$A568&amp;"! Lembrete: '"&amp;$B568&amp;"' vence hoje, no valor de R$ "&amp;FIXED($L568,2)&amp;". Obrigado!",""))</f>
        <v>0</v>
      </c>
    </row>
    <row r="569" spans="1:15">
      <c r="A569" s="13"/>
      <c r="B569" s="13"/>
      <c r="C569" s="17"/>
      <c r="D569" s="17"/>
      <c r="E569" s="18"/>
      <c r="F569" s="17"/>
      <c r="G569" s="18"/>
      <c r="H569" s="13"/>
      <c r="I569" s="19">
        <f>IF($E569="","",IF($L569&lt;=0.005,"Pago",IF($D569="","Sem vencimento",IF($D569&lt;Hoje,IF(N($G569)&gt;0,"Vencido (parcial)","Vencido"),IF($D569=Hoje,"Vence hoje","A vencer")))))</f>
        <v>0</v>
      </c>
      <c r="J569" s="20">
        <f>IF(OR($E569="",$D569=""),"",IF(AND($L569&gt;0.005,$D569&lt;Hoje),Hoje-$D569,0))</f>
        <v>0</v>
      </c>
      <c r="K569" s="20">
        <f>IF($J569="","",IF($L569&lt;=0.005,"Pago",IF($J569&lt;=0,"A vencer",IF($J569&lt;=15,"1-15 dias",IF($J569&lt;=30,"16-30 dias",IF($J569&lt;=60,"31-60 dias","Mais de 60 dias"))))))</f>
        <v>0</v>
      </c>
      <c r="L569" s="21">
        <f>IF($E569="","",MAX(0,$E569-N($G569)))</f>
        <v>0</v>
      </c>
      <c r="M569" s="21">
        <f>IF(OR($L569="",$J569=""),"",IF($J569&gt;0,ROUND($L569*Multa+$L569*Juros/30*$J569,2),0))</f>
        <v>0</v>
      </c>
      <c r="N569" s="22">
        <f>IF($L569="","",IF($L569&lt;=0.005,0,$L569+N($M569)))</f>
        <v>0</v>
      </c>
      <c r="O569" s="23">
        <f>IF(OR($I569="Vencido",$I569="Vencido (parcial)"),"Olá, "&amp;$A569&amp;"! Consta em aberto '"&amp;$B569&amp;"' com vencimento em "&amp;DAY($D569)&amp;"/"&amp;MONTH($D569)&amp;"/"&amp;YEAR($D569)&amp;", no valor de R$ "&amp;FIXED($N569,2)&amp;" (com multa e juros). Podemos ajudar a regularizar hoje? Obrigado!",IF($I569="Vence hoje","Olá, "&amp;$A569&amp;"! Lembrete: '"&amp;$B569&amp;"' vence hoje, no valor de R$ "&amp;FIXED($L569,2)&amp;". Obrigado!",""))</f>
        <v>0</v>
      </c>
    </row>
    <row r="570" spans="1:15">
      <c r="A570" s="13"/>
      <c r="B570" s="13"/>
      <c r="C570" s="17"/>
      <c r="D570" s="17"/>
      <c r="E570" s="18"/>
      <c r="F570" s="17"/>
      <c r="G570" s="18"/>
      <c r="H570" s="13"/>
      <c r="I570" s="19">
        <f>IF($E570="","",IF($L570&lt;=0.005,"Pago",IF($D570="","Sem vencimento",IF($D570&lt;Hoje,IF(N($G570)&gt;0,"Vencido (parcial)","Vencido"),IF($D570=Hoje,"Vence hoje","A vencer")))))</f>
        <v>0</v>
      </c>
      <c r="J570" s="20">
        <f>IF(OR($E570="",$D570=""),"",IF(AND($L570&gt;0.005,$D570&lt;Hoje),Hoje-$D570,0))</f>
        <v>0</v>
      </c>
      <c r="K570" s="20">
        <f>IF($J570="","",IF($L570&lt;=0.005,"Pago",IF($J570&lt;=0,"A vencer",IF($J570&lt;=15,"1-15 dias",IF($J570&lt;=30,"16-30 dias",IF($J570&lt;=60,"31-60 dias","Mais de 60 dias"))))))</f>
        <v>0</v>
      </c>
      <c r="L570" s="21">
        <f>IF($E570="","",MAX(0,$E570-N($G570)))</f>
        <v>0</v>
      </c>
      <c r="M570" s="21">
        <f>IF(OR($L570="",$J570=""),"",IF($J570&gt;0,ROUND($L570*Multa+$L570*Juros/30*$J570,2),0))</f>
        <v>0</v>
      </c>
      <c r="N570" s="22">
        <f>IF($L570="","",IF($L570&lt;=0.005,0,$L570+N($M570)))</f>
        <v>0</v>
      </c>
      <c r="O570" s="23">
        <f>IF(OR($I570="Vencido",$I570="Vencido (parcial)"),"Olá, "&amp;$A570&amp;"! Consta em aberto '"&amp;$B570&amp;"' com vencimento em "&amp;DAY($D570)&amp;"/"&amp;MONTH($D570)&amp;"/"&amp;YEAR($D570)&amp;", no valor de R$ "&amp;FIXED($N570,2)&amp;" (com multa e juros). Podemos ajudar a regularizar hoje? Obrigado!",IF($I570="Vence hoje","Olá, "&amp;$A570&amp;"! Lembrete: '"&amp;$B570&amp;"' vence hoje, no valor de R$ "&amp;FIXED($L570,2)&amp;". Obrigado!",""))</f>
        <v>0</v>
      </c>
    </row>
    <row r="571" spans="1:15">
      <c r="A571" s="13"/>
      <c r="B571" s="13"/>
      <c r="C571" s="17"/>
      <c r="D571" s="17"/>
      <c r="E571" s="18"/>
      <c r="F571" s="17"/>
      <c r="G571" s="18"/>
      <c r="H571" s="13"/>
      <c r="I571" s="19">
        <f>IF($E571="","",IF($L571&lt;=0.005,"Pago",IF($D571="","Sem vencimento",IF($D571&lt;Hoje,IF(N($G571)&gt;0,"Vencido (parcial)","Vencido"),IF($D571=Hoje,"Vence hoje","A vencer")))))</f>
        <v>0</v>
      </c>
      <c r="J571" s="20">
        <f>IF(OR($E571="",$D571=""),"",IF(AND($L571&gt;0.005,$D571&lt;Hoje),Hoje-$D571,0))</f>
        <v>0</v>
      </c>
      <c r="K571" s="20">
        <f>IF($J571="","",IF($L571&lt;=0.005,"Pago",IF($J571&lt;=0,"A vencer",IF($J571&lt;=15,"1-15 dias",IF($J571&lt;=30,"16-30 dias",IF($J571&lt;=60,"31-60 dias","Mais de 60 dias"))))))</f>
        <v>0</v>
      </c>
      <c r="L571" s="21">
        <f>IF($E571="","",MAX(0,$E571-N($G571)))</f>
        <v>0</v>
      </c>
      <c r="M571" s="21">
        <f>IF(OR($L571="",$J571=""),"",IF($J571&gt;0,ROUND($L571*Multa+$L571*Juros/30*$J571,2),0))</f>
        <v>0</v>
      </c>
      <c r="N571" s="22">
        <f>IF($L571="","",IF($L571&lt;=0.005,0,$L571+N($M571)))</f>
        <v>0</v>
      </c>
      <c r="O571" s="23">
        <f>IF(OR($I571="Vencido",$I571="Vencido (parcial)"),"Olá, "&amp;$A571&amp;"! Consta em aberto '"&amp;$B571&amp;"' com vencimento em "&amp;DAY($D571)&amp;"/"&amp;MONTH($D571)&amp;"/"&amp;YEAR($D571)&amp;", no valor de R$ "&amp;FIXED($N571,2)&amp;" (com multa e juros). Podemos ajudar a regularizar hoje? Obrigado!",IF($I571="Vence hoje","Olá, "&amp;$A571&amp;"! Lembrete: '"&amp;$B571&amp;"' vence hoje, no valor de R$ "&amp;FIXED($L571,2)&amp;". Obrigado!",""))</f>
        <v>0</v>
      </c>
    </row>
    <row r="572" spans="1:15">
      <c r="A572" s="13"/>
      <c r="B572" s="13"/>
      <c r="C572" s="17"/>
      <c r="D572" s="17"/>
      <c r="E572" s="18"/>
      <c r="F572" s="17"/>
      <c r="G572" s="18"/>
      <c r="H572" s="13"/>
      <c r="I572" s="19">
        <f>IF($E572="","",IF($L572&lt;=0.005,"Pago",IF($D572="","Sem vencimento",IF($D572&lt;Hoje,IF(N($G572)&gt;0,"Vencido (parcial)","Vencido"),IF($D572=Hoje,"Vence hoje","A vencer")))))</f>
        <v>0</v>
      </c>
      <c r="J572" s="20">
        <f>IF(OR($E572="",$D572=""),"",IF(AND($L572&gt;0.005,$D572&lt;Hoje),Hoje-$D572,0))</f>
        <v>0</v>
      </c>
      <c r="K572" s="20">
        <f>IF($J572="","",IF($L572&lt;=0.005,"Pago",IF($J572&lt;=0,"A vencer",IF($J572&lt;=15,"1-15 dias",IF($J572&lt;=30,"16-30 dias",IF($J572&lt;=60,"31-60 dias","Mais de 60 dias"))))))</f>
        <v>0</v>
      </c>
      <c r="L572" s="21">
        <f>IF($E572="","",MAX(0,$E572-N($G572)))</f>
        <v>0</v>
      </c>
      <c r="M572" s="21">
        <f>IF(OR($L572="",$J572=""),"",IF($J572&gt;0,ROUND($L572*Multa+$L572*Juros/30*$J572,2),0))</f>
        <v>0</v>
      </c>
      <c r="N572" s="22">
        <f>IF($L572="","",IF($L572&lt;=0.005,0,$L572+N($M572)))</f>
        <v>0</v>
      </c>
      <c r="O572" s="23">
        <f>IF(OR($I572="Vencido",$I572="Vencido (parcial)"),"Olá, "&amp;$A572&amp;"! Consta em aberto '"&amp;$B572&amp;"' com vencimento em "&amp;DAY($D572)&amp;"/"&amp;MONTH($D572)&amp;"/"&amp;YEAR($D572)&amp;", no valor de R$ "&amp;FIXED($N572,2)&amp;" (com multa e juros). Podemos ajudar a regularizar hoje? Obrigado!",IF($I572="Vence hoje","Olá, "&amp;$A572&amp;"! Lembrete: '"&amp;$B572&amp;"' vence hoje, no valor de R$ "&amp;FIXED($L572,2)&amp;". Obrigado!",""))</f>
        <v>0</v>
      </c>
    </row>
    <row r="573" spans="1:15">
      <c r="A573" s="13"/>
      <c r="B573" s="13"/>
      <c r="C573" s="17"/>
      <c r="D573" s="17"/>
      <c r="E573" s="18"/>
      <c r="F573" s="17"/>
      <c r="G573" s="18"/>
      <c r="H573" s="13"/>
      <c r="I573" s="19">
        <f>IF($E573="","",IF($L573&lt;=0.005,"Pago",IF($D573="","Sem vencimento",IF($D573&lt;Hoje,IF(N($G573)&gt;0,"Vencido (parcial)","Vencido"),IF($D573=Hoje,"Vence hoje","A vencer")))))</f>
        <v>0</v>
      </c>
      <c r="J573" s="20">
        <f>IF(OR($E573="",$D573=""),"",IF(AND($L573&gt;0.005,$D573&lt;Hoje),Hoje-$D573,0))</f>
        <v>0</v>
      </c>
      <c r="K573" s="20">
        <f>IF($J573="","",IF($L573&lt;=0.005,"Pago",IF($J573&lt;=0,"A vencer",IF($J573&lt;=15,"1-15 dias",IF($J573&lt;=30,"16-30 dias",IF($J573&lt;=60,"31-60 dias","Mais de 60 dias"))))))</f>
        <v>0</v>
      </c>
      <c r="L573" s="21">
        <f>IF($E573="","",MAX(0,$E573-N($G573)))</f>
        <v>0</v>
      </c>
      <c r="M573" s="21">
        <f>IF(OR($L573="",$J573=""),"",IF($J573&gt;0,ROUND($L573*Multa+$L573*Juros/30*$J573,2),0))</f>
        <v>0</v>
      </c>
      <c r="N573" s="22">
        <f>IF($L573="","",IF($L573&lt;=0.005,0,$L573+N($M573)))</f>
        <v>0</v>
      </c>
      <c r="O573" s="23">
        <f>IF(OR($I573="Vencido",$I573="Vencido (parcial)"),"Olá, "&amp;$A573&amp;"! Consta em aberto '"&amp;$B573&amp;"' com vencimento em "&amp;DAY($D573)&amp;"/"&amp;MONTH($D573)&amp;"/"&amp;YEAR($D573)&amp;", no valor de R$ "&amp;FIXED($N573,2)&amp;" (com multa e juros). Podemos ajudar a regularizar hoje? Obrigado!",IF($I573="Vence hoje","Olá, "&amp;$A573&amp;"! Lembrete: '"&amp;$B573&amp;"' vence hoje, no valor de R$ "&amp;FIXED($L573,2)&amp;". Obrigado!",""))</f>
        <v>0</v>
      </c>
    </row>
    <row r="574" spans="1:15">
      <c r="A574" s="13"/>
      <c r="B574" s="13"/>
      <c r="C574" s="17"/>
      <c r="D574" s="17"/>
      <c r="E574" s="18"/>
      <c r="F574" s="17"/>
      <c r="G574" s="18"/>
      <c r="H574" s="13"/>
      <c r="I574" s="19">
        <f>IF($E574="","",IF($L574&lt;=0.005,"Pago",IF($D574="","Sem vencimento",IF($D574&lt;Hoje,IF(N($G574)&gt;0,"Vencido (parcial)","Vencido"),IF($D574=Hoje,"Vence hoje","A vencer")))))</f>
        <v>0</v>
      </c>
      <c r="J574" s="20">
        <f>IF(OR($E574="",$D574=""),"",IF(AND($L574&gt;0.005,$D574&lt;Hoje),Hoje-$D574,0))</f>
        <v>0</v>
      </c>
      <c r="K574" s="20">
        <f>IF($J574="","",IF($L574&lt;=0.005,"Pago",IF($J574&lt;=0,"A vencer",IF($J574&lt;=15,"1-15 dias",IF($J574&lt;=30,"16-30 dias",IF($J574&lt;=60,"31-60 dias","Mais de 60 dias"))))))</f>
        <v>0</v>
      </c>
      <c r="L574" s="21">
        <f>IF($E574="","",MAX(0,$E574-N($G574)))</f>
        <v>0</v>
      </c>
      <c r="M574" s="21">
        <f>IF(OR($L574="",$J574=""),"",IF($J574&gt;0,ROUND($L574*Multa+$L574*Juros/30*$J574,2),0))</f>
        <v>0</v>
      </c>
      <c r="N574" s="22">
        <f>IF($L574="","",IF($L574&lt;=0.005,0,$L574+N($M574)))</f>
        <v>0</v>
      </c>
      <c r="O574" s="23">
        <f>IF(OR($I574="Vencido",$I574="Vencido (parcial)"),"Olá, "&amp;$A574&amp;"! Consta em aberto '"&amp;$B574&amp;"' com vencimento em "&amp;DAY($D574)&amp;"/"&amp;MONTH($D574)&amp;"/"&amp;YEAR($D574)&amp;", no valor de R$ "&amp;FIXED($N574,2)&amp;" (com multa e juros). Podemos ajudar a regularizar hoje? Obrigado!",IF($I574="Vence hoje","Olá, "&amp;$A574&amp;"! Lembrete: '"&amp;$B574&amp;"' vence hoje, no valor de R$ "&amp;FIXED($L574,2)&amp;". Obrigado!",""))</f>
        <v>0</v>
      </c>
    </row>
    <row r="575" spans="1:15">
      <c r="A575" s="13"/>
      <c r="B575" s="13"/>
      <c r="C575" s="17"/>
      <c r="D575" s="17"/>
      <c r="E575" s="18"/>
      <c r="F575" s="17"/>
      <c r="G575" s="18"/>
      <c r="H575" s="13"/>
      <c r="I575" s="19">
        <f>IF($E575="","",IF($L575&lt;=0.005,"Pago",IF($D575="","Sem vencimento",IF($D575&lt;Hoje,IF(N($G575)&gt;0,"Vencido (parcial)","Vencido"),IF($D575=Hoje,"Vence hoje","A vencer")))))</f>
        <v>0</v>
      </c>
      <c r="J575" s="20">
        <f>IF(OR($E575="",$D575=""),"",IF(AND($L575&gt;0.005,$D575&lt;Hoje),Hoje-$D575,0))</f>
        <v>0</v>
      </c>
      <c r="K575" s="20">
        <f>IF($J575="","",IF($L575&lt;=0.005,"Pago",IF($J575&lt;=0,"A vencer",IF($J575&lt;=15,"1-15 dias",IF($J575&lt;=30,"16-30 dias",IF($J575&lt;=60,"31-60 dias","Mais de 60 dias"))))))</f>
        <v>0</v>
      </c>
      <c r="L575" s="21">
        <f>IF($E575="","",MAX(0,$E575-N($G575)))</f>
        <v>0</v>
      </c>
      <c r="M575" s="21">
        <f>IF(OR($L575="",$J575=""),"",IF($J575&gt;0,ROUND($L575*Multa+$L575*Juros/30*$J575,2),0))</f>
        <v>0</v>
      </c>
      <c r="N575" s="22">
        <f>IF($L575="","",IF($L575&lt;=0.005,0,$L575+N($M575)))</f>
        <v>0</v>
      </c>
      <c r="O575" s="23">
        <f>IF(OR($I575="Vencido",$I575="Vencido (parcial)"),"Olá, "&amp;$A575&amp;"! Consta em aberto '"&amp;$B575&amp;"' com vencimento em "&amp;DAY($D575)&amp;"/"&amp;MONTH($D575)&amp;"/"&amp;YEAR($D575)&amp;", no valor de R$ "&amp;FIXED($N575,2)&amp;" (com multa e juros). Podemos ajudar a regularizar hoje? Obrigado!",IF($I575="Vence hoje","Olá, "&amp;$A575&amp;"! Lembrete: '"&amp;$B575&amp;"' vence hoje, no valor de R$ "&amp;FIXED($L575,2)&amp;". Obrigado!",""))</f>
        <v>0</v>
      </c>
    </row>
    <row r="576" spans="1:15">
      <c r="A576" s="13"/>
      <c r="B576" s="13"/>
      <c r="C576" s="17"/>
      <c r="D576" s="17"/>
      <c r="E576" s="18"/>
      <c r="F576" s="17"/>
      <c r="G576" s="18"/>
      <c r="H576" s="13"/>
      <c r="I576" s="19">
        <f>IF($E576="","",IF($L576&lt;=0.005,"Pago",IF($D576="","Sem vencimento",IF($D576&lt;Hoje,IF(N($G576)&gt;0,"Vencido (parcial)","Vencido"),IF($D576=Hoje,"Vence hoje","A vencer")))))</f>
        <v>0</v>
      </c>
      <c r="J576" s="20">
        <f>IF(OR($E576="",$D576=""),"",IF(AND($L576&gt;0.005,$D576&lt;Hoje),Hoje-$D576,0))</f>
        <v>0</v>
      </c>
      <c r="K576" s="20">
        <f>IF($J576="","",IF($L576&lt;=0.005,"Pago",IF($J576&lt;=0,"A vencer",IF($J576&lt;=15,"1-15 dias",IF($J576&lt;=30,"16-30 dias",IF($J576&lt;=60,"31-60 dias","Mais de 60 dias"))))))</f>
        <v>0</v>
      </c>
      <c r="L576" s="21">
        <f>IF($E576="","",MAX(0,$E576-N($G576)))</f>
        <v>0</v>
      </c>
      <c r="M576" s="21">
        <f>IF(OR($L576="",$J576=""),"",IF($J576&gt;0,ROUND($L576*Multa+$L576*Juros/30*$J576,2),0))</f>
        <v>0</v>
      </c>
      <c r="N576" s="22">
        <f>IF($L576="","",IF($L576&lt;=0.005,0,$L576+N($M576)))</f>
        <v>0</v>
      </c>
      <c r="O576" s="23">
        <f>IF(OR($I576="Vencido",$I576="Vencido (parcial)"),"Olá, "&amp;$A576&amp;"! Consta em aberto '"&amp;$B576&amp;"' com vencimento em "&amp;DAY($D576)&amp;"/"&amp;MONTH($D576)&amp;"/"&amp;YEAR($D576)&amp;", no valor de R$ "&amp;FIXED($N576,2)&amp;" (com multa e juros). Podemos ajudar a regularizar hoje? Obrigado!",IF($I576="Vence hoje","Olá, "&amp;$A576&amp;"! Lembrete: '"&amp;$B576&amp;"' vence hoje, no valor de R$ "&amp;FIXED($L576,2)&amp;". Obrigado!",""))</f>
        <v>0</v>
      </c>
    </row>
    <row r="577" spans="1:15">
      <c r="A577" s="13"/>
      <c r="B577" s="13"/>
      <c r="C577" s="17"/>
      <c r="D577" s="17"/>
      <c r="E577" s="18"/>
      <c r="F577" s="17"/>
      <c r="G577" s="18"/>
      <c r="H577" s="13"/>
      <c r="I577" s="19">
        <f>IF($E577="","",IF($L577&lt;=0.005,"Pago",IF($D577="","Sem vencimento",IF($D577&lt;Hoje,IF(N($G577)&gt;0,"Vencido (parcial)","Vencido"),IF($D577=Hoje,"Vence hoje","A vencer")))))</f>
        <v>0</v>
      </c>
      <c r="J577" s="20">
        <f>IF(OR($E577="",$D577=""),"",IF(AND($L577&gt;0.005,$D577&lt;Hoje),Hoje-$D577,0))</f>
        <v>0</v>
      </c>
      <c r="K577" s="20">
        <f>IF($J577="","",IF($L577&lt;=0.005,"Pago",IF($J577&lt;=0,"A vencer",IF($J577&lt;=15,"1-15 dias",IF($J577&lt;=30,"16-30 dias",IF($J577&lt;=60,"31-60 dias","Mais de 60 dias"))))))</f>
        <v>0</v>
      </c>
      <c r="L577" s="21">
        <f>IF($E577="","",MAX(0,$E577-N($G577)))</f>
        <v>0</v>
      </c>
      <c r="M577" s="21">
        <f>IF(OR($L577="",$J577=""),"",IF($J577&gt;0,ROUND($L577*Multa+$L577*Juros/30*$J577,2),0))</f>
        <v>0</v>
      </c>
      <c r="N577" s="22">
        <f>IF($L577="","",IF($L577&lt;=0.005,0,$L577+N($M577)))</f>
        <v>0</v>
      </c>
      <c r="O577" s="23">
        <f>IF(OR($I577="Vencido",$I577="Vencido (parcial)"),"Olá, "&amp;$A577&amp;"! Consta em aberto '"&amp;$B577&amp;"' com vencimento em "&amp;DAY($D577)&amp;"/"&amp;MONTH($D577)&amp;"/"&amp;YEAR($D577)&amp;", no valor de R$ "&amp;FIXED($N577,2)&amp;" (com multa e juros). Podemos ajudar a regularizar hoje? Obrigado!",IF($I577="Vence hoje","Olá, "&amp;$A577&amp;"! Lembrete: '"&amp;$B577&amp;"' vence hoje, no valor de R$ "&amp;FIXED($L577,2)&amp;". Obrigado!",""))</f>
        <v>0</v>
      </c>
    </row>
    <row r="578" spans="1:15">
      <c r="A578" s="13"/>
      <c r="B578" s="13"/>
      <c r="C578" s="17"/>
      <c r="D578" s="17"/>
      <c r="E578" s="18"/>
      <c r="F578" s="17"/>
      <c r="G578" s="18"/>
      <c r="H578" s="13"/>
      <c r="I578" s="19">
        <f>IF($E578="","",IF($L578&lt;=0.005,"Pago",IF($D578="","Sem vencimento",IF($D578&lt;Hoje,IF(N($G578)&gt;0,"Vencido (parcial)","Vencido"),IF($D578=Hoje,"Vence hoje","A vencer")))))</f>
        <v>0</v>
      </c>
      <c r="J578" s="20">
        <f>IF(OR($E578="",$D578=""),"",IF(AND($L578&gt;0.005,$D578&lt;Hoje),Hoje-$D578,0))</f>
        <v>0</v>
      </c>
      <c r="K578" s="20">
        <f>IF($J578="","",IF($L578&lt;=0.005,"Pago",IF($J578&lt;=0,"A vencer",IF($J578&lt;=15,"1-15 dias",IF($J578&lt;=30,"16-30 dias",IF($J578&lt;=60,"31-60 dias","Mais de 60 dias"))))))</f>
        <v>0</v>
      </c>
      <c r="L578" s="21">
        <f>IF($E578="","",MAX(0,$E578-N($G578)))</f>
        <v>0</v>
      </c>
      <c r="M578" s="21">
        <f>IF(OR($L578="",$J578=""),"",IF($J578&gt;0,ROUND($L578*Multa+$L578*Juros/30*$J578,2),0))</f>
        <v>0</v>
      </c>
      <c r="N578" s="22">
        <f>IF($L578="","",IF($L578&lt;=0.005,0,$L578+N($M578)))</f>
        <v>0</v>
      </c>
      <c r="O578" s="23">
        <f>IF(OR($I578="Vencido",$I578="Vencido (parcial)"),"Olá, "&amp;$A578&amp;"! Consta em aberto '"&amp;$B578&amp;"' com vencimento em "&amp;DAY($D578)&amp;"/"&amp;MONTH($D578)&amp;"/"&amp;YEAR($D578)&amp;", no valor de R$ "&amp;FIXED($N578,2)&amp;" (com multa e juros). Podemos ajudar a regularizar hoje? Obrigado!",IF($I578="Vence hoje","Olá, "&amp;$A578&amp;"! Lembrete: '"&amp;$B578&amp;"' vence hoje, no valor de R$ "&amp;FIXED($L578,2)&amp;". Obrigado!",""))</f>
        <v>0</v>
      </c>
    </row>
    <row r="579" spans="1:15">
      <c r="A579" s="13"/>
      <c r="B579" s="13"/>
      <c r="C579" s="17"/>
      <c r="D579" s="17"/>
      <c r="E579" s="18"/>
      <c r="F579" s="17"/>
      <c r="G579" s="18"/>
      <c r="H579" s="13"/>
      <c r="I579" s="19">
        <f>IF($E579="","",IF($L579&lt;=0.005,"Pago",IF($D579="","Sem vencimento",IF($D579&lt;Hoje,IF(N($G579)&gt;0,"Vencido (parcial)","Vencido"),IF($D579=Hoje,"Vence hoje","A vencer")))))</f>
        <v>0</v>
      </c>
      <c r="J579" s="20">
        <f>IF(OR($E579="",$D579=""),"",IF(AND($L579&gt;0.005,$D579&lt;Hoje),Hoje-$D579,0))</f>
        <v>0</v>
      </c>
      <c r="K579" s="20">
        <f>IF($J579="","",IF($L579&lt;=0.005,"Pago",IF($J579&lt;=0,"A vencer",IF($J579&lt;=15,"1-15 dias",IF($J579&lt;=30,"16-30 dias",IF($J579&lt;=60,"31-60 dias","Mais de 60 dias"))))))</f>
        <v>0</v>
      </c>
      <c r="L579" s="21">
        <f>IF($E579="","",MAX(0,$E579-N($G579)))</f>
        <v>0</v>
      </c>
      <c r="M579" s="21">
        <f>IF(OR($L579="",$J579=""),"",IF($J579&gt;0,ROUND($L579*Multa+$L579*Juros/30*$J579,2),0))</f>
        <v>0</v>
      </c>
      <c r="N579" s="22">
        <f>IF($L579="","",IF($L579&lt;=0.005,0,$L579+N($M579)))</f>
        <v>0</v>
      </c>
      <c r="O579" s="23">
        <f>IF(OR($I579="Vencido",$I579="Vencido (parcial)"),"Olá, "&amp;$A579&amp;"! Consta em aberto '"&amp;$B579&amp;"' com vencimento em "&amp;DAY($D579)&amp;"/"&amp;MONTH($D579)&amp;"/"&amp;YEAR($D579)&amp;", no valor de R$ "&amp;FIXED($N579,2)&amp;" (com multa e juros). Podemos ajudar a regularizar hoje? Obrigado!",IF($I579="Vence hoje","Olá, "&amp;$A579&amp;"! Lembrete: '"&amp;$B579&amp;"' vence hoje, no valor de R$ "&amp;FIXED($L579,2)&amp;". Obrigado!",""))</f>
        <v>0</v>
      </c>
    </row>
    <row r="580" spans="1:15">
      <c r="A580" s="13"/>
      <c r="B580" s="13"/>
      <c r="C580" s="17"/>
      <c r="D580" s="17"/>
      <c r="E580" s="18"/>
      <c r="F580" s="17"/>
      <c r="G580" s="18"/>
      <c r="H580" s="13"/>
      <c r="I580" s="19">
        <f>IF($E580="","",IF($L580&lt;=0.005,"Pago",IF($D580="","Sem vencimento",IF($D580&lt;Hoje,IF(N($G580)&gt;0,"Vencido (parcial)","Vencido"),IF($D580=Hoje,"Vence hoje","A vencer")))))</f>
        <v>0</v>
      </c>
      <c r="J580" s="20">
        <f>IF(OR($E580="",$D580=""),"",IF(AND($L580&gt;0.005,$D580&lt;Hoje),Hoje-$D580,0))</f>
        <v>0</v>
      </c>
      <c r="K580" s="20">
        <f>IF($J580="","",IF($L580&lt;=0.005,"Pago",IF($J580&lt;=0,"A vencer",IF($J580&lt;=15,"1-15 dias",IF($J580&lt;=30,"16-30 dias",IF($J580&lt;=60,"31-60 dias","Mais de 60 dias"))))))</f>
        <v>0</v>
      </c>
      <c r="L580" s="21">
        <f>IF($E580="","",MAX(0,$E580-N($G580)))</f>
        <v>0</v>
      </c>
      <c r="M580" s="21">
        <f>IF(OR($L580="",$J580=""),"",IF($J580&gt;0,ROUND($L580*Multa+$L580*Juros/30*$J580,2),0))</f>
        <v>0</v>
      </c>
      <c r="N580" s="22">
        <f>IF($L580="","",IF($L580&lt;=0.005,0,$L580+N($M580)))</f>
        <v>0</v>
      </c>
      <c r="O580" s="23">
        <f>IF(OR($I580="Vencido",$I580="Vencido (parcial)"),"Olá, "&amp;$A580&amp;"! Consta em aberto '"&amp;$B580&amp;"' com vencimento em "&amp;DAY($D580)&amp;"/"&amp;MONTH($D580)&amp;"/"&amp;YEAR($D580)&amp;", no valor de R$ "&amp;FIXED($N580,2)&amp;" (com multa e juros). Podemos ajudar a regularizar hoje? Obrigado!",IF($I580="Vence hoje","Olá, "&amp;$A580&amp;"! Lembrete: '"&amp;$B580&amp;"' vence hoje, no valor de R$ "&amp;FIXED($L580,2)&amp;". Obrigado!",""))</f>
        <v>0</v>
      </c>
    </row>
    <row r="581" spans="1:15">
      <c r="A581" s="13"/>
      <c r="B581" s="13"/>
      <c r="C581" s="17"/>
      <c r="D581" s="17"/>
      <c r="E581" s="18"/>
      <c r="F581" s="17"/>
      <c r="G581" s="18"/>
      <c r="H581" s="13"/>
      <c r="I581" s="19">
        <f>IF($E581="","",IF($L581&lt;=0.005,"Pago",IF($D581="","Sem vencimento",IF($D581&lt;Hoje,IF(N($G581)&gt;0,"Vencido (parcial)","Vencido"),IF($D581=Hoje,"Vence hoje","A vencer")))))</f>
        <v>0</v>
      </c>
      <c r="J581" s="20">
        <f>IF(OR($E581="",$D581=""),"",IF(AND($L581&gt;0.005,$D581&lt;Hoje),Hoje-$D581,0))</f>
        <v>0</v>
      </c>
      <c r="K581" s="20">
        <f>IF($J581="","",IF($L581&lt;=0.005,"Pago",IF($J581&lt;=0,"A vencer",IF($J581&lt;=15,"1-15 dias",IF($J581&lt;=30,"16-30 dias",IF($J581&lt;=60,"31-60 dias","Mais de 60 dias"))))))</f>
        <v>0</v>
      </c>
      <c r="L581" s="21">
        <f>IF($E581="","",MAX(0,$E581-N($G581)))</f>
        <v>0</v>
      </c>
      <c r="M581" s="21">
        <f>IF(OR($L581="",$J581=""),"",IF($J581&gt;0,ROUND($L581*Multa+$L581*Juros/30*$J581,2),0))</f>
        <v>0</v>
      </c>
      <c r="N581" s="22">
        <f>IF($L581="","",IF($L581&lt;=0.005,0,$L581+N($M581)))</f>
        <v>0</v>
      </c>
      <c r="O581" s="23">
        <f>IF(OR($I581="Vencido",$I581="Vencido (parcial)"),"Olá, "&amp;$A581&amp;"! Consta em aberto '"&amp;$B581&amp;"' com vencimento em "&amp;DAY($D581)&amp;"/"&amp;MONTH($D581)&amp;"/"&amp;YEAR($D581)&amp;", no valor de R$ "&amp;FIXED($N581,2)&amp;" (com multa e juros). Podemos ajudar a regularizar hoje? Obrigado!",IF($I581="Vence hoje","Olá, "&amp;$A581&amp;"! Lembrete: '"&amp;$B581&amp;"' vence hoje, no valor de R$ "&amp;FIXED($L581,2)&amp;". Obrigado!",""))</f>
        <v>0</v>
      </c>
    </row>
    <row r="582" spans="1:15">
      <c r="A582" s="13"/>
      <c r="B582" s="13"/>
      <c r="C582" s="17"/>
      <c r="D582" s="17"/>
      <c r="E582" s="18"/>
      <c r="F582" s="17"/>
      <c r="G582" s="18"/>
      <c r="H582" s="13"/>
      <c r="I582" s="19">
        <f>IF($E582="","",IF($L582&lt;=0.005,"Pago",IF($D582="","Sem vencimento",IF($D582&lt;Hoje,IF(N($G582)&gt;0,"Vencido (parcial)","Vencido"),IF($D582=Hoje,"Vence hoje","A vencer")))))</f>
        <v>0</v>
      </c>
      <c r="J582" s="20">
        <f>IF(OR($E582="",$D582=""),"",IF(AND($L582&gt;0.005,$D582&lt;Hoje),Hoje-$D582,0))</f>
        <v>0</v>
      </c>
      <c r="K582" s="20">
        <f>IF($J582="","",IF($L582&lt;=0.005,"Pago",IF($J582&lt;=0,"A vencer",IF($J582&lt;=15,"1-15 dias",IF($J582&lt;=30,"16-30 dias",IF($J582&lt;=60,"31-60 dias","Mais de 60 dias"))))))</f>
        <v>0</v>
      </c>
      <c r="L582" s="21">
        <f>IF($E582="","",MAX(0,$E582-N($G582)))</f>
        <v>0</v>
      </c>
      <c r="M582" s="21">
        <f>IF(OR($L582="",$J582=""),"",IF($J582&gt;0,ROUND($L582*Multa+$L582*Juros/30*$J582,2),0))</f>
        <v>0</v>
      </c>
      <c r="N582" s="22">
        <f>IF($L582="","",IF($L582&lt;=0.005,0,$L582+N($M582)))</f>
        <v>0</v>
      </c>
      <c r="O582" s="23">
        <f>IF(OR($I582="Vencido",$I582="Vencido (parcial)"),"Olá, "&amp;$A582&amp;"! Consta em aberto '"&amp;$B582&amp;"' com vencimento em "&amp;DAY($D582)&amp;"/"&amp;MONTH($D582)&amp;"/"&amp;YEAR($D582)&amp;", no valor de R$ "&amp;FIXED($N582,2)&amp;" (com multa e juros). Podemos ajudar a regularizar hoje? Obrigado!",IF($I582="Vence hoje","Olá, "&amp;$A582&amp;"! Lembrete: '"&amp;$B582&amp;"' vence hoje, no valor de R$ "&amp;FIXED($L582,2)&amp;". Obrigado!",""))</f>
        <v>0</v>
      </c>
    </row>
    <row r="583" spans="1:15">
      <c r="A583" s="13"/>
      <c r="B583" s="13"/>
      <c r="C583" s="17"/>
      <c r="D583" s="17"/>
      <c r="E583" s="18"/>
      <c r="F583" s="17"/>
      <c r="G583" s="18"/>
      <c r="H583" s="13"/>
      <c r="I583" s="19">
        <f>IF($E583="","",IF($L583&lt;=0.005,"Pago",IF($D583="","Sem vencimento",IF($D583&lt;Hoje,IF(N($G583)&gt;0,"Vencido (parcial)","Vencido"),IF($D583=Hoje,"Vence hoje","A vencer")))))</f>
        <v>0</v>
      </c>
      <c r="J583" s="20">
        <f>IF(OR($E583="",$D583=""),"",IF(AND($L583&gt;0.005,$D583&lt;Hoje),Hoje-$D583,0))</f>
        <v>0</v>
      </c>
      <c r="K583" s="20">
        <f>IF($J583="","",IF($L583&lt;=0.005,"Pago",IF($J583&lt;=0,"A vencer",IF($J583&lt;=15,"1-15 dias",IF($J583&lt;=30,"16-30 dias",IF($J583&lt;=60,"31-60 dias","Mais de 60 dias"))))))</f>
        <v>0</v>
      </c>
      <c r="L583" s="21">
        <f>IF($E583="","",MAX(0,$E583-N($G583)))</f>
        <v>0</v>
      </c>
      <c r="M583" s="21">
        <f>IF(OR($L583="",$J583=""),"",IF($J583&gt;0,ROUND($L583*Multa+$L583*Juros/30*$J583,2),0))</f>
        <v>0</v>
      </c>
      <c r="N583" s="22">
        <f>IF($L583="","",IF($L583&lt;=0.005,0,$L583+N($M583)))</f>
        <v>0</v>
      </c>
      <c r="O583" s="23">
        <f>IF(OR($I583="Vencido",$I583="Vencido (parcial)"),"Olá, "&amp;$A583&amp;"! Consta em aberto '"&amp;$B583&amp;"' com vencimento em "&amp;DAY($D583)&amp;"/"&amp;MONTH($D583)&amp;"/"&amp;YEAR($D583)&amp;", no valor de R$ "&amp;FIXED($N583,2)&amp;" (com multa e juros). Podemos ajudar a regularizar hoje? Obrigado!",IF($I583="Vence hoje","Olá, "&amp;$A583&amp;"! Lembrete: '"&amp;$B583&amp;"' vence hoje, no valor de R$ "&amp;FIXED($L583,2)&amp;". Obrigado!",""))</f>
        <v>0</v>
      </c>
    </row>
    <row r="584" spans="1:15">
      <c r="A584" s="13"/>
      <c r="B584" s="13"/>
      <c r="C584" s="17"/>
      <c r="D584" s="17"/>
      <c r="E584" s="18"/>
      <c r="F584" s="17"/>
      <c r="G584" s="18"/>
      <c r="H584" s="13"/>
      <c r="I584" s="19">
        <f>IF($E584="","",IF($L584&lt;=0.005,"Pago",IF($D584="","Sem vencimento",IF($D584&lt;Hoje,IF(N($G584)&gt;0,"Vencido (parcial)","Vencido"),IF($D584=Hoje,"Vence hoje","A vencer")))))</f>
        <v>0</v>
      </c>
      <c r="J584" s="20">
        <f>IF(OR($E584="",$D584=""),"",IF(AND($L584&gt;0.005,$D584&lt;Hoje),Hoje-$D584,0))</f>
        <v>0</v>
      </c>
      <c r="K584" s="20">
        <f>IF($J584="","",IF($L584&lt;=0.005,"Pago",IF($J584&lt;=0,"A vencer",IF($J584&lt;=15,"1-15 dias",IF($J584&lt;=30,"16-30 dias",IF($J584&lt;=60,"31-60 dias","Mais de 60 dias"))))))</f>
        <v>0</v>
      </c>
      <c r="L584" s="21">
        <f>IF($E584="","",MAX(0,$E584-N($G584)))</f>
        <v>0</v>
      </c>
      <c r="M584" s="21">
        <f>IF(OR($L584="",$J584=""),"",IF($J584&gt;0,ROUND($L584*Multa+$L584*Juros/30*$J584,2),0))</f>
        <v>0</v>
      </c>
      <c r="N584" s="22">
        <f>IF($L584="","",IF($L584&lt;=0.005,0,$L584+N($M584)))</f>
        <v>0</v>
      </c>
      <c r="O584" s="23">
        <f>IF(OR($I584="Vencido",$I584="Vencido (parcial)"),"Olá, "&amp;$A584&amp;"! Consta em aberto '"&amp;$B584&amp;"' com vencimento em "&amp;DAY($D584)&amp;"/"&amp;MONTH($D584)&amp;"/"&amp;YEAR($D584)&amp;", no valor de R$ "&amp;FIXED($N584,2)&amp;" (com multa e juros). Podemos ajudar a regularizar hoje? Obrigado!",IF($I584="Vence hoje","Olá, "&amp;$A584&amp;"! Lembrete: '"&amp;$B584&amp;"' vence hoje, no valor de R$ "&amp;FIXED($L584,2)&amp;". Obrigado!",""))</f>
        <v>0</v>
      </c>
    </row>
    <row r="585" spans="1:15">
      <c r="A585" s="13"/>
      <c r="B585" s="13"/>
      <c r="C585" s="17"/>
      <c r="D585" s="17"/>
      <c r="E585" s="18"/>
      <c r="F585" s="17"/>
      <c r="G585" s="18"/>
      <c r="H585" s="13"/>
      <c r="I585" s="19">
        <f>IF($E585="","",IF($L585&lt;=0.005,"Pago",IF($D585="","Sem vencimento",IF($D585&lt;Hoje,IF(N($G585)&gt;0,"Vencido (parcial)","Vencido"),IF($D585=Hoje,"Vence hoje","A vencer")))))</f>
        <v>0</v>
      </c>
      <c r="J585" s="20">
        <f>IF(OR($E585="",$D585=""),"",IF(AND($L585&gt;0.005,$D585&lt;Hoje),Hoje-$D585,0))</f>
        <v>0</v>
      </c>
      <c r="K585" s="20">
        <f>IF($J585="","",IF($L585&lt;=0.005,"Pago",IF($J585&lt;=0,"A vencer",IF($J585&lt;=15,"1-15 dias",IF($J585&lt;=30,"16-30 dias",IF($J585&lt;=60,"31-60 dias","Mais de 60 dias"))))))</f>
        <v>0</v>
      </c>
      <c r="L585" s="21">
        <f>IF($E585="","",MAX(0,$E585-N($G585)))</f>
        <v>0</v>
      </c>
      <c r="M585" s="21">
        <f>IF(OR($L585="",$J585=""),"",IF($J585&gt;0,ROUND($L585*Multa+$L585*Juros/30*$J585,2),0))</f>
        <v>0</v>
      </c>
      <c r="N585" s="22">
        <f>IF($L585="","",IF($L585&lt;=0.005,0,$L585+N($M585)))</f>
        <v>0</v>
      </c>
      <c r="O585" s="23">
        <f>IF(OR($I585="Vencido",$I585="Vencido (parcial)"),"Olá, "&amp;$A585&amp;"! Consta em aberto '"&amp;$B585&amp;"' com vencimento em "&amp;DAY($D585)&amp;"/"&amp;MONTH($D585)&amp;"/"&amp;YEAR($D585)&amp;", no valor de R$ "&amp;FIXED($N585,2)&amp;" (com multa e juros). Podemos ajudar a regularizar hoje? Obrigado!",IF($I585="Vence hoje","Olá, "&amp;$A585&amp;"! Lembrete: '"&amp;$B585&amp;"' vence hoje, no valor de R$ "&amp;FIXED($L585,2)&amp;". Obrigado!",""))</f>
        <v>0</v>
      </c>
    </row>
    <row r="586" spans="1:15">
      <c r="A586" s="13"/>
      <c r="B586" s="13"/>
      <c r="C586" s="17"/>
      <c r="D586" s="17"/>
      <c r="E586" s="18"/>
      <c r="F586" s="17"/>
      <c r="G586" s="18"/>
      <c r="H586" s="13"/>
      <c r="I586" s="19">
        <f>IF($E586="","",IF($L586&lt;=0.005,"Pago",IF($D586="","Sem vencimento",IF($D586&lt;Hoje,IF(N($G586)&gt;0,"Vencido (parcial)","Vencido"),IF($D586=Hoje,"Vence hoje","A vencer")))))</f>
        <v>0</v>
      </c>
      <c r="J586" s="20">
        <f>IF(OR($E586="",$D586=""),"",IF(AND($L586&gt;0.005,$D586&lt;Hoje),Hoje-$D586,0))</f>
        <v>0</v>
      </c>
      <c r="K586" s="20">
        <f>IF($J586="","",IF($L586&lt;=0.005,"Pago",IF($J586&lt;=0,"A vencer",IF($J586&lt;=15,"1-15 dias",IF($J586&lt;=30,"16-30 dias",IF($J586&lt;=60,"31-60 dias","Mais de 60 dias"))))))</f>
        <v>0</v>
      </c>
      <c r="L586" s="21">
        <f>IF($E586="","",MAX(0,$E586-N($G586)))</f>
        <v>0</v>
      </c>
      <c r="M586" s="21">
        <f>IF(OR($L586="",$J586=""),"",IF($J586&gt;0,ROUND($L586*Multa+$L586*Juros/30*$J586,2),0))</f>
        <v>0</v>
      </c>
      <c r="N586" s="22">
        <f>IF($L586="","",IF($L586&lt;=0.005,0,$L586+N($M586)))</f>
        <v>0</v>
      </c>
      <c r="O586" s="23">
        <f>IF(OR($I586="Vencido",$I586="Vencido (parcial)"),"Olá, "&amp;$A586&amp;"! Consta em aberto '"&amp;$B586&amp;"' com vencimento em "&amp;DAY($D586)&amp;"/"&amp;MONTH($D586)&amp;"/"&amp;YEAR($D586)&amp;", no valor de R$ "&amp;FIXED($N586,2)&amp;" (com multa e juros). Podemos ajudar a regularizar hoje? Obrigado!",IF($I586="Vence hoje","Olá, "&amp;$A586&amp;"! Lembrete: '"&amp;$B586&amp;"' vence hoje, no valor de R$ "&amp;FIXED($L586,2)&amp;". Obrigado!",""))</f>
        <v>0</v>
      </c>
    </row>
    <row r="587" spans="1:15">
      <c r="A587" s="13"/>
      <c r="B587" s="13"/>
      <c r="C587" s="17"/>
      <c r="D587" s="17"/>
      <c r="E587" s="18"/>
      <c r="F587" s="17"/>
      <c r="G587" s="18"/>
      <c r="H587" s="13"/>
      <c r="I587" s="19">
        <f>IF($E587="","",IF($L587&lt;=0.005,"Pago",IF($D587="","Sem vencimento",IF($D587&lt;Hoje,IF(N($G587)&gt;0,"Vencido (parcial)","Vencido"),IF($D587=Hoje,"Vence hoje","A vencer")))))</f>
        <v>0</v>
      </c>
      <c r="J587" s="20">
        <f>IF(OR($E587="",$D587=""),"",IF(AND($L587&gt;0.005,$D587&lt;Hoje),Hoje-$D587,0))</f>
        <v>0</v>
      </c>
      <c r="K587" s="20">
        <f>IF($J587="","",IF($L587&lt;=0.005,"Pago",IF($J587&lt;=0,"A vencer",IF($J587&lt;=15,"1-15 dias",IF($J587&lt;=30,"16-30 dias",IF($J587&lt;=60,"31-60 dias","Mais de 60 dias"))))))</f>
        <v>0</v>
      </c>
      <c r="L587" s="21">
        <f>IF($E587="","",MAX(0,$E587-N($G587)))</f>
        <v>0</v>
      </c>
      <c r="M587" s="21">
        <f>IF(OR($L587="",$J587=""),"",IF($J587&gt;0,ROUND($L587*Multa+$L587*Juros/30*$J587,2),0))</f>
        <v>0</v>
      </c>
      <c r="N587" s="22">
        <f>IF($L587="","",IF($L587&lt;=0.005,0,$L587+N($M587)))</f>
        <v>0</v>
      </c>
      <c r="O587" s="23">
        <f>IF(OR($I587="Vencido",$I587="Vencido (parcial)"),"Olá, "&amp;$A587&amp;"! Consta em aberto '"&amp;$B587&amp;"' com vencimento em "&amp;DAY($D587)&amp;"/"&amp;MONTH($D587)&amp;"/"&amp;YEAR($D587)&amp;", no valor de R$ "&amp;FIXED($N587,2)&amp;" (com multa e juros). Podemos ajudar a regularizar hoje? Obrigado!",IF($I587="Vence hoje","Olá, "&amp;$A587&amp;"! Lembrete: '"&amp;$B587&amp;"' vence hoje, no valor de R$ "&amp;FIXED($L587,2)&amp;". Obrigado!",""))</f>
        <v>0</v>
      </c>
    </row>
    <row r="588" spans="1:15">
      <c r="A588" s="13"/>
      <c r="B588" s="13"/>
      <c r="C588" s="17"/>
      <c r="D588" s="17"/>
      <c r="E588" s="18"/>
      <c r="F588" s="17"/>
      <c r="G588" s="18"/>
      <c r="H588" s="13"/>
      <c r="I588" s="19">
        <f>IF($E588="","",IF($L588&lt;=0.005,"Pago",IF($D588="","Sem vencimento",IF($D588&lt;Hoje,IF(N($G588)&gt;0,"Vencido (parcial)","Vencido"),IF($D588=Hoje,"Vence hoje","A vencer")))))</f>
        <v>0</v>
      </c>
      <c r="J588" s="20">
        <f>IF(OR($E588="",$D588=""),"",IF(AND($L588&gt;0.005,$D588&lt;Hoje),Hoje-$D588,0))</f>
        <v>0</v>
      </c>
      <c r="K588" s="20">
        <f>IF($J588="","",IF($L588&lt;=0.005,"Pago",IF($J588&lt;=0,"A vencer",IF($J588&lt;=15,"1-15 dias",IF($J588&lt;=30,"16-30 dias",IF($J588&lt;=60,"31-60 dias","Mais de 60 dias"))))))</f>
        <v>0</v>
      </c>
      <c r="L588" s="21">
        <f>IF($E588="","",MAX(0,$E588-N($G588)))</f>
        <v>0</v>
      </c>
      <c r="M588" s="21">
        <f>IF(OR($L588="",$J588=""),"",IF($J588&gt;0,ROUND($L588*Multa+$L588*Juros/30*$J588,2),0))</f>
        <v>0</v>
      </c>
      <c r="N588" s="22">
        <f>IF($L588="","",IF($L588&lt;=0.005,0,$L588+N($M588)))</f>
        <v>0</v>
      </c>
      <c r="O588" s="23">
        <f>IF(OR($I588="Vencido",$I588="Vencido (parcial)"),"Olá, "&amp;$A588&amp;"! Consta em aberto '"&amp;$B588&amp;"' com vencimento em "&amp;DAY($D588)&amp;"/"&amp;MONTH($D588)&amp;"/"&amp;YEAR($D588)&amp;", no valor de R$ "&amp;FIXED($N588,2)&amp;" (com multa e juros). Podemos ajudar a regularizar hoje? Obrigado!",IF($I588="Vence hoje","Olá, "&amp;$A588&amp;"! Lembrete: '"&amp;$B588&amp;"' vence hoje, no valor de R$ "&amp;FIXED($L588,2)&amp;". Obrigado!",""))</f>
        <v>0</v>
      </c>
    </row>
    <row r="589" spans="1:15">
      <c r="A589" s="13"/>
      <c r="B589" s="13"/>
      <c r="C589" s="17"/>
      <c r="D589" s="17"/>
      <c r="E589" s="18"/>
      <c r="F589" s="17"/>
      <c r="G589" s="18"/>
      <c r="H589" s="13"/>
      <c r="I589" s="19">
        <f>IF($E589="","",IF($L589&lt;=0.005,"Pago",IF($D589="","Sem vencimento",IF($D589&lt;Hoje,IF(N($G589)&gt;0,"Vencido (parcial)","Vencido"),IF($D589=Hoje,"Vence hoje","A vencer")))))</f>
        <v>0</v>
      </c>
      <c r="J589" s="20">
        <f>IF(OR($E589="",$D589=""),"",IF(AND($L589&gt;0.005,$D589&lt;Hoje),Hoje-$D589,0))</f>
        <v>0</v>
      </c>
      <c r="K589" s="20">
        <f>IF($J589="","",IF($L589&lt;=0.005,"Pago",IF($J589&lt;=0,"A vencer",IF($J589&lt;=15,"1-15 dias",IF($J589&lt;=30,"16-30 dias",IF($J589&lt;=60,"31-60 dias","Mais de 60 dias"))))))</f>
        <v>0</v>
      </c>
      <c r="L589" s="21">
        <f>IF($E589="","",MAX(0,$E589-N($G589)))</f>
        <v>0</v>
      </c>
      <c r="M589" s="21">
        <f>IF(OR($L589="",$J589=""),"",IF($J589&gt;0,ROUND($L589*Multa+$L589*Juros/30*$J589,2),0))</f>
        <v>0</v>
      </c>
      <c r="N589" s="22">
        <f>IF($L589="","",IF($L589&lt;=0.005,0,$L589+N($M589)))</f>
        <v>0</v>
      </c>
      <c r="O589" s="23">
        <f>IF(OR($I589="Vencido",$I589="Vencido (parcial)"),"Olá, "&amp;$A589&amp;"! Consta em aberto '"&amp;$B589&amp;"' com vencimento em "&amp;DAY($D589)&amp;"/"&amp;MONTH($D589)&amp;"/"&amp;YEAR($D589)&amp;", no valor de R$ "&amp;FIXED($N589,2)&amp;" (com multa e juros). Podemos ajudar a regularizar hoje? Obrigado!",IF($I589="Vence hoje","Olá, "&amp;$A589&amp;"! Lembrete: '"&amp;$B589&amp;"' vence hoje, no valor de R$ "&amp;FIXED($L589,2)&amp;". Obrigado!",""))</f>
        <v>0</v>
      </c>
    </row>
    <row r="590" spans="1:15">
      <c r="A590" s="13"/>
      <c r="B590" s="13"/>
      <c r="C590" s="17"/>
      <c r="D590" s="17"/>
      <c r="E590" s="18"/>
      <c r="F590" s="17"/>
      <c r="G590" s="18"/>
      <c r="H590" s="13"/>
      <c r="I590" s="19">
        <f>IF($E590="","",IF($L590&lt;=0.005,"Pago",IF($D590="","Sem vencimento",IF($D590&lt;Hoje,IF(N($G590)&gt;0,"Vencido (parcial)","Vencido"),IF($D590=Hoje,"Vence hoje","A vencer")))))</f>
        <v>0</v>
      </c>
      <c r="J590" s="20">
        <f>IF(OR($E590="",$D590=""),"",IF(AND($L590&gt;0.005,$D590&lt;Hoje),Hoje-$D590,0))</f>
        <v>0</v>
      </c>
      <c r="K590" s="20">
        <f>IF($J590="","",IF($L590&lt;=0.005,"Pago",IF($J590&lt;=0,"A vencer",IF($J590&lt;=15,"1-15 dias",IF($J590&lt;=30,"16-30 dias",IF($J590&lt;=60,"31-60 dias","Mais de 60 dias"))))))</f>
        <v>0</v>
      </c>
      <c r="L590" s="21">
        <f>IF($E590="","",MAX(0,$E590-N($G590)))</f>
        <v>0</v>
      </c>
      <c r="M590" s="21">
        <f>IF(OR($L590="",$J590=""),"",IF($J590&gt;0,ROUND($L590*Multa+$L590*Juros/30*$J590,2),0))</f>
        <v>0</v>
      </c>
      <c r="N590" s="22">
        <f>IF($L590="","",IF($L590&lt;=0.005,0,$L590+N($M590)))</f>
        <v>0</v>
      </c>
      <c r="O590" s="23">
        <f>IF(OR($I590="Vencido",$I590="Vencido (parcial)"),"Olá, "&amp;$A590&amp;"! Consta em aberto '"&amp;$B590&amp;"' com vencimento em "&amp;DAY($D590)&amp;"/"&amp;MONTH($D590)&amp;"/"&amp;YEAR($D590)&amp;", no valor de R$ "&amp;FIXED($N590,2)&amp;" (com multa e juros). Podemos ajudar a regularizar hoje? Obrigado!",IF($I590="Vence hoje","Olá, "&amp;$A590&amp;"! Lembrete: '"&amp;$B590&amp;"' vence hoje, no valor de R$ "&amp;FIXED($L590,2)&amp;". Obrigado!",""))</f>
        <v>0</v>
      </c>
    </row>
    <row r="591" spans="1:15">
      <c r="A591" s="13"/>
      <c r="B591" s="13"/>
      <c r="C591" s="17"/>
      <c r="D591" s="17"/>
      <c r="E591" s="18"/>
      <c r="F591" s="17"/>
      <c r="G591" s="18"/>
      <c r="H591" s="13"/>
      <c r="I591" s="19">
        <f>IF($E591="","",IF($L591&lt;=0.005,"Pago",IF($D591="","Sem vencimento",IF($D591&lt;Hoje,IF(N($G591)&gt;0,"Vencido (parcial)","Vencido"),IF($D591=Hoje,"Vence hoje","A vencer")))))</f>
        <v>0</v>
      </c>
      <c r="J591" s="20">
        <f>IF(OR($E591="",$D591=""),"",IF(AND($L591&gt;0.005,$D591&lt;Hoje),Hoje-$D591,0))</f>
        <v>0</v>
      </c>
      <c r="K591" s="20">
        <f>IF($J591="","",IF($L591&lt;=0.005,"Pago",IF($J591&lt;=0,"A vencer",IF($J591&lt;=15,"1-15 dias",IF($J591&lt;=30,"16-30 dias",IF($J591&lt;=60,"31-60 dias","Mais de 60 dias"))))))</f>
        <v>0</v>
      </c>
      <c r="L591" s="21">
        <f>IF($E591="","",MAX(0,$E591-N($G591)))</f>
        <v>0</v>
      </c>
      <c r="M591" s="21">
        <f>IF(OR($L591="",$J591=""),"",IF($J591&gt;0,ROUND($L591*Multa+$L591*Juros/30*$J591,2),0))</f>
        <v>0</v>
      </c>
      <c r="N591" s="22">
        <f>IF($L591="","",IF($L591&lt;=0.005,0,$L591+N($M591)))</f>
        <v>0</v>
      </c>
      <c r="O591" s="23">
        <f>IF(OR($I591="Vencido",$I591="Vencido (parcial)"),"Olá, "&amp;$A591&amp;"! Consta em aberto '"&amp;$B591&amp;"' com vencimento em "&amp;DAY($D591)&amp;"/"&amp;MONTH($D591)&amp;"/"&amp;YEAR($D591)&amp;", no valor de R$ "&amp;FIXED($N591,2)&amp;" (com multa e juros). Podemos ajudar a regularizar hoje? Obrigado!",IF($I591="Vence hoje","Olá, "&amp;$A591&amp;"! Lembrete: '"&amp;$B591&amp;"' vence hoje, no valor de R$ "&amp;FIXED($L591,2)&amp;". Obrigado!",""))</f>
        <v>0</v>
      </c>
    </row>
    <row r="592" spans="1:15">
      <c r="A592" s="13"/>
      <c r="B592" s="13"/>
      <c r="C592" s="17"/>
      <c r="D592" s="17"/>
      <c r="E592" s="18"/>
      <c r="F592" s="17"/>
      <c r="G592" s="18"/>
      <c r="H592" s="13"/>
      <c r="I592" s="19">
        <f>IF($E592="","",IF($L592&lt;=0.005,"Pago",IF($D592="","Sem vencimento",IF($D592&lt;Hoje,IF(N($G592)&gt;0,"Vencido (parcial)","Vencido"),IF($D592=Hoje,"Vence hoje","A vencer")))))</f>
        <v>0</v>
      </c>
      <c r="J592" s="20">
        <f>IF(OR($E592="",$D592=""),"",IF(AND($L592&gt;0.005,$D592&lt;Hoje),Hoje-$D592,0))</f>
        <v>0</v>
      </c>
      <c r="K592" s="20">
        <f>IF($J592="","",IF($L592&lt;=0.005,"Pago",IF($J592&lt;=0,"A vencer",IF($J592&lt;=15,"1-15 dias",IF($J592&lt;=30,"16-30 dias",IF($J592&lt;=60,"31-60 dias","Mais de 60 dias"))))))</f>
        <v>0</v>
      </c>
      <c r="L592" s="21">
        <f>IF($E592="","",MAX(0,$E592-N($G592)))</f>
        <v>0</v>
      </c>
      <c r="M592" s="21">
        <f>IF(OR($L592="",$J592=""),"",IF($J592&gt;0,ROUND($L592*Multa+$L592*Juros/30*$J592,2),0))</f>
        <v>0</v>
      </c>
      <c r="N592" s="22">
        <f>IF($L592="","",IF($L592&lt;=0.005,0,$L592+N($M592)))</f>
        <v>0</v>
      </c>
      <c r="O592" s="23">
        <f>IF(OR($I592="Vencido",$I592="Vencido (parcial)"),"Olá, "&amp;$A592&amp;"! Consta em aberto '"&amp;$B592&amp;"' com vencimento em "&amp;DAY($D592)&amp;"/"&amp;MONTH($D592)&amp;"/"&amp;YEAR($D592)&amp;", no valor de R$ "&amp;FIXED($N592,2)&amp;" (com multa e juros). Podemos ajudar a regularizar hoje? Obrigado!",IF($I592="Vence hoje","Olá, "&amp;$A592&amp;"! Lembrete: '"&amp;$B592&amp;"' vence hoje, no valor de R$ "&amp;FIXED($L592,2)&amp;". Obrigado!",""))</f>
        <v>0</v>
      </c>
    </row>
    <row r="593" spans="1:15">
      <c r="A593" s="13"/>
      <c r="B593" s="13"/>
      <c r="C593" s="17"/>
      <c r="D593" s="17"/>
      <c r="E593" s="18"/>
      <c r="F593" s="17"/>
      <c r="G593" s="18"/>
      <c r="H593" s="13"/>
      <c r="I593" s="19">
        <f>IF($E593="","",IF($L593&lt;=0.005,"Pago",IF($D593="","Sem vencimento",IF($D593&lt;Hoje,IF(N($G593)&gt;0,"Vencido (parcial)","Vencido"),IF($D593=Hoje,"Vence hoje","A vencer")))))</f>
        <v>0</v>
      </c>
      <c r="J593" s="20">
        <f>IF(OR($E593="",$D593=""),"",IF(AND($L593&gt;0.005,$D593&lt;Hoje),Hoje-$D593,0))</f>
        <v>0</v>
      </c>
      <c r="K593" s="20">
        <f>IF($J593="","",IF($L593&lt;=0.005,"Pago",IF($J593&lt;=0,"A vencer",IF($J593&lt;=15,"1-15 dias",IF($J593&lt;=30,"16-30 dias",IF($J593&lt;=60,"31-60 dias","Mais de 60 dias"))))))</f>
        <v>0</v>
      </c>
      <c r="L593" s="21">
        <f>IF($E593="","",MAX(0,$E593-N($G593)))</f>
        <v>0</v>
      </c>
      <c r="M593" s="21">
        <f>IF(OR($L593="",$J593=""),"",IF($J593&gt;0,ROUND($L593*Multa+$L593*Juros/30*$J593,2),0))</f>
        <v>0</v>
      </c>
      <c r="N593" s="22">
        <f>IF($L593="","",IF($L593&lt;=0.005,0,$L593+N($M593)))</f>
        <v>0</v>
      </c>
      <c r="O593" s="23">
        <f>IF(OR($I593="Vencido",$I593="Vencido (parcial)"),"Olá, "&amp;$A593&amp;"! Consta em aberto '"&amp;$B593&amp;"' com vencimento em "&amp;DAY($D593)&amp;"/"&amp;MONTH($D593)&amp;"/"&amp;YEAR($D593)&amp;", no valor de R$ "&amp;FIXED($N593,2)&amp;" (com multa e juros). Podemos ajudar a regularizar hoje? Obrigado!",IF($I593="Vence hoje","Olá, "&amp;$A593&amp;"! Lembrete: '"&amp;$B593&amp;"' vence hoje, no valor de R$ "&amp;FIXED($L593,2)&amp;". Obrigado!",""))</f>
        <v>0</v>
      </c>
    </row>
    <row r="594" spans="1:15">
      <c r="A594" s="13"/>
      <c r="B594" s="13"/>
      <c r="C594" s="17"/>
      <c r="D594" s="17"/>
      <c r="E594" s="18"/>
      <c r="F594" s="17"/>
      <c r="G594" s="18"/>
      <c r="H594" s="13"/>
      <c r="I594" s="19">
        <f>IF($E594="","",IF($L594&lt;=0.005,"Pago",IF($D594="","Sem vencimento",IF($D594&lt;Hoje,IF(N($G594)&gt;0,"Vencido (parcial)","Vencido"),IF($D594=Hoje,"Vence hoje","A vencer")))))</f>
        <v>0</v>
      </c>
      <c r="J594" s="20">
        <f>IF(OR($E594="",$D594=""),"",IF(AND($L594&gt;0.005,$D594&lt;Hoje),Hoje-$D594,0))</f>
        <v>0</v>
      </c>
      <c r="K594" s="20">
        <f>IF($J594="","",IF($L594&lt;=0.005,"Pago",IF($J594&lt;=0,"A vencer",IF($J594&lt;=15,"1-15 dias",IF($J594&lt;=30,"16-30 dias",IF($J594&lt;=60,"31-60 dias","Mais de 60 dias"))))))</f>
        <v>0</v>
      </c>
      <c r="L594" s="21">
        <f>IF($E594="","",MAX(0,$E594-N($G594)))</f>
        <v>0</v>
      </c>
      <c r="M594" s="21">
        <f>IF(OR($L594="",$J594=""),"",IF($J594&gt;0,ROUND($L594*Multa+$L594*Juros/30*$J594,2),0))</f>
        <v>0</v>
      </c>
      <c r="N594" s="22">
        <f>IF($L594="","",IF($L594&lt;=0.005,0,$L594+N($M594)))</f>
        <v>0</v>
      </c>
      <c r="O594" s="23">
        <f>IF(OR($I594="Vencido",$I594="Vencido (parcial)"),"Olá, "&amp;$A594&amp;"! Consta em aberto '"&amp;$B594&amp;"' com vencimento em "&amp;DAY($D594)&amp;"/"&amp;MONTH($D594)&amp;"/"&amp;YEAR($D594)&amp;", no valor de R$ "&amp;FIXED($N594,2)&amp;" (com multa e juros). Podemos ajudar a regularizar hoje? Obrigado!",IF($I594="Vence hoje","Olá, "&amp;$A594&amp;"! Lembrete: '"&amp;$B594&amp;"' vence hoje, no valor de R$ "&amp;FIXED($L594,2)&amp;". Obrigado!",""))</f>
        <v>0</v>
      </c>
    </row>
    <row r="595" spans="1:15">
      <c r="A595" s="13"/>
      <c r="B595" s="13"/>
      <c r="C595" s="17"/>
      <c r="D595" s="17"/>
      <c r="E595" s="18"/>
      <c r="F595" s="17"/>
      <c r="G595" s="18"/>
      <c r="H595" s="13"/>
      <c r="I595" s="19">
        <f>IF($E595="","",IF($L595&lt;=0.005,"Pago",IF($D595="","Sem vencimento",IF($D595&lt;Hoje,IF(N($G595)&gt;0,"Vencido (parcial)","Vencido"),IF($D595=Hoje,"Vence hoje","A vencer")))))</f>
        <v>0</v>
      </c>
      <c r="J595" s="20">
        <f>IF(OR($E595="",$D595=""),"",IF(AND($L595&gt;0.005,$D595&lt;Hoje),Hoje-$D595,0))</f>
        <v>0</v>
      </c>
      <c r="K595" s="20">
        <f>IF($J595="","",IF($L595&lt;=0.005,"Pago",IF($J595&lt;=0,"A vencer",IF($J595&lt;=15,"1-15 dias",IF($J595&lt;=30,"16-30 dias",IF($J595&lt;=60,"31-60 dias","Mais de 60 dias"))))))</f>
        <v>0</v>
      </c>
      <c r="L595" s="21">
        <f>IF($E595="","",MAX(0,$E595-N($G595)))</f>
        <v>0</v>
      </c>
      <c r="M595" s="21">
        <f>IF(OR($L595="",$J595=""),"",IF($J595&gt;0,ROUND($L595*Multa+$L595*Juros/30*$J595,2),0))</f>
        <v>0</v>
      </c>
      <c r="N595" s="22">
        <f>IF($L595="","",IF($L595&lt;=0.005,0,$L595+N($M595)))</f>
        <v>0</v>
      </c>
      <c r="O595" s="23">
        <f>IF(OR($I595="Vencido",$I595="Vencido (parcial)"),"Olá, "&amp;$A595&amp;"! Consta em aberto '"&amp;$B595&amp;"' com vencimento em "&amp;DAY($D595)&amp;"/"&amp;MONTH($D595)&amp;"/"&amp;YEAR($D595)&amp;", no valor de R$ "&amp;FIXED($N595,2)&amp;" (com multa e juros). Podemos ajudar a regularizar hoje? Obrigado!",IF($I595="Vence hoje","Olá, "&amp;$A595&amp;"! Lembrete: '"&amp;$B595&amp;"' vence hoje, no valor de R$ "&amp;FIXED($L595,2)&amp;". Obrigado!",""))</f>
        <v>0</v>
      </c>
    </row>
    <row r="596" spans="1:15">
      <c r="A596" s="13"/>
      <c r="B596" s="13"/>
      <c r="C596" s="17"/>
      <c r="D596" s="17"/>
      <c r="E596" s="18"/>
      <c r="F596" s="17"/>
      <c r="G596" s="18"/>
      <c r="H596" s="13"/>
      <c r="I596" s="19">
        <f>IF($E596="","",IF($L596&lt;=0.005,"Pago",IF($D596="","Sem vencimento",IF($D596&lt;Hoje,IF(N($G596)&gt;0,"Vencido (parcial)","Vencido"),IF($D596=Hoje,"Vence hoje","A vencer")))))</f>
        <v>0</v>
      </c>
      <c r="J596" s="20">
        <f>IF(OR($E596="",$D596=""),"",IF(AND($L596&gt;0.005,$D596&lt;Hoje),Hoje-$D596,0))</f>
        <v>0</v>
      </c>
      <c r="K596" s="20">
        <f>IF($J596="","",IF($L596&lt;=0.005,"Pago",IF($J596&lt;=0,"A vencer",IF($J596&lt;=15,"1-15 dias",IF($J596&lt;=30,"16-30 dias",IF($J596&lt;=60,"31-60 dias","Mais de 60 dias"))))))</f>
        <v>0</v>
      </c>
      <c r="L596" s="21">
        <f>IF($E596="","",MAX(0,$E596-N($G596)))</f>
        <v>0</v>
      </c>
      <c r="M596" s="21">
        <f>IF(OR($L596="",$J596=""),"",IF($J596&gt;0,ROUND($L596*Multa+$L596*Juros/30*$J596,2),0))</f>
        <v>0</v>
      </c>
      <c r="N596" s="22">
        <f>IF($L596="","",IF($L596&lt;=0.005,0,$L596+N($M596)))</f>
        <v>0</v>
      </c>
      <c r="O596" s="23">
        <f>IF(OR($I596="Vencido",$I596="Vencido (parcial)"),"Olá, "&amp;$A596&amp;"! Consta em aberto '"&amp;$B596&amp;"' com vencimento em "&amp;DAY($D596)&amp;"/"&amp;MONTH($D596)&amp;"/"&amp;YEAR($D596)&amp;", no valor de R$ "&amp;FIXED($N596,2)&amp;" (com multa e juros). Podemos ajudar a regularizar hoje? Obrigado!",IF($I596="Vence hoje","Olá, "&amp;$A596&amp;"! Lembrete: '"&amp;$B596&amp;"' vence hoje, no valor de R$ "&amp;FIXED($L596,2)&amp;". Obrigado!",""))</f>
        <v>0</v>
      </c>
    </row>
    <row r="597" spans="1:15">
      <c r="A597" s="13"/>
      <c r="B597" s="13"/>
      <c r="C597" s="17"/>
      <c r="D597" s="17"/>
      <c r="E597" s="18"/>
      <c r="F597" s="17"/>
      <c r="G597" s="18"/>
      <c r="H597" s="13"/>
      <c r="I597" s="19">
        <f>IF($E597="","",IF($L597&lt;=0.005,"Pago",IF($D597="","Sem vencimento",IF($D597&lt;Hoje,IF(N($G597)&gt;0,"Vencido (parcial)","Vencido"),IF($D597=Hoje,"Vence hoje","A vencer")))))</f>
        <v>0</v>
      </c>
      <c r="J597" s="20">
        <f>IF(OR($E597="",$D597=""),"",IF(AND($L597&gt;0.005,$D597&lt;Hoje),Hoje-$D597,0))</f>
        <v>0</v>
      </c>
      <c r="K597" s="20">
        <f>IF($J597="","",IF($L597&lt;=0.005,"Pago",IF($J597&lt;=0,"A vencer",IF($J597&lt;=15,"1-15 dias",IF($J597&lt;=30,"16-30 dias",IF($J597&lt;=60,"31-60 dias","Mais de 60 dias"))))))</f>
        <v>0</v>
      </c>
      <c r="L597" s="21">
        <f>IF($E597="","",MAX(0,$E597-N($G597)))</f>
        <v>0</v>
      </c>
      <c r="M597" s="21">
        <f>IF(OR($L597="",$J597=""),"",IF($J597&gt;0,ROUND($L597*Multa+$L597*Juros/30*$J597,2),0))</f>
        <v>0</v>
      </c>
      <c r="N597" s="22">
        <f>IF($L597="","",IF($L597&lt;=0.005,0,$L597+N($M597)))</f>
        <v>0</v>
      </c>
      <c r="O597" s="23">
        <f>IF(OR($I597="Vencido",$I597="Vencido (parcial)"),"Olá, "&amp;$A597&amp;"! Consta em aberto '"&amp;$B597&amp;"' com vencimento em "&amp;DAY($D597)&amp;"/"&amp;MONTH($D597)&amp;"/"&amp;YEAR($D597)&amp;", no valor de R$ "&amp;FIXED($N597,2)&amp;" (com multa e juros). Podemos ajudar a regularizar hoje? Obrigado!",IF($I597="Vence hoje","Olá, "&amp;$A597&amp;"! Lembrete: '"&amp;$B597&amp;"' vence hoje, no valor de R$ "&amp;FIXED($L597,2)&amp;". Obrigado!",""))</f>
        <v>0</v>
      </c>
    </row>
    <row r="598" spans="1:15">
      <c r="A598" s="13"/>
      <c r="B598" s="13"/>
      <c r="C598" s="17"/>
      <c r="D598" s="17"/>
      <c r="E598" s="18"/>
      <c r="F598" s="17"/>
      <c r="G598" s="18"/>
      <c r="H598" s="13"/>
      <c r="I598" s="19">
        <f>IF($E598="","",IF($L598&lt;=0.005,"Pago",IF($D598="","Sem vencimento",IF($D598&lt;Hoje,IF(N($G598)&gt;0,"Vencido (parcial)","Vencido"),IF($D598=Hoje,"Vence hoje","A vencer")))))</f>
        <v>0</v>
      </c>
      <c r="J598" s="20">
        <f>IF(OR($E598="",$D598=""),"",IF(AND($L598&gt;0.005,$D598&lt;Hoje),Hoje-$D598,0))</f>
        <v>0</v>
      </c>
      <c r="K598" s="20">
        <f>IF($J598="","",IF($L598&lt;=0.005,"Pago",IF($J598&lt;=0,"A vencer",IF($J598&lt;=15,"1-15 dias",IF($J598&lt;=30,"16-30 dias",IF($J598&lt;=60,"31-60 dias","Mais de 60 dias"))))))</f>
        <v>0</v>
      </c>
      <c r="L598" s="21">
        <f>IF($E598="","",MAX(0,$E598-N($G598)))</f>
        <v>0</v>
      </c>
      <c r="M598" s="21">
        <f>IF(OR($L598="",$J598=""),"",IF($J598&gt;0,ROUND($L598*Multa+$L598*Juros/30*$J598,2),0))</f>
        <v>0</v>
      </c>
      <c r="N598" s="22">
        <f>IF($L598="","",IF($L598&lt;=0.005,0,$L598+N($M598)))</f>
        <v>0</v>
      </c>
      <c r="O598" s="23">
        <f>IF(OR($I598="Vencido",$I598="Vencido (parcial)"),"Olá, "&amp;$A598&amp;"! Consta em aberto '"&amp;$B598&amp;"' com vencimento em "&amp;DAY($D598)&amp;"/"&amp;MONTH($D598)&amp;"/"&amp;YEAR($D598)&amp;", no valor de R$ "&amp;FIXED($N598,2)&amp;" (com multa e juros). Podemos ajudar a regularizar hoje? Obrigado!",IF($I598="Vence hoje","Olá, "&amp;$A598&amp;"! Lembrete: '"&amp;$B598&amp;"' vence hoje, no valor de R$ "&amp;FIXED($L598,2)&amp;". Obrigado!",""))</f>
        <v>0</v>
      </c>
    </row>
    <row r="599" spans="1:15">
      <c r="A599" s="13"/>
      <c r="B599" s="13"/>
      <c r="C599" s="17"/>
      <c r="D599" s="17"/>
      <c r="E599" s="18"/>
      <c r="F599" s="17"/>
      <c r="G599" s="18"/>
      <c r="H599" s="13"/>
      <c r="I599" s="19">
        <f>IF($E599="","",IF($L599&lt;=0.005,"Pago",IF($D599="","Sem vencimento",IF($D599&lt;Hoje,IF(N($G599)&gt;0,"Vencido (parcial)","Vencido"),IF($D599=Hoje,"Vence hoje","A vencer")))))</f>
        <v>0</v>
      </c>
      <c r="J599" s="20">
        <f>IF(OR($E599="",$D599=""),"",IF(AND($L599&gt;0.005,$D599&lt;Hoje),Hoje-$D599,0))</f>
        <v>0</v>
      </c>
      <c r="K599" s="20">
        <f>IF($J599="","",IF($L599&lt;=0.005,"Pago",IF($J599&lt;=0,"A vencer",IF($J599&lt;=15,"1-15 dias",IF($J599&lt;=30,"16-30 dias",IF($J599&lt;=60,"31-60 dias","Mais de 60 dias"))))))</f>
        <v>0</v>
      </c>
      <c r="L599" s="21">
        <f>IF($E599="","",MAX(0,$E599-N($G599)))</f>
        <v>0</v>
      </c>
      <c r="M599" s="21">
        <f>IF(OR($L599="",$J599=""),"",IF($J599&gt;0,ROUND($L599*Multa+$L599*Juros/30*$J599,2),0))</f>
        <v>0</v>
      </c>
      <c r="N599" s="22">
        <f>IF($L599="","",IF($L599&lt;=0.005,0,$L599+N($M599)))</f>
        <v>0</v>
      </c>
      <c r="O599" s="23">
        <f>IF(OR($I599="Vencido",$I599="Vencido (parcial)"),"Olá, "&amp;$A599&amp;"! Consta em aberto '"&amp;$B599&amp;"' com vencimento em "&amp;DAY($D599)&amp;"/"&amp;MONTH($D599)&amp;"/"&amp;YEAR($D599)&amp;", no valor de R$ "&amp;FIXED($N599,2)&amp;" (com multa e juros). Podemos ajudar a regularizar hoje? Obrigado!",IF($I599="Vence hoje","Olá, "&amp;$A599&amp;"! Lembrete: '"&amp;$B599&amp;"' vence hoje, no valor de R$ "&amp;FIXED($L599,2)&amp;". Obrigado!",""))</f>
        <v>0</v>
      </c>
    </row>
    <row r="600" spans="1:15">
      <c r="A600" s="13"/>
      <c r="B600" s="13"/>
      <c r="C600" s="17"/>
      <c r="D600" s="17"/>
      <c r="E600" s="18"/>
      <c r="F600" s="17"/>
      <c r="G600" s="18"/>
      <c r="H600" s="13"/>
      <c r="I600" s="19">
        <f>IF($E600="","",IF($L600&lt;=0.005,"Pago",IF($D600="","Sem vencimento",IF($D600&lt;Hoje,IF(N($G600)&gt;0,"Vencido (parcial)","Vencido"),IF($D600=Hoje,"Vence hoje","A vencer")))))</f>
        <v>0</v>
      </c>
      <c r="J600" s="20">
        <f>IF(OR($E600="",$D600=""),"",IF(AND($L600&gt;0.005,$D600&lt;Hoje),Hoje-$D600,0))</f>
        <v>0</v>
      </c>
      <c r="K600" s="20">
        <f>IF($J600="","",IF($L600&lt;=0.005,"Pago",IF($J600&lt;=0,"A vencer",IF($J600&lt;=15,"1-15 dias",IF($J600&lt;=30,"16-30 dias",IF($J600&lt;=60,"31-60 dias","Mais de 60 dias"))))))</f>
        <v>0</v>
      </c>
      <c r="L600" s="21">
        <f>IF($E600="","",MAX(0,$E600-N($G600)))</f>
        <v>0</v>
      </c>
      <c r="M600" s="21">
        <f>IF(OR($L600="",$J600=""),"",IF($J600&gt;0,ROUND($L600*Multa+$L600*Juros/30*$J600,2),0))</f>
        <v>0</v>
      </c>
      <c r="N600" s="22">
        <f>IF($L600="","",IF($L600&lt;=0.005,0,$L600+N($M600)))</f>
        <v>0</v>
      </c>
      <c r="O600" s="23">
        <f>IF(OR($I600="Vencido",$I600="Vencido (parcial)"),"Olá, "&amp;$A600&amp;"! Consta em aberto '"&amp;$B600&amp;"' com vencimento em "&amp;DAY($D600)&amp;"/"&amp;MONTH($D600)&amp;"/"&amp;YEAR($D600)&amp;", no valor de R$ "&amp;FIXED($N600,2)&amp;" (com multa e juros). Podemos ajudar a regularizar hoje? Obrigado!",IF($I600="Vence hoje","Olá, "&amp;$A600&amp;"! Lembrete: '"&amp;$B600&amp;"' vence hoje, no valor de R$ "&amp;FIXED($L600,2)&amp;". Obrigado!",""))</f>
        <v>0</v>
      </c>
    </row>
    <row r="601" spans="1:15">
      <c r="A601" s="13"/>
      <c r="B601" s="13"/>
      <c r="C601" s="17"/>
      <c r="D601" s="17"/>
      <c r="E601" s="18"/>
      <c r="F601" s="17"/>
      <c r="G601" s="18"/>
      <c r="H601" s="13"/>
      <c r="I601" s="19">
        <f>IF($E601="","",IF($L601&lt;=0.005,"Pago",IF($D601="","Sem vencimento",IF($D601&lt;Hoje,IF(N($G601)&gt;0,"Vencido (parcial)","Vencido"),IF($D601=Hoje,"Vence hoje","A vencer")))))</f>
        <v>0</v>
      </c>
      <c r="J601" s="20">
        <f>IF(OR($E601="",$D601=""),"",IF(AND($L601&gt;0.005,$D601&lt;Hoje),Hoje-$D601,0))</f>
        <v>0</v>
      </c>
      <c r="K601" s="20">
        <f>IF($J601="","",IF($L601&lt;=0.005,"Pago",IF($J601&lt;=0,"A vencer",IF($J601&lt;=15,"1-15 dias",IF($J601&lt;=30,"16-30 dias",IF($J601&lt;=60,"31-60 dias","Mais de 60 dias"))))))</f>
        <v>0</v>
      </c>
      <c r="L601" s="21">
        <f>IF($E601="","",MAX(0,$E601-N($G601)))</f>
        <v>0</v>
      </c>
      <c r="M601" s="21">
        <f>IF(OR($L601="",$J601=""),"",IF($J601&gt;0,ROUND($L601*Multa+$L601*Juros/30*$J601,2),0))</f>
        <v>0</v>
      </c>
      <c r="N601" s="22">
        <f>IF($L601="","",IF($L601&lt;=0.005,0,$L601+N($M601)))</f>
        <v>0</v>
      </c>
      <c r="O601" s="23">
        <f>IF(OR($I601="Vencido",$I601="Vencido (parcial)"),"Olá, "&amp;$A601&amp;"! Consta em aberto '"&amp;$B601&amp;"' com vencimento em "&amp;DAY($D601)&amp;"/"&amp;MONTH($D601)&amp;"/"&amp;YEAR($D601)&amp;", no valor de R$ "&amp;FIXED($N601,2)&amp;" (com multa e juros). Podemos ajudar a regularizar hoje? Obrigado!",IF($I601="Vence hoje","Olá, "&amp;$A601&amp;"! Lembrete: '"&amp;$B601&amp;"' vence hoje, no valor de R$ "&amp;FIXED($L601,2)&amp;". Obrigado!",""))</f>
        <v>0</v>
      </c>
    </row>
    <row r="602" spans="1:15">
      <c r="A602" s="13"/>
      <c r="B602" s="13"/>
      <c r="C602" s="17"/>
      <c r="D602" s="17"/>
      <c r="E602" s="18"/>
      <c r="F602" s="17"/>
      <c r="G602" s="18"/>
      <c r="H602" s="13"/>
      <c r="I602" s="19">
        <f>IF($E602="","",IF($L602&lt;=0.005,"Pago",IF($D602="","Sem vencimento",IF($D602&lt;Hoje,IF(N($G602)&gt;0,"Vencido (parcial)","Vencido"),IF($D602=Hoje,"Vence hoje","A vencer")))))</f>
        <v>0</v>
      </c>
      <c r="J602" s="20">
        <f>IF(OR($E602="",$D602=""),"",IF(AND($L602&gt;0.005,$D602&lt;Hoje),Hoje-$D602,0))</f>
        <v>0</v>
      </c>
      <c r="K602" s="20">
        <f>IF($J602="","",IF($L602&lt;=0.005,"Pago",IF($J602&lt;=0,"A vencer",IF($J602&lt;=15,"1-15 dias",IF($J602&lt;=30,"16-30 dias",IF($J602&lt;=60,"31-60 dias","Mais de 60 dias"))))))</f>
        <v>0</v>
      </c>
      <c r="L602" s="21">
        <f>IF($E602="","",MAX(0,$E602-N($G602)))</f>
        <v>0</v>
      </c>
      <c r="M602" s="21">
        <f>IF(OR($L602="",$J602=""),"",IF($J602&gt;0,ROUND($L602*Multa+$L602*Juros/30*$J602,2),0))</f>
        <v>0</v>
      </c>
      <c r="N602" s="22">
        <f>IF($L602="","",IF($L602&lt;=0.005,0,$L602+N($M602)))</f>
        <v>0</v>
      </c>
      <c r="O602" s="23">
        <f>IF(OR($I602="Vencido",$I602="Vencido (parcial)"),"Olá, "&amp;$A602&amp;"! Consta em aberto '"&amp;$B602&amp;"' com vencimento em "&amp;DAY($D602)&amp;"/"&amp;MONTH($D602)&amp;"/"&amp;YEAR($D602)&amp;", no valor de R$ "&amp;FIXED($N602,2)&amp;" (com multa e juros). Podemos ajudar a regularizar hoje? Obrigado!",IF($I602="Vence hoje","Olá, "&amp;$A602&amp;"! Lembrete: '"&amp;$B602&amp;"' vence hoje, no valor de R$ "&amp;FIXED($L602,2)&amp;". Obrigado!",""))</f>
        <v>0</v>
      </c>
    </row>
    <row r="603" spans="1:15">
      <c r="A603" s="13"/>
      <c r="B603" s="13"/>
      <c r="C603" s="17"/>
      <c r="D603" s="17"/>
      <c r="E603" s="18"/>
      <c r="F603" s="17"/>
      <c r="G603" s="18"/>
      <c r="H603" s="13"/>
      <c r="I603" s="19">
        <f>IF($E603="","",IF($L603&lt;=0.005,"Pago",IF($D603="","Sem vencimento",IF($D603&lt;Hoje,IF(N($G603)&gt;0,"Vencido (parcial)","Vencido"),IF($D603=Hoje,"Vence hoje","A vencer")))))</f>
        <v>0</v>
      </c>
      <c r="J603" s="20">
        <f>IF(OR($E603="",$D603=""),"",IF(AND($L603&gt;0.005,$D603&lt;Hoje),Hoje-$D603,0))</f>
        <v>0</v>
      </c>
      <c r="K603" s="20">
        <f>IF($J603="","",IF($L603&lt;=0.005,"Pago",IF($J603&lt;=0,"A vencer",IF($J603&lt;=15,"1-15 dias",IF($J603&lt;=30,"16-30 dias",IF($J603&lt;=60,"31-60 dias","Mais de 60 dias"))))))</f>
        <v>0</v>
      </c>
      <c r="L603" s="21">
        <f>IF($E603="","",MAX(0,$E603-N($G603)))</f>
        <v>0</v>
      </c>
      <c r="M603" s="21">
        <f>IF(OR($L603="",$J603=""),"",IF($J603&gt;0,ROUND($L603*Multa+$L603*Juros/30*$J603,2),0))</f>
        <v>0</v>
      </c>
      <c r="N603" s="22">
        <f>IF($L603="","",IF($L603&lt;=0.005,0,$L603+N($M603)))</f>
        <v>0</v>
      </c>
      <c r="O603" s="23">
        <f>IF(OR($I603="Vencido",$I603="Vencido (parcial)"),"Olá, "&amp;$A603&amp;"! Consta em aberto '"&amp;$B603&amp;"' com vencimento em "&amp;DAY($D603)&amp;"/"&amp;MONTH($D603)&amp;"/"&amp;YEAR($D603)&amp;", no valor de R$ "&amp;FIXED($N603,2)&amp;" (com multa e juros). Podemos ajudar a regularizar hoje? Obrigado!",IF($I603="Vence hoje","Olá, "&amp;$A603&amp;"! Lembrete: '"&amp;$B603&amp;"' vence hoje, no valor de R$ "&amp;FIXED($L603,2)&amp;". Obrigado!",""))</f>
        <v>0</v>
      </c>
    </row>
    <row r="604" spans="1:15">
      <c r="A604" s="13"/>
      <c r="B604" s="13"/>
      <c r="C604" s="17"/>
      <c r="D604" s="17"/>
      <c r="E604" s="18"/>
      <c r="F604" s="17"/>
      <c r="G604" s="18"/>
      <c r="H604" s="13"/>
      <c r="I604" s="19">
        <f>IF($E604="","",IF($L604&lt;=0.005,"Pago",IF($D604="","Sem vencimento",IF($D604&lt;Hoje,IF(N($G604)&gt;0,"Vencido (parcial)","Vencido"),IF($D604=Hoje,"Vence hoje","A vencer")))))</f>
        <v>0</v>
      </c>
      <c r="J604" s="20">
        <f>IF(OR($E604="",$D604=""),"",IF(AND($L604&gt;0.005,$D604&lt;Hoje),Hoje-$D604,0))</f>
        <v>0</v>
      </c>
      <c r="K604" s="20">
        <f>IF($J604="","",IF($L604&lt;=0.005,"Pago",IF($J604&lt;=0,"A vencer",IF($J604&lt;=15,"1-15 dias",IF($J604&lt;=30,"16-30 dias",IF($J604&lt;=60,"31-60 dias","Mais de 60 dias"))))))</f>
        <v>0</v>
      </c>
      <c r="L604" s="21">
        <f>IF($E604="","",MAX(0,$E604-N($G604)))</f>
        <v>0</v>
      </c>
      <c r="M604" s="21">
        <f>IF(OR($L604="",$J604=""),"",IF($J604&gt;0,ROUND($L604*Multa+$L604*Juros/30*$J604,2),0))</f>
        <v>0</v>
      </c>
      <c r="N604" s="22">
        <f>IF($L604="","",IF($L604&lt;=0.005,0,$L604+N($M604)))</f>
        <v>0</v>
      </c>
      <c r="O604" s="23">
        <f>IF(OR($I604="Vencido",$I604="Vencido (parcial)"),"Olá, "&amp;$A604&amp;"! Consta em aberto '"&amp;$B604&amp;"' com vencimento em "&amp;DAY($D604)&amp;"/"&amp;MONTH($D604)&amp;"/"&amp;YEAR($D604)&amp;", no valor de R$ "&amp;FIXED($N604,2)&amp;" (com multa e juros). Podemos ajudar a regularizar hoje? Obrigado!",IF($I604="Vence hoje","Olá, "&amp;$A604&amp;"! Lembrete: '"&amp;$B604&amp;"' vence hoje, no valor de R$ "&amp;FIXED($L604,2)&amp;". Obrigado!",""))</f>
        <v>0</v>
      </c>
    </row>
    <row r="605" spans="1:15">
      <c r="A605" s="13"/>
      <c r="B605" s="13"/>
      <c r="C605" s="17"/>
      <c r="D605" s="17"/>
      <c r="E605" s="18"/>
      <c r="F605" s="17"/>
      <c r="G605" s="18"/>
      <c r="H605" s="13"/>
      <c r="I605" s="19">
        <f>IF($E605="","",IF($L605&lt;=0.005,"Pago",IF($D605="","Sem vencimento",IF($D605&lt;Hoje,IF(N($G605)&gt;0,"Vencido (parcial)","Vencido"),IF($D605=Hoje,"Vence hoje","A vencer")))))</f>
        <v>0</v>
      </c>
      <c r="J605" s="20">
        <f>IF(OR($E605="",$D605=""),"",IF(AND($L605&gt;0.005,$D605&lt;Hoje),Hoje-$D605,0))</f>
        <v>0</v>
      </c>
      <c r="K605" s="20">
        <f>IF($J605="","",IF($L605&lt;=0.005,"Pago",IF($J605&lt;=0,"A vencer",IF($J605&lt;=15,"1-15 dias",IF($J605&lt;=30,"16-30 dias",IF($J605&lt;=60,"31-60 dias","Mais de 60 dias"))))))</f>
        <v>0</v>
      </c>
      <c r="L605" s="21">
        <f>IF($E605="","",MAX(0,$E605-N($G605)))</f>
        <v>0</v>
      </c>
      <c r="M605" s="21">
        <f>IF(OR($L605="",$J605=""),"",IF($J605&gt;0,ROUND($L605*Multa+$L605*Juros/30*$J605,2),0))</f>
        <v>0</v>
      </c>
      <c r="N605" s="22">
        <f>IF($L605="","",IF($L605&lt;=0.005,0,$L605+N($M605)))</f>
        <v>0</v>
      </c>
      <c r="O605" s="23">
        <f>IF(OR($I605="Vencido",$I605="Vencido (parcial)"),"Olá, "&amp;$A605&amp;"! Consta em aberto '"&amp;$B605&amp;"' com vencimento em "&amp;DAY($D605)&amp;"/"&amp;MONTH($D605)&amp;"/"&amp;YEAR($D605)&amp;", no valor de R$ "&amp;FIXED($N605,2)&amp;" (com multa e juros). Podemos ajudar a regularizar hoje? Obrigado!",IF($I605="Vence hoje","Olá, "&amp;$A605&amp;"! Lembrete: '"&amp;$B605&amp;"' vence hoje, no valor de R$ "&amp;FIXED($L605,2)&amp;". Obrigado!",""))</f>
        <v>0</v>
      </c>
    </row>
    <row r="606" spans="1:15">
      <c r="A606" s="13"/>
      <c r="B606" s="13"/>
      <c r="C606" s="17"/>
      <c r="D606" s="17"/>
      <c r="E606" s="18"/>
      <c r="F606" s="17"/>
      <c r="G606" s="18"/>
      <c r="H606" s="13"/>
      <c r="I606" s="19">
        <f>IF($E606="","",IF($L606&lt;=0.005,"Pago",IF($D606="","Sem vencimento",IF($D606&lt;Hoje,IF(N($G606)&gt;0,"Vencido (parcial)","Vencido"),IF($D606=Hoje,"Vence hoje","A vencer")))))</f>
        <v>0</v>
      </c>
      <c r="J606" s="20">
        <f>IF(OR($E606="",$D606=""),"",IF(AND($L606&gt;0.005,$D606&lt;Hoje),Hoje-$D606,0))</f>
        <v>0</v>
      </c>
      <c r="K606" s="20">
        <f>IF($J606="","",IF($L606&lt;=0.005,"Pago",IF($J606&lt;=0,"A vencer",IF($J606&lt;=15,"1-15 dias",IF($J606&lt;=30,"16-30 dias",IF($J606&lt;=60,"31-60 dias","Mais de 60 dias"))))))</f>
        <v>0</v>
      </c>
      <c r="L606" s="21">
        <f>IF($E606="","",MAX(0,$E606-N($G606)))</f>
        <v>0</v>
      </c>
      <c r="M606" s="21">
        <f>IF(OR($L606="",$J606=""),"",IF($J606&gt;0,ROUND($L606*Multa+$L606*Juros/30*$J606,2),0))</f>
        <v>0</v>
      </c>
      <c r="N606" s="22">
        <f>IF($L606="","",IF($L606&lt;=0.005,0,$L606+N($M606)))</f>
        <v>0</v>
      </c>
      <c r="O606" s="23">
        <f>IF(OR($I606="Vencido",$I606="Vencido (parcial)"),"Olá, "&amp;$A606&amp;"! Consta em aberto '"&amp;$B606&amp;"' com vencimento em "&amp;DAY($D606)&amp;"/"&amp;MONTH($D606)&amp;"/"&amp;YEAR($D606)&amp;", no valor de R$ "&amp;FIXED($N606,2)&amp;" (com multa e juros). Podemos ajudar a regularizar hoje? Obrigado!",IF($I606="Vence hoje","Olá, "&amp;$A606&amp;"! Lembrete: '"&amp;$B606&amp;"' vence hoje, no valor de R$ "&amp;FIXED($L606,2)&amp;". Obrigado!",""))</f>
        <v>0</v>
      </c>
    </row>
    <row r="607" spans="1:15">
      <c r="A607" s="13"/>
      <c r="B607" s="13"/>
      <c r="C607" s="17"/>
      <c r="D607" s="17"/>
      <c r="E607" s="18"/>
      <c r="F607" s="17"/>
      <c r="G607" s="18"/>
      <c r="H607" s="13"/>
      <c r="I607" s="19">
        <f>IF($E607="","",IF($L607&lt;=0.005,"Pago",IF($D607="","Sem vencimento",IF($D607&lt;Hoje,IF(N($G607)&gt;0,"Vencido (parcial)","Vencido"),IF($D607=Hoje,"Vence hoje","A vencer")))))</f>
        <v>0</v>
      </c>
      <c r="J607" s="20">
        <f>IF(OR($E607="",$D607=""),"",IF(AND($L607&gt;0.005,$D607&lt;Hoje),Hoje-$D607,0))</f>
        <v>0</v>
      </c>
      <c r="K607" s="20">
        <f>IF($J607="","",IF($L607&lt;=0.005,"Pago",IF($J607&lt;=0,"A vencer",IF($J607&lt;=15,"1-15 dias",IF($J607&lt;=30,"16-30 dias",IF($J607&lt;=60,"31-60 dias","Mais de 60 dias"))))))</f>
        <v>0</v>
      </c>
      <c r="L607" s="21">
        <f>IF($E607="","",MAX(0,$E607-N($G607)))</f>
        <v>0</v>
      </c>
      <c r="M607" s="21">
        <f>IF(OR($L607="",$J607=""),"",IF($J607&gt;0,ROUND($L607*Multa+$L607*Juros/30*$J607,2),0))</f>
        <v>0</v>
      </c>
      <c r="N607" s="22">
        <f>IF($L607="","",IF($L607&lt;=0.005,0,$L607+N($M607)))</f>
        <v>0</v>
      </c>
      <c r="O607" s="23">
        <f>IF(OR($I607="Vencido",$I607="Vencido (parcial)"),"Olá, "&amp;$A607&amp;"! Consta em aberto '"&amp;$B607&amp;"' com vencimento em "&amp;DAY($D607)&amp;"/"&amp;MONTH($D607)&amp;"/"&amp;YEAR($D607)&amp;", no valor de R$ "&amp;FIXED($N607,2)&amp;" (com multa e juros). Podemos ajudar a regularizar hoje? Obrigado!",IF($I607="Vence hoje","Olá, "&amp;$A607&amp;"! Lembrete: '"&amp;$B607&amp;"' vence hoje, no valor de R$ "&amp;FIXED($L607,2)&amp;". Obrigado!",""))</f>
        <v>0</v>
      </c>
    </row>
    <row r="608" spans="1:15">
      <c r="A608" s="13"/>
      <c r="B608" s="13"/>
      <c r="C608" s="17"/>
      <c r="D608" s="17"/>
      <c r="E608" s="18"/>
      <c r="F608" s="17"/>
      <c r="G608" s="18"/>
      <c r="H608" s="13"/>
      <c r="I608" s="19">
        <f>IF($E608="","",IF($L608&lt;=0.005,"Pago",IF($D608="","Sem vencimento",IF($D608&lt;Hoje,IF(N($G608)&gt;0,"Vencido (parcial)","Vencido"),IF($D608=Hoje,"Vence hoje","A vencer")))))</f>
        <v>0</v>
      </c>
      <c r="J608" s="20">
        <f>IF(OR($E608="",$D608=""),"",IF(AND($L608&gt;0.005,$D608&lt;Hoje),Hoje-$D608,0))</f>
        <v>0</v>
      </c>
      <c r="K608" s="20">
        <f>IF($J608="","",IF($L608&lt;=0.005,"Pago",IF($J608&lt;=0,"A vencer",IF($J608&lt;=15,"1-15 dias",IF($J608&lt;=30,"16-30 dias",IF($J608&lt;=60,"31-60 dias","Mais de 60 dias"))))))</f>
        <v>0</v>
      </c>
      <c r="L608" s="21">
        <f>IF($E608="","",MAX(0,$E608-N($G608)))</f>
        <v>0</v>
      </c>
      <c r="M608" s="21">
        <f>IF(OR($L608="",$J608=""),"",IF($J608&gt;0,ROUND($L608*Multa+$L608*Juros/30*$J608,2),0))</f>
        <v>0</v>
      </c>
      <c r="N608" s="22">
        <f>IF($L608="","",IF($L608&lt;=0.005,0,$L608+N($M608)))</f>
        <v>0</v>
      </c>
      <c r="O608" s="23">
        <f>IF(OR($I608="Vencido",$I608="Vencido (parcial)"),"Olá, "&amp;$A608&amp;"! Consta em aberto '"&amp;$B608&amp;"' com vencimento em "&amp;DAY($D608)&amp;"/"&amp;MONTH($D608)&amp;"/"&amp;YEAR($D608)&amp;", no valor de R$ "&amp;FIXED($N608,2)&amp;" (com multa e juros). Podemos ajudar a regularizar hoje? Obrigado!",IF($I608="Vence hoje","Olá, "&amp;$A608&amp;"! Lembrete: '"&amp;$B608&amp;"' vence hoje, no valor de R$ "&amp;FIXED($L608,2)&amp;". Obrigado!",""))</f>
        <v>0</v>
      </c>
    </row>
    <row r="609" spans="1:15">
      <c r="A609" s="13"/>
      <c r="B609" s="13"/>
      <c r="C609" s="17"/>
      <c r="D609" s="17"/>
      <c r="E609" s="18"/>
      <c r="F609" s="17"/>
      <c r="G609" s="18"/>
      <c r="H609" s="13"/>
      <c r="I609" s="19">
        <f>IF($E609="","",IF($L609&lt;=0.005,"Pago",IF($D609="","Sem vencimento",IF($D609&lt;Hoje,IF(N($G609)&gt;0,"Vencido (parcial)","Vencido"),IF($D609=Hoje,"Vence hoje","A vencer")))))</f>
        <v>0</v>
      </c>
      <c r="J609" s="20">
        <f>IF(OR($E609="",$D609=""),"",IF(AND($L609&gt;0.005,$D609&lt;Hoje),Hoje-$D609,0))</f>
        <v>0</v>
      </c>
      <c r="K609" s="20">
        <f>IF($J609="","",IF($L609&lt;=0.005,"Pago",IF($J609&lt;=0,"A vencer",IF($J609&lt;=15,"1-15 dias",IF($J609&lt;=30,"16-30 dias",IF($J609&lt;=60,"31-60 dias","Mais de 60 dias"))))))</f>
        <v>0</v>
      </c>
      <c r="L609" s="21">
        <f>IF($E609="","",MAX(0,$E609-N($G609)))</f>
        <v>0</v>
      </c>
      <c r="M609" s="21">
        <f>IF(OR($L609="",$J609=""),"",IF($J609&gt;0,ROUND($L609*Multa+$L609*Juros/30*$J609,2),0))</f>
        <v>0</v>
      </c>
      <c r="N609" s="22">
        <f>IF($L609="","",IF($L609&lt;=0.005,0,$L609+N($M609)))</f>
        <v>0</v>
      </c>
      <c r="O609" s="23">
        <f>IF(OR($I609="Vencido",$I609="Vencido (parcial)"),"Olá, "&amp;$A609&amp;"! Consta em aberto '"&amp;$B609&amp;"' com vencimento em "&amp;DAY($D609)&amp;"/"&amp;MONTH($D609)&amp;"/"&amp;YEAR($D609)&amp;", no valor de R$ "&amp;FIXED($N609,2)&amp;" (com multa e juros). Podemos ajudar a regularizar hoje? Obrigado!",IF($I609="Vence hoje","Olá, "&amp;$A609&amp;"! Lembrete: '"&amp;$B609&amp;"' vence hoje, no valor de R$ "&amp;FIXED($L609,2)&amp;". Obrigado!",""))</f>
        <v>0</v>
      </c>
    </row>
    <row r="610" spans="1:15">
      <c r="A610" s="13"/>
      <c r="B610" s="13"/>
      <c r="C610" s="17"/>
      <c r="D610" s="17"/>
      <c r="E610" s="18"/>
      <c r="F610" s="17"/>
      <c r="G610" s="18"/>
      <c r="H610" s="13"/>
      <c r="I610" s="19">
        <f>IF($E610="","",IF($L610&lt;=0.005,"Pago",IF($D610="","Sem vencimento",IF($D610&lt;Hoje,IF(N($G610)&gt;0,"Vencido (parcial)","Vencido"),IF($D610=Hoje,"Vence hoje","A vencer")))))</f>
        <v>0</v>
      </c>
      <c r="J610" s="20">
        <f>IF(OR($E610="",$D610=""),"",IF(AND($L610&gt;0.005,$D610&lt;Hoje),Hoje-$D610,0))</f>
        <v>0</v>
      </c>
      <c r="K610" s="20">
        <f>IF($J610="","",IF($L610&lt;=0.005,"Pago",IF($J610&lt;=0,"A vencer",IF($J610&lt;=15,"1-15 dias",IF($J610&lt;=30,"16-30 dias",IF($J610&lt;=60,"31-60 dias","Mais de 60 dias"))))))</f>
        <v>0</v>
      </c>
      <c r="L610" s="21">
        <f>IF($E610="","",MAX(0,$E610-N($G610)))</f>
        <v>0</v>
      </c>
      <c r="M610" s="21">
        <f>IF(OR($L610="",$J610=""),"",IF($J610&gt;0,ROUND($L610*Multa+$L610*Juros/30*$J610,2),0))</f>
        <v>0</v>
      </c>
      <c r="N610" s="22">
        <f>IF($L610="","",IF($L610&lt;=0.005,0,$L610+N($M610)))</f>
        <v>0</v>
      </c>
      <c r="O610" s="23">
        <f>IF(OR($I610="Vencido",$I610="Vencido (parcial)"),"Olá, "&amp;$A610&amp;"! Consta em aberto '"&amp;$B610&amp;"' com vencimento em "&amp;DAY($D610)&amp;"/"&amp;MONTH($D610)&amp;"/"&amp;YEAR($D610)&amp;", no valor de R$ "&amp;FIXED($N610,2)&amp;" (com multa e juros). Podemos ajudar a regularizar hoje? Obrigado!",IF($I610="Vence hoje","Olá, "&amp;$A610&amp;"! Lembrete: '"&amp;$B610&amp;"' vence hoje, no valor de R$ "&amp;FIXED($L610,2)&amp;". Obrigado!",""))</f>
        <v>0</v>
      </c>
    </row>
    <row r="611" spans="1:15">
      <c r="A611" s="13"/>
      <c r="B611" s="13"/>
      <c r="C611" s="17"/>
      <c r="D611" s="17"/>
      <c r="E611" s="18"/>
      <c r="F611" s="17"/>
      <c r="G611" s="18"/>
      <c r="H611" s="13"/>
      <c r="I611" s="19">
        <f>IF($E611="","",IF($L611&lt;=0.005,"Pago",IF($D611="","Sem vencimento",IF($D611&lt;Hoje,IF(N($G611)&gt;0,"Vencido (parcial)","Vencido"),IF($D611=Hoje,"Vence hoje","A vencer")))))</f>
        <v>0</v>
      </c>
      <c r="J611" s="20">
        <f>IF(OR($E611="",$D611=""),"",IF(AND($L611&gt;0.005,$D611&lt;Hoje),Hoje-$D611,0))</f>
        <v>0</v>
      </c>
      <c r="K611" s="20">
        <f>IF($J611="","",IF($L611&lt;=0.005,"Pago",IF($J611&lt;=0,"A vencer",IF($J611&lt;=15,"1-15 dias",IF($J611&lt;=30,"16-30 dias",IF($J611&lt;=60,"31-60 dias","Mais de 60 dias"))))))</f>
        <v>0</v>
      </c>
      <c r="L611" s="21">
        <f>IF($E611="","",MAX(0,$E611-N($G611)))</f>
        <v>0</v>
      </c>
      <c r="M611" s="21">
        <f>IF(OR($L611="",$J611=""),"",IF($J611&gt;0,ROUND($L611*Multa+$L611*Juros/30*$J611,2),0))</f>
        <v>0</v>
      </c>
      <c r="N611" s="22">
        <f>IF($L611="","",IF($L611&lt;=0.005,0,$L611+N($M611)))</f>
        <v>0</v>
      </c>
      <c r="O611" s="23">
        <f>IF(OR($I611="Vencido",$I611="Vencido (parcial)"),"Olá, "&amp;$A611&amp;"! Consta em aberto '"&amp;$B611&amp;"' com vencimento em "&amp;DAY($D611)&amp;"/"&amp;MONTH($D611)&amp;"/"&amp;YEAR($D611)&amp;", no valor de R$ "&amp;FIXED($N611,2)&amp;" (com multa e juros). Podemos ajudar a regularizar hoje? Obrigado!",IF($I611="Vence hoje","Olá, "&amp;$A611&amp;"! Lembrete: '"&amp;$B611&amp;"' vence hoje, no valor de R$ "&amp;FIXED($L611,2)&amp;". Obrigado!",""))</f>
        <v>0</v>
      </c>
    </row>
    <row r="612" spans="1:15">
      <c r="A612" s="13"/>
      <c r="B612" s="13"/>
      <c r="C612" s="17"/>
      <c r="D612" s="17"/>
      <c r="E612" s="18"/>
      <c r="F612" s="17"/>
      <c r="G612" s="18"/>
      <c r="H612" s="13"/>
      <c r="I612" s="19">
        <f>IF($E612="","",IF($L612&lt;=0.005,"Pago",IF($D612="","Sem vencimento",IF($D612&lt;Hoje,IF(N($G612)&gt;0,"Vencido (parcial)","Vencido"),IF($D612=Hoje,"Vence hoje","A vencer")))))</f>
        <v>0</v>
      </c>
      <c r="J612" s="20">
        <f>IF(OR($E612="",$D612=""),"",IF(AND($L612&gt;0.005,$D612&lt;Hoje),Hoje-$D612,0))</f>
        <v>0</v>
      </c>
      <c r="K612" s="20">
        <f>IF($J612="","",IF($L612&lt;=0.005,"Pago",IF($J612&lt;=0,"A vencer",IF($J612&lt;=15,"1-15 dias",IF($J612&lt;=30,"16-30 dias",IF($J612&lt;=60,"31-60 dias","Mais de 60 dias"))))))</f>
        <v>0</v>
      </c>
      <c r="L612" s="21">
        <f>IF($E612="","",MAX(0,$E612-N($G612)))</f>
        <v>0</v>
      </c>
      <c r="M612" s="21">
        <f>IF(OR($L612="",$J612=""),"",IF($J612&gt;0,ROUND($L612*Multa+$L612*Juros/30*$J612,2),0))</f>
        <v>0</v>
      </c>
      <c r="N612" s="22">
        <f>IF($L612="","",IF($L612&lt;=0.005,0,$L612+N($M612)))</f>
        <v>0</v>
      </c>
      <c r="O612" s="23">
        <f>IF(OR($I612="Vencido",$I612="Vencido (parcial)"),"Olá, "&amp;$A612&amp;"! Consta em aberto '"&amp;$B612&amp;"' com vencimento em "&amp;DAY($D612)&amp;"/"&amp;MONTH($D612)&amp;"/"&amp;YEAR($D612)&amp;", no valor de R$ "&amp;FIXED($N612,2)&amp;" (com multa e juros). Podemos ajudar a regularizar hoje? Obrigado!",IF($I612="Vence hoje","Olá, "&amp;$A612&amp;"! Lembrete: '"&amp;$B612&amp;"' vence hoje, no valor de R$ "&amp;FIXED($L612,2)&amp;". Obrigado!",""))</f>
        <v>0</v>
      </c>
    </row>
    <row r="613" spans="1:15">
      <c r="A613" s="13"/>
      <c r="B613" s="13"/>
      <c r="C613" s="17"/>
      <c r="D613" s="17"/>
      <c r="E613" s="18"/>
      <c r="F613" s="17"/>
      <c r="G613" s="18"/>
      <c r="H613" s="13"/>
      <c r="I613" s="19">
        <f>IF($E613="","",IF($L613&lt;=0.005,"Pago",IF($D613="","Sem vencimento",IF($D613&lt;Hoje,IF(N($G613)&gt;0,"Vencido (parcial)","Vencido"),IF($D613=Hoje,"Vence hoje","A vencer")))))</f>
        <v>0</v>
      </c>
      <c r="J613" s="20">
        <f>IF(OR($E613="",$D613=""),"",IF(AND($L613&gt;0.005,$D613&lt;Hoje),Hoje-$D613,0))</f>
        <v>0</v>
      </c>
      <c r="K613" s="20">
        <f>IF($J613="","",IF($L613&lt;=0.005,"Pago",IF($J613&lt;=0,"A vencer",IF($J613&lt;=15,"1-15 dias",IF($J613&lt;=30,"16-30 dias",IF($J613&lt;=60,"31-60 dias","Mais de 60 dias"))))))</f>
        <v>0</v>
      </c>
      <c r="L613" s="21">
        <f>IF($E613="","",MAX(0,$E613-N($G613)))</f>
        <v>0</v>
      </c>
      <c r="M613" s="21">
        <f>IF(OR($L613="",$J613=""),"",IF($J613&gt;0,ROUND($L613*Multa+$L613*Juros/30*$J613,2),0))</f>
        <v>0</v>
      </c>
      <c r="N613" s="22">
        <f>IF($L613="","",IF($L613&lt;=0.005,0,$L613+N($M613)))</f>
        <v>0</v>
      </c>
      <c r="O613" s="23">
        <f>IF(OR($I613="Vencido",$I613="Vencido (parcial)"),"Olá, "&amp;$A613&amp;"! Consta em aberto '"&amp;$B613&amp;"' com vencimento em "&amp;DAY($D613)&amp;"/"&amp;MONTH($D613)&amp;"/"&amp;YEAR($D613)&amp;", no valor de R$ "&amp;FIXED($N613,2)&amp;" (com multa e juros). Podemos ajudar a regularizar hoje? Obrigado!",IF($I613="Vence hoje","Olá, "&amp;$A613&amp;"! Lembrete: '"&amp;$B613&amp;"' vence hoje, no valor de R$ "&amp;FIXED($L613,2)&amp;". Obrigado!",""))</f>
        <v>0</v>
      </c>
    </row>
    <row r="614" spans="1:15">
      <c r="A614" s="13"/>
      <c r="B614" s="13"/>
      <c r="C614" s="17"/>
      <c r="D614" s="17"/>
      <c r="E614" s="18"/>
      <c r="F614" s="17"/>
      <c r="G614" s="18"/>
      <c r="H614" s="13"/>
      <c r="I614" s="19">
        <f>IF($E614="","",IF($L614&lt;=0.005,"Pago",IF($D614="","Sem vencimento",IF($D614&lt;Hoje,IF(N($G614)&gt;0,"Vencido (parcial)","Vencido"),IF($D614=Hoje,"Vence hoje","A vencer")))))</f>
        <v>0</v>
      </c>
      <c r="J614" s="20">
        <f>IF(OR($E614="",$D614=""),"",IF(AND($L614&gt;0.005,$D614&lt;Hoje),Hoje-$D614,0))</f>
        <v>0</v>
      </c>
      <c r="K614" s="20">
        <f>IF($J614="","",IF($L614&lt;=0.005,"Pago",IF($J614&lt;=0,"A vencer",IF($J614&lt;=15,"1-15 dias",IF($J614&lt;=30,"16-30 dias",IF($J614&lt;=60,"31-60 dias","Mais de 60 dias"))))))</f>
        <v>0</v>
      </c>
      <c r="L614" s="21">
        <f>IF($E614="","",MAX(0,$E614-N($G614)))</f>
        <v>0</v>
      </c>
      <c r="M614" s="21">
        <f>IF(OR($L614="",$J614=""),"",IF($J614&gt;0,ROUND($L614*Multa+$L614*Juros/30*$J614,2),0))</f>
        <v>0</v>
      </c>
      <c r="N614" s="22">
        <f>IF($L614="","",IF($L614&lt;=0.005,0,$L614+N($M614)))</f>
        <v>0</v>
      </c>
      <c r="O614" s="23">
        <f>IF(OR($I614="Vencido",$I614="Vencido (parcial)"),"Olá, "&amp;$A614&amp;"! Consta em aberto '"&amp;$B614&amp;"' com vencimento em "&amp;DAY($D614)&amp;"/"&amp;MONTH($D614)&amp;"/"&amp;YEAR($D614)&amp;", no valor de R$ "&amp;FIXED($N614,2)&amp;" (com multa e juros). Podemos ajudar a regularizar hoje? Obrigado!",IF($I614="Vence hoje","Olá, "&amp;$A614&amp;"! Lembrete: '"&amp;$B614&amp;"' vence hoje, no valor de R$ "&amp;FIXED($L614,2)&amp;". Obrigado!",""))</f>
        <v>0</v>
      </c>
    </row>
    <row r="615" spans="1:15">
      <c r="A615" s="13"/>
      <c r="B615" s="13"/>
      <c r="C615" s="17"/>
      <c r="D615" s="17"/>
      <c r="E615" s="18"/>
      <c r="F615" s="17"/>
      <c r="G615" s="18"/>
      <c r="H615" s="13"/>
      <c r="I615" s="19">
        <f>IF($E615="","",IF($L615&lt;=0.005,"Pago",IF($D615="","Sem vencimento",IF($D615&lt;Hoje,IF(N($G615)&gt;0,"Vencido (parcial)","Vencido"),IF($D615=Hoje,"Vence hoje","A vencer")))))</f>
        <v>0</v>
      </c>
      <c r="J615" s="20">
        <f>IF(OR($E615="",$D615=""),"",IF(AND($L615&gt;0.005,$D615&lt;Hoje),Hoje-$D615,0))</f>
        <v>0</v>
      </c>
      <c r="K615" s="20">
        <f>IF($J615="","",IF($L615&lt;=0.005,"Pago",IF($J615&lt;=0,"A vencer",IF($J615&lt;=15,"1-15 dias",IF($J615&lt;=30,"16-30 dias",IF($J615&lt;=60,"31-60 dias","Mais de 60 dias"))))))</f>
        <v>0</v>
      </c>
      <c r="L615" s="21">
        <f>IF($E615="","",MAX(0,$E615-N($G615)))</f>
        <v>0</v>
      </c>
      <c r="M615" s="21">
        <f>IF(OR($L615="",$J615=""),"",IF($J615&gt;0,ROUND($L615*Multa+$L615*Juros/30*$J615,2),0))</f>
        <v>0</v>
      </c>
      <c r="N615" s="22">
        <f>IF($L615="","",IF($L615&lt;=0.005,0,$L615+N($M615)))</f>
        <v>0</v>
      </c>
      <c r="O615" s="23">
        <f>IF(OR($I615="Vencido",$I615="Vencido (parcial)"),"Olá, "&amp;$A615&amp;"! Consta em aberto '"&amp;$B615&amp;"' com vencimento em "&amp;DAY($D615)&amp;"/"&amp;MONTH($D615)&amp;"/"&amp;YEAR($D615)&amp;", no valor de R$ "&amp;FIXED($N615,2)&amp;" (com multa e juros). Podemos ajudar a regularizar hoje? Obrigado!",IF($I615="Vence hoje","Olá, "&amp;$A615&amp;"! Lembrete: '"&amp;$B615&amp;"' vence hoje, no valor de R$ "&amp;FIXED($L615,2)&amp;". Obrigado!",""))</f>
        <v>0</v>
      </c>
    </row>
    <row r="616" spans="1:15">
      <c r="A616" s="13"/>
      <c r="B616" s="13"/>
      <c r="C616" s="17"/>
      <c r="D616" s="17"/>
      <c r="E616" s="18"/>
      <c r="F616" s="17"/>
      <c r="G616" s="18"/>
      <c r="H616" s="13"/>
      <c r="I616" s="19">
        <f>IF($E616="","",IF($L616&lt;=0.005,"Pago",IF($D616="","Sem vencimento",IF($D616&lt;Hoje,IF(N($G616)&gt;0,"Vencido (parcial)","Vencido"),IF($D616=Hoje,"Vence hoje","A vencer")))))</f>
        <v>0</v>
      </c>
      <c r="J616" s="20">
        <f>IF(OR($E616="",$D616=""),"",IF(AND($L616&gt;0.005,$D616&lt;Hoje),Hoje-$D616,0))</f>
        <v>0</v>
      </c>
      <c r="K616" s="20">
        <f>IF($J616="","",IF($L616&lt;=0.005,"Pago",IF($J616&lt;=0,"A vencer",IF($J616&lt;=15,"1-15 dias",IF($J616&lt;=30,"16-30 dias",IF($J616&lt;=60,"31-60 dias","Mais de 60 dias"))))))</f>
        <v>0</v>
      </c>
      <c r="L616" s="21">
        <f>IF($E616="","",MAX(0,$E616-N($G616)))</f>
        <v>0</v>
      </c>
      <c r="M616" s="21">
        <f>IF(OR($L616="",$J616=""),"",IF($J616&gt;0,ROUND($L616*Multa+$L616*Juros/30*$J616,2),0))</f>
        <v>0</v>
      </c>
      <c r="N616" s="22">
        <f>IF($L616="","",IF($L616&lt;=0.005,0,$L616+N($M616)))</f>
        <v>0</v>
      </c>
      <c r="O616" s="23">
        <f>IF(OR($I616="Vencido",$I616="Vencido (parcial)"),"Olá, "&amp;$A616&amp;"! Consta em aberto '"&amp;$B616&amp;"' com vencimento em "&amp;DAY($D616)&amp;"/"&amp;MONTH($D616)&amp;"/"&amp;YEAR($D616)&amp;", no valor de R$ "&amp;FIXED($N616,2)&amp;" (com multa e juros). Podemos ajudar a regularizar hoje? Obrigado!",IF($I616="Vence hoje","Olá, "&amp;$A616&amp;"! Lembrete: '"&amp;$B616&amp;"' vence hoje, no valor de R$ "&amp;FIXED($L616,2)&amp;". Obrigado!",""))</f>
        <v>0</v>
      </c>
    </row>
    <row r="617" spans="1:15">
      <c r="A617" s="13"/>
      <c r="B617" s="13"/>
      <c r="C617" s="17"/>
      <c r="D617" s="17"/>
      <c r="E617" s="18"/>
      <c r="F617" s="17"/>
      <c r="G617" s="18"/>
      <c r="H617" s="13"/>
      <c r="I617" s="19">
        <f>IF($E617="","",IF($L617&lt;=0.005,"Pago",IF($D617="","Sem vencimento",IF($D617&lt;Hoje,IF(N($G617)&gt;0,"Vencido (parcial)","Vencido"),IF($D617=Hoje,"Vence hoje","A vencer")))))</f>
        <v>0</v>
      </c>
      <c r="J617" s="20">
        <f>IF(OR($E617="",$D617=""),"",IF(AND($L617&gt;0.005,$D617&lt;Hoje),Hoje-$D617,0))</f>
        <v>0</v>
      </c>
      <c r="K617" s="20">
        <f>IF($J617="","",IF($L617&lt;=0.005,"Pago",IF($J617&lt;=0,"A vencer",IF($J617&lt;=15,"1-15 dias",IF($J617&lt;=30,"16-30 dias",IF($J617&lt;=60,"31-60 dias","Mais de 60 dias"))))))</f>
        <v>0</v>
      </c>
      <c r="L617" s="21">
        <f>IF($E617="","",MAX(0,$E617-N($G617)))</f>
        <v>0</v>
      </c>
      <c r="M617" s="21">
        <f>IF(OR($L617="",$J617=""),"",IF($J617&gt;0,ROUND($L617*Multa+$L617*Juros/30*$J617,2),0))</f>
        <v>0</v>
      </c>
      <c r="N617" s="22">
        <f>IF($L617="","",IF($L617&lt;=0.005,0,$L617+N($M617)))</f>
        <v>0</v>
      </c>
      <c r="O617" s="23">
        <f>IF(OR($I617="Vencido",$I617="Vencido (parcial)"),"Olá, "&amp;$A617&amp;"! Consta em aberto '"&amp;$B617&amp;"' com vencimento em "&amp;DAY($D617)&amp;"/"&amp;MONTH($D617)&amp;"/"&amp;YEAR($D617)&amp;", no valor de R$ "&amp;FIXED($N617,2)&amp;" (com multa e juros). Podemos ajudar a regularizar hoje? Obrigado!",IF($I617="Vence hoje","Olá, "&amp;$A617&amp;"! Lembrete: '"&amp;$B617&amp;"' vence hoje, no valor de R$ "&amp;FIXED($L617,2)&amp;". Obrigado!",""))</f>
        <v>0</v>
      </c>
    </row>
    <row r="618" spans="1:15">
      <c r="A618" s="13"/>
      <c r="B618" s="13"/>
      <c r="C618" s="17"/>
      <c r="D618" s="17"/>
      <c r="E618" s="18"/>
      <c r="F618" s="17"/>
      <c r="G618" s="18"/>
      <c r="H618" s="13"/>
      <c r="I618" s="19">
        <f>IF($E618="","",IF($L618&lt;=0.005,"Pago",IF($D618="","Sem vencimento",IF($D618&lt;Hoje,IF(N($G618)&gt;0,"Vencido (parcial)","Vencido"),IF($D618=Hoje,"Vence hoje","A vencer")))))</f>
        <v>0</v>
      </c>
      <c r="J618" s="20">
        <f>IF(OR($E618="",$D618=""),"",IF(AND($L618&gt;0.005,$D618&lt;Hoje),Hoje-$D618,0))</f>
        <v>0</v>
      </c>
      <c r="K618" s="20">
        <f>IF($J618="","",IF($L618&lt;=0.005,"Pago",IF($J618&lt;=0,"A vencer",IF($J618&lt;=15,"1-15 dias",IF($J618&lt;=30,"16-30 dias",IF($J618&lt;=60,"31-60 dias","Mais de 60 dias"))))))</f>
        <v>0</v>
      </c>
      <c r="L618" s="21">
        <f>IF($E618="","",MAX(0,$E618-N($G618)))</f>
        <v>0</v>
      </c>
      <c r="M618" s="21">
        <f>IF(OR($L618="",$J618=""),"",IF($J618&gt;0,ROUND($L618*Multa+$L618*Juros/30*$J618,2),0))</f>
        <v>0</v>
      </c>
      <c r="N618" s="22">
        <f>IF($L618="","",IF($L618&lt;=0.005,0,$L618+N($M618)))</f>
        <v>0</v>
      </c>
      <c r="O618" s="23">
        <f>IF(OR($I618="Vencido",$I618="Vencido (parcial)"),"Olá, "&amp;$A618&amp;"! Consta em aberto '"&amp;$B618&amp;"' com vencimento em "&amp;DAY($D618)&amp;"/"&amp;MONTH($D618)&amp;"/"&amp;YEAR($D618)&amp;", no valor de R$ "&amp;FIXED($N618,2)&amp;" (com multa e juros). Podemos ajudar a regularizar hoje? Obrigado!",IF($I618="Vence hoje","Olá, "&amp;$A618&amp;"! Lembrete: '"&amp;$B618&amp;"' vence hoje, no valor de R$ "&amp;FIXED($L618,2)&amp;". Obrigado!",""))</f>
        <v>0</v>
      </c>
    </row>
    <row r="619" spans="1:15">
      <c r="A619" s="13"/>
      <c r="B619" s="13"/>
      <c r="C619" s="17"/>
      <c r="D619" s="17"/>
      <c r="E619" s="18"/>
      <c r="F619" s="17"/>
      <c r="G619" s="18"/>
      <c r="H619" s="13"/>
      <c r="I619" s="19">
        <f>IF($E619="","",IF($L619&lt;=0.005,"Pago",IF($D619="","Sem vencimento",IF($D619&lt;Hoje,IF(N($G619)&gt;0,"Vencido (parcial)","Vencido"),IF($D619=Hoje,"Vence hoje","A vencer")))))</f>
        <v>0</v>
      </c>
      <c r="J619" s="20">
        <f>IF(OR($E619="",$D619=""),"",IF(AND($L619&gt;0.005,$D619&lt;Hoje),Hoje-$D619,0))</f>
        <v>0</v>
      </c>
      <c r="K619" s="20">
        <f>IF($J619="","",IF($L619&lt;=0.005,"Pago",IF($J619&lt;=0,"A vencer",IF($J619&lt;=15,"1-15 dias",IF($J619&lt;=30,"16-30 dias",IF($J619&lt;=60,"31-60 dias","Mais de 60 dias"))))))</f>
        <v>0</v>
      </c>
      <c r="L619" s="21">
        <f>IF($E619="","",MAX(0,$E619-N($G619)))</f>
        <v>0</v>
      </c>
      <c r="M619" s="21">
        <f>IF(OR($L619="",$J619=""),"",IF($J619&gt;0,ROUND($L619*Multa+$L619*Juros/30*$J619,2),0))</f>
        <v>0</v>
      </c>
      <c r="N619" s="22">
        <f>IF($L619="","",IF($L619&lt;=0.005,0,$L619+N($M619)))</f>
        <v>0</v>
      </c>
      <c r="O619" s="23">
        <f>IF(OR($I619="Vencido",$I619="Vencido (parcial)"),"Olá, "&amp;$A619&amp;"! Consta em aberto '"&amp;$B619&amp;"' com vencimento em "&amp;DAY($D619)&amp;"/"&amp;MONTH($D619)&amp;"/"&amp;YEAR($D619)&amp;", no valor de R$ "&amp;FIXED($N619,2)&amp;" (com multa e juros). Podemos ajudar a regularizar hoje? Obrigado!",IF($I619="Vence hoje","Olá, "&amp;$A619&amp;"! Lembrete: '"&amp;$B619&amp;"' vence hoje, no valor de R$ "&amp;FIXED($L619,2)&amp;". Obrigado!",""))</f>
        <v>0</v>
      </c>
    </row>
    <row r="620" spans="1:15">
      <c r="A620" s="13"/>
      <c r="B620" s="13"/>
      <c r="C620" s="17"/>
      <c r="D620" s="17"/>
      <c r="E620" s="18"/>
      <c r="F620" s="17"/>
      <c r="G620" s="18"/>
      <c r="H620" s="13"/>
      <c r="I620" s="19">
        <f>IF($E620="","",IF($L620&lt;=0.005,"Pago",IF($D620="","Sem vencimento",IF($D620&lt;Hoje,IF(N($G620)&gt;0,"Vencido (parcial)","Vencido"),IF($D620=Hoje,"Vence hoje","A vencer")))))</f>
        <v>0</v>
      </c>
      <c r="J620" s="20">
        <f>IF(OR($E620="",$D620=""),"",IF(AND($L620&gt;0.005,$D620&lt;Hoje),Hoje-$D620,0))</f>
        <v>0</v>
      </c>
      <c r="K620" s="20">
        <f>IF($J620="","",IF($L620&lt;=0.005,"Pago",IF($J620&lt;=0,"A vencer",IF($J620&lt;=15,"1-15 dias",IF($J620&lt;=30,"16-30 dias",IF($J620&lt;=60,"31-60 dias","Mais de 60 dias"))))))</f>
        <v>0</v>
      </c>
      <c r="L620" s="21">
        <f>IF($E620="","",MAX(0,$E620-N($G620)))</f>
        <v>0</v>
      </c>
      <c r="M620" s="21">
        <f>IF(OR($L620="",$J620=""),"",IF($J620&gt;0,ROUND($L620*Multa+$L620*Juros/30*$J620,2),0))</f>
        <v>0</v>
      </c>
      <c r="N620" s="22">
        <f>IF($L620="","",IF($L620&lt;=0.005,0,$L620+N($M620)))</f>
        <v>0</v>
      </c>
      <c r="O620" s="23">
        <f>IF(OR($I620="Vencido",$I620="Vencido (parcial)"),"Olá, "&amp;$A620&amp;"! Consta em aberto '"&amp;$B620&amp;"' com vencimento em "&amp;DAY($D620)&amp;"/"&amp;MONTH($D620)&amp;"/"&amp;YEAR($D620)&amp;", no valor de R$ "&amp;FIXED($N620,2)&amp;" (com multa e juros). Podemos ajudar a regularizar hoje? Obrigado!",IF($I620="Vence hoje","Olá, "&amp;$A620&amp;"! Lembrete: '"&amp;$B620&amp;"' vence hoje, no valor de R$ "&amp;FIXED($L620,2)&amp;". Obrigado!",""))</f>
        <v>0</v>
      </c>
    </row>
    <row r="621" spans="1:15">
      <c r="A621" s="13"/>
      <c r="B621" s="13"/>
      <c r="C621" s="17"/>
      <c r="D621" s="17"/>
      <c r="E621" s="18"/>
      <c r="F621" s="17"/>
      <c r="G621" s="18"/>
      <c r="H621" s="13"/>
      <c r="I621" s="19">
        <f>IF($E621="","",IF($L621&lt;=0.005,"Pago",IF($D621="","Sem vencimento",IF($D621&lt;Hoje,IF(N($G621)&gt;0,"Vencido (parcial)","Vencido"),IF($D621=Hoje,"Vence hoje","A vencer")))))</f>
        <v>0</v>
      </c>
      <c r="J621" s="20">
        <f>IF(OR($E621="",$D621=""),"",IF(AND($L621&gt;0.005,$D621&lt;Hoje),Hoje-$D621,0))</f>
        <v>0</v>
      </c>
      <c r="K621" s="20">
        <f>IF($J621="","",IF($L621&lt;=0.005,"Pago",IF($J621&lt;=0,"A vencer",IF($J621&lt;=15,"1-15 dias",IF($J621&lt;=30,"16-30 dias",IF($J621&lt;=60,"31-60 dias","Mais de 60 dias"))))))</f>
        <v>0</v>
      </c>
      <c r="L621" s="21">
        <f>IF($E621="","",MAX(0,$E621-N($G621)))</f>
        <v>0</v>
      </c>
      <c r="M621" s="21">
        <f>IF(OR($L621="",$J621=""),"",IF($J621&gt;0,ROUND($L621*Multa+$L621*Juros/30*$J621,2),0))</f>
        <v>0</v>
      </c>
      <c r="N621" s="22">
        <f>IF($L621="","",IF($L621&lt;=0.005,0,$L621+N($M621)))</f>
        <v>0</v>
      </c>
      <c r="O621" s="23">
        <f>IF(OR($I621="Vencido",$I621="Vencido (parcial)"),"Olá, "&amp;$A621&amp;"! Consta em aberto '"&amp;$B621&amp;"' com vencimento em "&amp;DAY($D621)&amp;"/"&amp;MONTH($D621)&amp;"/"&amp;YEAR($D621)&amp;", no valor de R$ "&amp;FIXED($N621,2)&amp;" (com multa e juros). Podemos ajudar a regularizar hoje? Obrigado!",IF($I621="Vence hoje","Olá, "&amp;$A621&amp;"! Lembrete: '"&amp;$B621&amp;"' vence hoje, no valor de R$ "&amp;FIXED($L621,2)&amp;". Obrigado!",""))</f>
        <v>0</v>
      </c>
    </row>
    <row r="622" spans="1:15">
      <c r="A622" s="13"/>
      <c r="B622" s="13"/>
      <c r="C622" s="17"/>
      <c r="D622" s="17"/>
      <c r="E622" s="18"/>
      <c r="F622" s="17"/>
      <c r="G622" s="18"/>
      <c r="H622" s="13"/>
      <c r="I622" s="19">
        <f>IF($E622="","",IF($L622&lt;=0.005,"Pago",IF($D622="","Sem vencimento",IF($D622&lt;Hoje,IF(N($G622)&gt;0,"Vencido (parcial)","Vencido"),IF($D622=Hoje,"Vence hoje","A vencer")))))</f>
        <v>0</v>
      </c>
      <c r="J622" s="20">
        <f>IF(OR($E622="",$D622=""),"",IF(AND($L622&gt;0.005,$D622&lt;Hoje),Hoje-$D622,0))</f>
        <v>0</v>
      </c>
      <c r="K622" s="20">
        <f>IF($J622="","",IF($L622&lt;=0.005,"Pago",IF($J622&lt;=0,"A vencer",IF($J622&lt;=15,"1-15 dias",IF($J622&lt;=30,"16-30 dias",IF($J622&lt;=60,"31-60 dias","Mais de 60 dias"))))))</f>
        <v>0</v>
      </c>
      <c r="L622" s="21">
        <f>IF($E622="","",MAX(0,$E622-N($G622)))</f>
        <v>0</v>
      </c>
      <c r="M622" s="21">
        <f>IF(OR($L622="",$J622=""),"",IF($J622&gt;0,ROUND($L622*Multa+$L622*Juros/30*$J622,2),0))</f>
        <v>0</v>
      </c>
      <c r="N622" s="22">
        <f>IF($L622="","",IF($L622&lt;=0.005,0,$L622+N($M622)))</f>
        <v>0</v>
      </c>
      <c r="O622" s="23">
        <f>IF(OR($I622="Vencido",$I622="Vencido (parcial)"),"Olá, "&amp;$A622&amp;"! Consta em aberto '"&amp;$B622&amp;"' com vencimento em "&amp;DAY($D622)&amp;"/"&amp;MONTH($D622)&amp;"/"&amp;YEAR($D622)&amp;", no valor de R$ "&amp;FIXED($N622,2)&amp;" (com multa e juros). Podemos ajudar a regularizar hoje? Obrigado!",IF($I622="Vence hoje","Olá, "&amp;$A622&amp;"! Lembrete: '"&amp;$B622&amp;"' vence hoje, no valor de R$ "&amp;FIXED($L622,2)&amp;". Obrigado!",""))</f>
        <v>0</v>
      </c>
    </row>
    <row r="623" spans="1:15">
      <c r="A623" s="13"/>
      <c r="B623" s="13"/>
      <c r="C623" s="17"/>
      <c r="D623" s="17"/>
      <c r="E623" s="18"/>
      <c r="F623" s="17"/>
      <c r="G623" s="18"/>
      <c r="H623" s="13"/>
      <c r="I623" s="19">
        <f>IF($E623="","",IF($L623&lt;=0.005,"Pago",IF($D623="","Sem vencimento",IF($D623&lt;Hoje,IF(N($G623)&gt;0,"Vencido (parcial)","Vencido"),IF($D623=Hoje,"Vence hoje","A vencer")))))</f>
        <v>0</v>
      </c>
      <c r="J623" s="20">
        <f>IF(OR($E623="",$D623=""),"",IF(AND($L623&gt;0.005,$D623&lt;Hoje),Hoje-$D623,0))</f>
        <v>0</v>
      </c>
      <c r="K623" s="20">
        <f>IF($J623="","",IF($L623&lt;=0.005,"Pago",IF($J623&lt;=0,"A vencer",IF($J623&lt;=15,"1-15 dias",IF($J623&lt;=30,"16-30 dias",IF($J623&lt;=60,"31-60 dias","Mais de 60 dias"))))))</f>
        <v>0</v>
      </c>
      <c r="L623" s="21">
        <f>IF($E623="","",MAX(0,$E623-N($G623)))</f>
        <v>0</v>
      </c>
      <c r="M623" s="21">
        <f>IF(OR($L623="",$J623=""),"",IF($J623&gt;0,ROUND($L623*Multa+$L623*Juros/30*$J623,2),0))</f>
        <v>0</v>
      </c>
      <c r="N623" s="22">
        <f>IF($L623="","",IF($L623&lt;=0.005,0,$L623+N($M623)))</f>
        <v>0</v>
      </c>
      <c r="O623" s="23">
        <f>IF(OR($I623="Vencido",$I623="Vencido (parcial)"),"Olá, "&amp;$A623&amp;"! Consta em aberto '"&amp;$B623&amp;"' com vencimento em "&amp;DAY($D623)&amp;"/"&amp;MONTH($D623)&amp;"/"&amp;YEAR($D623)&amp;", no valor de R$ "&amp;FIXED($N623,2)&amp;" (com multa e juros). Podemos ajudar a regularizar hoje? Obrigado!",IF($I623="Vence hoje","Olá, "&amp;$A623&amp;"! Lembrete: '"&amp;$B623&amp;"' vence hoje, no valor de R$ "&amp;FIXED($L623,2)&amp;". Obrigado!",""))</f>
        <v>0</v>
      </c>
    </row>
    <row r="624" spans="1:15">
      <c r="A624" s="13"/>
      <c r="B624" s="13"/>
      <c r="C624" s="17"/>
      <c r="D624" s="17"/>
      <c r="E624" s="18"/>
      <c r="F624" s="17"/>
      <c r="G624" s="18"/>
      <c r="H624" s="13"/>
      <c r="I624" s="19">
        <f>IF($E624="","",IF($L624&lt;=0.005,"Pago",IF($D624="","Sem vencimento",IF($D624&lt;Hoje,IF(N($G624)&gt;0,"Vencido (parcial)","Vencido"),IF($D624=Hoje,"Vence hoje","A vencer")))))</f>
        <v>0</v>
      </c>
      <c r="J624" s="20">
        <f>IF(OR($E624="",$D624=""),"",IF(AND($L624&gt;0.005,$D624&lt;Hoje),Hoje-$D624,0))</f>
        <v>0</v>
      </c>
      <c r="K624" s="20">
        <f>IF($J624="","",IF($L624&lt;=0.005,"Pago",IF($J624&lt;=0,"A vencer",IF($J624&lt;=15,"1-15 dias",IF($J624&lt;=30,"16-30 dias",IF($J624&lt;=60,"31-60 dias","Mais de 60 dias"))))))</f>
        <v>0</v>
      </c>
      <c r="L624" s="21">
        <f>IF($E624="","",MAX(0,$E624-N($G624)))</f>
        <v>0</v>
      </c>
      <c r="M624" s="21">
        <f>IF(OR($L624="",$J624=""),"",IF($J624&gt;0,ROUND($L624*Multa+$L624*Juros/30*$J624,2),0))</f>
        <v>0</v>
      </c>
      <c r="N624" s="22">
        <f>IF($L624="","",IF($L624&lt;=0.005,0,$L624+N($M624)))</f>
        <v>0</v>
      </c>
      <c r="O624" s="23">
        <f>IF(OR($I624="Vencido",$I624="Vencido (parcial)"),"Olá, "&amp;$A624&amp;"! Consta em aberto '"&amp;$B624&amp;"' com vencimento em "&amp;DAY($D624)&amp;"/"&amp;MONTH($D624)&amp;"/"&amp;YEAR($D624)&amp;", no valor de R$ "&amp;FIXED($N624,2)&amp;" (com multa e juros). Podemos ajudar a regularizar hoje? Obrigado!",IF($I624="Vence hoje","Olá, "&amp;$A624&amp;"! Lembrete: '"&amp;$B624&amp;"' vence hoje, no valor de R$ "&amp;FIXED($L624,2)&amp;". Obrigado!",""))</f>
        <v>0</v>
      </c>
    </row>
    <row r="625" spans="1:15">
      <c r="A625" s="13"/>
      <c r="B625" s="13"/>
      <c r="C625" s="17"/>
      <c r="D625" s="17"/>
      <c r="E625" s="18"/>
      <c r="F625" s="17"/>
      <c r="G625" s="18"/>
      <c r="H625" s="13"/>
      <c r="I625" s="19">
        <f>IF($E625="","",IF($L625&lt;=0.005,"Pago",IF($D625="","Sem vencimento",IF($D625&lt;Hoje,IF(N($G625)&gt;0,"Vencido (parcial)","Vencido"),IF($D625=Hoje,"Vence hoje","A vencer")))))</f>
        <v>0</v>
      </c>
      <c r="J625" s="20">
        <f>IF(OR($E625="",$D625=""),"",IF(AND($L625&gt;0.005,$D625&lt;Hoje),Hoje-$D625,0))</f>
        <v>0</v>
      </c>
      <c r="K625" s="20">
        <f>IF($J625="","",IF($L625&lt;=0.005,"Pago",IF($J625&lt;=0,"A vencer",IF($J625&lt;=15,"1-15 dias",IF($J625&lt;=30,"16-30 dias",IF($J625&lt;=60,"31-60 dias","Mais de 60 dias"))))))</f>
        <v>0</v>
      </c>
      <c r="L625" s="21">
        <f>IF($E625="","",MAX(0,$E625-N($G625)))</f>
        <v>0</v>
      </c>
      <c r="M625" s="21">
        <f>IF(OR($L625="",$J625=""),"",IF($J625&gt;0,ROUND($L625*Multa+$L625*Juros/30*$J625,2),0))</f>
        <v>0</v>
      </c>
      <c r="N625" s="22">
        <f>IF($L625="","",IF($L625&lt;=0.005,0,$L625+N($M625)))</f>
        <v>0</v>
      </c>
      <c r="O625" s="23">
        <f>IF(OR($I625="Vencido",$I625="Vencido (parcial)"),"Olá, "&amp;$A625&amp;"! Consta em aberto '"&amp;$B625&amp;"' com vencimento em "&amp;DAY($D625)&amp;"/"&amp;MONTH($D625)&amp;"/"&amp;YEAR($D625)&amp;", no valor de R$ "&amp;FIXED($N625,2)&amp;" (com multa e juros). Podemos ajudar a regularizar hoje? Obrigado!",IF($I625="Vence hoje","Olá, "&amp;$A625&amp;"! Lembrete: '"&amp;$B625&amp;"' vence hoje, no valor de R$ "&amp;FIXED($L625,2)&amp;". Obrigado!",""))</f>
        <v>0</v>
      </c>
    </row>
    <row r="626" spans="1:15">
      <c r="A626" s="13"/>
      <c r="B626" s="13"/>
      <c r="C626" s="17"/>
      <c r="D626" s="17"/>
      <c r="E626" s="18"/>
      <c r="F626" s="17"/>
      <c r="G626" s="18"/>
      <c r="H626" s="13"/>
      <c r="I626" s="19">
        <f>IF($E626="","",IF($L626&lt;=0.005,"Pago",IF($D626="","Sem vencimento",IF($D626&lt;Hoje,IF(N($G626)&gt;0,"Vencido (parcial)","Vencido"),IF($D626=Hoje,"Vence hoje","A vencer")))))</f>
        <v>0</v>
      </c>
      <c r="J626" s="20">
        <f>IF(OR($E626="",$D626=""),"",IF(AND($L626&gt;0.005,$D626&lt;Hoje),Hoje-$D626,0))</f>
        <v>0</v>
      </c>
      <c r="K626" s="20">
        <f>IF($J626="","",IF($L626&lt;=0.005,"Pago",IF($J626&lt;=0,"A vencer",IF($J626&lt;=15,"1-15 dias",IF($J626&lt;=30,"16-30 dias",IF($J626&lt;=60,"31-60 dias","Mais de 60 dias"))))))</f>
        <v>0</v>
      </c>
      <c r="L626" s="21">
        <f>IF($E626="","",MAX(0,$E626-N($G626)))</f>
        <v>0</v>
      </c>
      <c r="M626" s="21">
        <f>IF(OR($L626="",$J626=""),"",IF($J626&gt;0,ROUND($L626*Multa+$L626*Juros/30*$J626,2),0))</f>
        <v>0</v>
      </c>
      <c r="N626" s="22">
        <f>IF($L626="","",IF($L626&lt;=0.005,0,$L626+N($M626)))</f>
        <v>0</v>
      </c>
      <c r="O626" s="23">
        <f>IF(OR($I626="Vencido",$I626="Vencido (parcial)"),"Olá, "&amp;$A626&amp;"! Consta em aberto '"&amp;$B626&amp;"' com vencimento em "&amp;DAY($D626)&amp;"/"&amp;MONTH($D626)&amp;"/"&amp;YEAR($D626)&amp;", no valor de R$ "&amp;FIXED($N626,2)&amp;" (com multa e juros). Podemos ajudar a regularizar hoje? Obrigado!",IF($I626="Vence hoje","Olá, "&amp;$A626&amp;"! Lembrete: '"&amp;$B626&amp;"' vence hoje, no valor de R$ "&amp;FIXED($L626,2)&amp;". Obrigado!",""))</f>
        <v>0</v>
      </c>
    </row>
    <row r="627" spans="1:15">
      <c r="A627" s="13"/>
      <c r="B627" s="13"/>
      <c r="C627" s="17"/>
      <c r="D627" s="17"/>
      <c r="E627" s="18"/>
      <c r="F627" s="17"/>
      <c r="G627" s="18"/>
      <c r="H627" s="13"/>
      <c r="I627" s="19">
        <f>IF($E627="","",IF($L627&lt;=0.005,"Pago",IF($D627="","Sem vencimento",IF($D627&lt;Hoje,IF(N($G627)&gt;0,"Vencido (parcial)","Vencido"),IF($D627=Hoje,"Vence hoje","A vencer")))))</f>
        <v>0</v>
      </c>
      <c r="J627" s="20">
        <f>IF(OR($E627="",$D627=""),"",IF(AND($L627&gt;0.005,$D627&lt;Hoje),Hoje-$D627,0))</f>
        <v>0</v>
      </c>
      <c r="K627" s="20">
        <f>IF($J627="","",IF($L627&lt;=0.005,"Pago",IF($J627&lt;=0,"A vencer",IF($J627&lt;=15,"1-15 dias",IF($J627&lt;=30,"16-30 dias",IF($J627&lt;=60,"31-60 dias","Mais de 60 dias"))))))</f>
        <v>0</v>
      </c>
      <c r="L627" s="21">
        <f>IF($E627="","",MAX(0,$E627-N($G627)))</f>
        <v>0</v>
      </c>
      <c r="M627" s="21">
        <f>IF(OR($L627="",$J627=""),"",IF($J627&gt;0,ROUND($L627*Multa+$L627*Juros/30*$J627,2),0))</f>
        <v>0</v>
      </c>
      <c r="N627" s="22">
        <f>IF($L627="","",IF($L627&lt;=0.005,0,$L627+N($M627)))</f>
        <v>0</v>
      </c>
      <c r="O627" s="23">
        <f>IF(OR($I627="Vencido",$I627="Vencido (parcial)"),"Olá, "&amp;$A627&amp;"! Consta em aberto '"&amp;$B627&amp;"' com vencimento em "&amp;DAY($D627)&amp;"/"&amp;MONTH($D627)&amp;"/"&amp;YEAR($D627)&amp;", no valor de R$ "&amp;FIXED($N627,2)&amp;" (com multa e juros). Podemos ajudar a regularizar hoje? Obrigado!",IF($I627="Vence hoje","Olá, "&amp;$A627&amp;"! Lembrete: '"&amp;$B627&amp;"' vence hoje, no valor de R$ "&amp;FIXED($L627,2)&amp;". Obrigado!",""))</f>
        <v>0</v>
      </c>
    </row>
    <row r="628" spans="1:15">
      <c r="A628" s="13"/>
      <c r="B628" s="13"/>
      <c r="C628" s="17"/>
      <c r="D628" s="17"/>
      <c r="E628" s="18"/>
      <c r="F628" s="17"/>
      <c r="G628" s="18"/>
      <c r="H628" s="13"/>
      <c r="I628" s="19">
        <f>IF($E628="","",IF($L628&lt;=0.005,"Pago",IF($D628="","Sem vencimento",IF($D628&lt;Hoje,IF(N($G628)&gt;0,"Vencido (parcial)","Vencido"),IF($D628=Hoje,"Vence hoje","A vencer")))))</f>
        <v>0</v>
      </c>
      <c r="J628" s="20">
        <f>IF(OR($E628="",$D628=""),"",IF(AND($L628&gt;0.005,$D628&lt;Hoje),Hoje-$D628,0))</f>
        <v>0</v>
      </c>
      <c r="K628" s="20">
        <f>IF($J628="","",IF($L628&lt;=0.005,"Pago",IF($J628&lt;=0,"A vencer",IF($J628&lt;=15,"1-15 dias",IF($J628&lt;=30,"16-30 dias",IF($J628&lt;=60,"31-60 dias","Mais de 60 dias"))))))</f>
        <v>0</v>
      </c>
      <c r="L628" s="21">
        <f>IF($E628="","",MAX(0,$E628-N($G628)))</f>
        <v>0</v>
      </c>
      <c r="M628" s="21">
        <f>IF(OR($L628="",$J628=""),"",IF($J628&gt;0,ROUND($L628*Multa+$L628*Juros/30*$J628,2),0))</f>
        <v>0</v>
      </c>
      <c r="N628" s="22">
        <f>IF($L628="","",IF($L628&lt;=0.005,0,$L628+N($M628)))</f>
        <v>0</v>
      </c>
      <c r="O628" s="23">
        <f>IF(OR($I628="Vencido",$I628="Vencido (parcial)"),"Olá, "&amp;$A628&amp;"! Consta em aberto '"&amp;$B628&amp;"' com vencimento em "&amp;DAY($D628)&amp;"/"&amp;MONTH($D628)&amp;"/"&amp;YEAR($D628)&amp;", no valor de R$ "&amp;FIXED($N628,2)&amp;" (com multa e juros). Podemos ajudar a regularizar hoje? Obrigado!",IF($I628="Vence hoje","Olá, "&amp;$A628&amp;"! Lembrete: '"&amp;$B628&amp;"' vence hoje, no valor de R$ "&amp;FIXED($L628,2)&amp;". Obrigado!",""))</f>
        <v>0</v>
      </c>
    </row>
    <row r="629" spans="1:15">
      <c r="A629" s="13"/>
      <c r="B629" s="13"/>
      <c r="C629" s="17"/>
      <c r="D629" s="17"/>
      <c r="E629" s="18"/>
      <c r="F629" s="17"/>
      <c r="G629" s="18"/>
      <c r="H629" s="13"/>
      <c r="I629" s="19">
        <f>IF($E629="","",IF($L629&lt;=0.005,"Pago",IF($D629="","Sem vencimento",IF($D629&lt;Hoje,IF(N($G629)&gt;0,"Vencido (parcial)","Vencido"),IF($D629=Hoje,"Vence hoje","A vencer")))))</f>
        <v>0</v>
      </c>
      <c r="J629" s="20">
        <f>IF(OR($E629="",$D629=""),"",IF(AND($L629&gt;0.005,$D629&lt;Hoje),Hoje-$D629,0))</f>
        <v>0</v>
      </c>
      <c r="K629" s="20">
        <f>IF($J629="","",IF($L629&lt;=0.005,"Pago",IF($J629&lt;=0,"A vencer",IF($J629&lt;=15,"1-15 dias",IF($J629&lt;=30,"16-30 dias",IF($J629&lt;=60,"31-60 dias","Mais de 60 dias"))))))</f>
        <v>0</v>
      </c>
      <c r="L629" s="21">
        <f>IF($E629="","",MAX(0,$E629-N($G629)))</f>
        <v>0</v>
      </c>
      <c r="M629" s="21">
        <f>IF(OR($L629="",$J629=""),"",IF($J629&gt;0,ROUND($L629*Multa+$L629*Juros/30*$J629,2),0))</f>
        <v>0</v>
      </c>
      <c r="N629" s="22">
        <f>IF($L629="","",IF($L629&lt;=0.005,0,$L629+N($M629)))</f>
        <v>0</v>
      </c>
      <c r="O629" s="23">
        <f>IF(OR($I629="Vencido",$I629="Vencido (parcial)"),"Olá, "&amp;$A629&amp;"! Consta em aberto '"&amp;$B629&amp;"' com vencimento em "&amp;DAY($D629)&amp;"/"&amp;MONTH($D629)&amp;"/"&amp;YEAR($D629)&amp;", no valor de R$ "&amp;FIXED($N629,2)&amp;" (com multa e juros). Podemos ajudar a regularizar hoje? Obrigado!",IF($I629="Vence hoje","Olá, "&amp;$A629&amp;"! Lembrete: '"&amp;$B629&amp;"' vence hoje, no valor de R$ "&amp;FIXED($L629,2)&amp;". Obrigado!",""))</f>
        <v>0</v>
      </c>
    </row>
    <row r="630" spans="1:15">
      <c r="A630" s="13"/>
      <c r="B630" s="13"/>
      <c r="C630" s="17"/>
      <c r="D630" s="17"/>
      <c r="E630" s="18"/>
      <c r="F630" s="17"/>
      <c r="G630" s="18"/>
      <c r="H630" s="13"/>
      <c r="I630" s="19">
        <f>IF($E630="","",IF($L630&lt;=0.005,"Pago",IF($D630="","Sem vencimento",IF($D630&lt;Hoje,IF(N($G630)&gt;0,"Vencido (parcial)","Vencido"),IF($D630=Hoje,"Vence hoje","A vencer")))))</f>
        <v>0</v>
      </c>
      <c r="J630" s="20">
        <f>IF(OR($E630="",$D630=""),"",IF(AND($L630&gt;0.005,$D630&lt;Hoje),Hoje-$D630,0))</f>
        <v>0</v>
      </c>
      <c r="K630" s="20">
        <f>IF($J630="","",IF($L630&lt;=0.005,"Pago",IF($J630&lt;=0,"A vencer",IF($J630&lt;=15,"1-15 dias",IF($J630&lt;=30,"16-30 dias",IF($J630&lt;=60,"31-60 dias","Mais de 60 dias"))))))</f>
        <v>0</v>
      </c>
      <c r="L630" s="21">
        <f>IF($E630="","",MAX(0,$E630-N($G630)))</f>
        <v>0</v>
      </c>
      <c r="M630" s="21">
        <f>IF(OR($L630="",$J630=""),"",IF($J630&gt;0,ROUND($L630*Multa+$L630*Juros/30*$J630,2),0))</f>
        <v>0</v>
      </c>
      <c r="N630" s="22">
        <f>IF($L630="","",IF($L630&lt;=0.005,0,$L630+N($M630)))</f>
        <v>0</v>
      </c>
      <c r="O630" s="23">
        <f>IF(OR($I630="Vencido",$I630="Vencido (parcial)"),"Olá, "&amp;$A630&amp;"! Consta em aberto '"&amp;$B630&amp;"' com vencimento em "&amp;DAY($D630)&amp;"/"&amp;MONTH($D630)&amp;"/"&amp;YEAR($D630)&amp;", no valor de R$ "&amp;FIXED($N630,2)&amp;" (com multa e juros). Podemos ajudar a regularizar hoje? Obrigado!",IF($I630="Vence hoje","Olá, "&amp;$A630&amp;"! Lembrete: '"&amp;$B630&amp;"' vence hoje, no valor de R$ "&amp;FIXED($L630,2)&amp;". Obrigado!",""))</f>
        <v>0</v>
      </c>
    </row>
    <row r="631" spans="1:15">
      <c r="A631" s="13"/>
      <c r="B631" s="13"/>
      <c r="C631" s="17"/>
      <c r="D631" s="17"/>
      <c r="E631" s="18"/>
      <c r="F631" s="17"/>
      <c r="G631" s="18"/>
      <c r="H631" s="13"/>
      <c r="I631" s="19">
        <f>IF($E631="","",IF($L631&lt;=0.005,"Pago",IF($D631="","Sem vencimento",IF($D631&lt;Hoje,IF(N($G631)&gt;0,"Vencido (parcial)","Vencido"),IF($D631=Hoje,"Vence hoje","A vencer")))))</f>
        <v>0</v>
      </c>
      <c r="J631" s="20">
        <f>IF(OR($E631="",$D631=""),"",IF(AND($L631&gt;0.005,$D631&lt;Hoje),Hoje-$D631,0))</f>
        <v>0</v>
      </c>
      <c r="K631" s="20">
        <f>IF($J631="","",IF($L631&lt;=0.005,"Pago",IF($J631&lt;=0,"A vencer",IF($J631&lt;=15,"1-15 dias",IF($J631&lt;=30,"16-30 dias",IF($J631&lt;=60,"31-60 dias","Mais de 60 dias"))))))</f>
        <v>0</v>
      </c>
      <c r="L631" s="21">
        <f>IF($E631="","",MAX(0,$E631-N($G631)))</f>
        <v>0</v>
      </c>
      <c r="M631" s="21">
        <f>IF(OR($L631="",$J631=""),"",IF($J631&gt;0,ROUND($L631*Multa+$L631*Juros/30*$J631,2),0))</f>
        <v>0</v>
      </c>
      <c r="N631" s="22">
        <f>IF($L631="","",IF($L631&lt;=0.005,0,$L631+N($M631)))</f>
        <v>0</v>
      </c>
      <c r="O631" s="23">
        <f>IF(OR($I631="Vencido",$I631="Vencido (parcial)"),"Olá, "&amp;$A631&amp;"! Consta em aberto '"&amp;$B631&amp;"' com vencimento em "&amp;DAY($D631)&amp;"/"&amp;MONTH($D631)&amp;"/"&amp;YEAR($D631)&amp;", no valor de R$ "&amp;FIXED($N631,2)&amp;" (com multa e juros). Podemos ajudar a regularizar hoje? Obrigado!",IF($I631="Vence hoje","Olá, "&amp;$A631&amp;"! Lembrete: '"&amp;$B631&amp;"' vence hoje, no valor de R$ "&amp;FIXED($L631,2)&amp;". Obrigado!",""))</f>
        <v>0</v>
      </c>
    </row>
    <row r="632" spans="1:15">
      <c r="A632" s="13"/>
      <c r="B632" s="13"/>
      <c r="C632" s="17"/>
      <c r="D632" s="17"/>
      <c r="E632" s="18"/>
      <c r="F632" s="17"/>
      <c r="G632" s="18"/>
      <c r="H632" s="13"/>
      <c r="I632" s="19">
        <f>IF($E632="","",IF($L632&lt;=0.005,"Pago",IF($D632="","Sem vencimento",IF($D632&lt;Hoje,IF(N($G632)&gt;0,"Vencido (parcial)","Vencido"),IF($D632=Hoje,"Vence hoje","A vencer")))))</f>
        <v>0</v>
      </c>
      <c r="J632" s="20">
        <f>IF(OR($E632="",$D632=""),"",IF(AND($L632&gt;0.005,$D632&lt;Hoje),Hoje-$D632,0))</f>
        <v>0</v>
      </c>
      <c r="K632" s="20">
        <f>IF($J632="","",IF($L632&lt;=0.005,"Pago",IF($J632&lt;=0,"A vencer",IF($J632&lt;=15,"1-15 dias",IF($J632&lt;=30,"16-30 dias",IF($J632&lt;=60,"31-60 dias","Mais de 60 dias"))))))</f>
        <v>0</v>
      </c>
      <c r="L632" s="21">
        <f>IF($E632="","",MAX(0,$E632-N($G632)))</f>
        <v>0</v>
      </c>
      <c r="M632" s="21">
        <f>IF(OR($L632="",$J632=""),"",IF($J632&gt;0,ROUND($L632*Multa+$L632*Juros/30*$J632,2),0))</f>
        <v>0</v>
      </c>
      <c r="N632" s="22">
        <f>IF($L632="","",IF($L632&lt;=0.005,0,$L632+N($M632)))</f>
        <v>0</v>
      </c>
      <c r="O632" s="23">
        <f>IF(OR($I632="Vencido",$I632="Vencido (parcial)"),"Olá, "&amp;$A632&amp;"! Consta em aberto '"&amp;$B632&amp;"' com vencimento em "&amp;DAY($D632)&amp;"/"&amp;MONTH($D632)&amp;"/"&amp;YEAR($D632)&amp;", no valor de R$ "&amp;FIXED($N632,2)&amp;" (com multa e juros). Podemos ajudar a regularizar hoje? Obrigado!",IF($I632="Vence hoje","Olá, "&amp;$A632&amp;"! Lembrete: '"&amp;$B632&amp;"' vence hoje, no valor de R$ "&amp;FIXED($L632,2)&amp;". Obrigado!",""))</f>
        <v>0</v>
      </c>
    </row>
    <row r="633" spans="1:15">
      <c r="A633" s="13"/>
      <c r="B633" s="13"/>
      <c r="C633" s="17"/>
      <c r="D633" s="17"/>
      <c r="E633" s="18"/>
      <c r="F633" s="17"/>
      <c r="G633" s="18"/>
      <c r="H633" s="13"/>
      <c r="I633" s="19">
        <f>IF($E633="","",IF($L633&lt;=0.005,"Pago",IF($D633="","Sem vencimento",IF($D633&lt;Hoje,IF(N($G633)&gt;0,"Vencido (parcial)","Vencido"),IF($D633=Hoje,"Vence hoje","A vencer")))))</f>
        <v>0</v>
      </c>
      <c r="J633" s="20">
        <f>IF(OR($E633="",$D633=""),"",IF(AND($L633&gt;0.005,$D633&lt;Hoje),Hoje-$D633,0))</f>
        <v>0</v>
      </c>
      <c r="K633" s="20">
        <f>IF($J633="","",IF($L633&lt;=0.005,"Pago",IF($J633&lt;=0,"A vencer",IF($J633&lt;=15,"1-15 dias",IF($J633&lt;=30,"16-30 dias",IF($J633&lt;=60,"31-60 dias","Mais de 60 dias"))))))</f>
        <v>0</v>
      </c>
      <c r="L633" s="21">
        <f>IF($E633="","",MAX(0,$E633-N($G633)))</f>
        <v>0</v>
      </c>
      <c r="M633" s="21">
        <f>IF(OR($L633="",$J633=""),"",IF($J633&gt;0,ROUND($L633*Multa+$L633*Juros/30*$J633,2),0))</f>
        <v>0</v>
      </c>
      <c r="N633" s="22">
        <f>IF($L633="","",IF($L633&lt;=0.005,0,$L633+N($M633)))</f>
        <v>0</v>
      </c>
      <c r="O633" s="23">
        <f>IF(OR($I633="Vencido",$I633="Vencido (parcial)"),"Olá, "&amp;$A633&amp;"! Consta em aberto '"&amp;$B633&amp;"' com vencimento em "&amp;DAY($D633)&amp;"/"&amp;MONTH($D633)&amp;"/"&amp;YEAR($D633)&amp;", no valor de R$ "&amp;FIXED($N633,2)&amp;" (com multa e juros). Podemos ajudar a regularizar hoje? Obrigado!",IF($I633="Vence hoje","Olá, "&amp;$A633&amp;"! Lembrete: '"&amp;$B633&amp;"' vence hoje, no valor de R$ "&amp;FIXED($L633,2)&amp;". Obrigado!",""))</f>
        <v>0</v>
      </c>
    </row>
    <row r="634" spans="1:15">
      <c r="A634" s="13"/>
      <c r="B634" s="13"/>
      <c r="C634" s="17"/>
      <c r="D634" s="17"/>
      <c r="E634" s="18"/>
      <c r="F634" s="17"/>
      <c r="G634" s="18"/>
      <c r="H634" s="13"/>
      <c r="I634" s="19">
        <f>IF($E634="","",IF($L634&lt;=0.005,"Pago",IF($D634="","Sem vencimento",IF($D634&lt;Hoje,IF(N($G634)&gt;0,"Vencido (parcial)","Vencido"),IF($D634=Hoje,"Vence hoje","A vencer")))))</f>
        <v>0</v>
      </c>
      <c r="J634" s="20">
        <f>IF(OR($E634="",$D634=""),"",IF(AND($L634&gt;0.005,$D634&lt;Hoje),Hoje-$D634,0))</f>
        <v>0</v>
      </c>
      <c r="K634" s="20">
        <f>IF($J634="","",IF($L634&lt;=0.005,"Pago",IF($J634&lt;=0,"A vencer",IF($J634&lt;=15,"1-15 dias",IF($J634&lt;=30,"16-30 dias",IF($J634&lt;=60,"31-60 dias","Mais de 60 dias"))))))</f>
        <v>0</v>
      </c>
      <c r="L634" s="21">
        <f>IF($E634="","",MAX(0,$E634-N($G634)))</f>
        <v>0</v>
      </c>
      <c r="M634" s="21">
        <f>IF(OR($L634="",$J634=""),"",IF($J634&gt;0,ROUND($L634*Multa+$L634*Juros/30*$J634,2),0))</f>
        <v>0</v>
      </c>
      <c r="N634" s="22">
        <f>IF($L634="","",IF($L634&lt;=0.005,0,$L634+N($M634)))</f>
        <v>0</v>
      </c>
      <c r="O634" s="23">
        <f>IF(OR($I634="Vencido",$I634="Vencido (parcial)"),"Olá, "&amp;$A634&amp;"! Consta em aberto '"&amp;$B634&amp;"' com vencimento em "&amp;DAY($D634)&amp;"/"&amp;MONTH($D634)&amp;"/"&amp;YEAR($D634)&amp;", no valor de R$ "&amp;FIXED($N634,2)&amp;" (com multa e juros). Podemos ajudar a regularizar hoje? Obrigado!",IF($I634="Vence hoje","Olá, "&amp;$A634&amp;"! Lembrete: '"&amp;$B634&amp;"' vence hoje, no valor de R$ "&amp;FIXED($L634,2)&amp;". Obrigado!",""))</f>
        <v>0</v>
      </c>
    </row>
    <row r="635" spans="1:15">
      <c r="A635" s="13"/>
      <c r="B635" s="13"/>
      <c r="C635" s="17"/>
      <c r="D635" s="17"/>
      <c r="E635" s="18"/>
      <c r="F635" s="17"/>
      <c r="G635" s="18"/>
      <c r="H635" s="13"/>
      <c r="I635" s="19">
        <f>IF($E635="","",IF($L635&lt;=0.005,"Pago",IF($D635="","Sem vencimento",IF($D635&lt;Hoje,IF(N($G635)&gt;0,"Vencido (parcial)","Vencido"),IF($D635=Hoje,"Vence hoje","A vencer")))))</f>
        <v>0</v>
      </c>
      <c r="J635" s="20">
        <f>IF(OR($E635="",$D635=""),"",IF(AND($L635&gt;0.005,$D635&lt;Hoje),Hoje-$D635,0))</f>
        <v>0</v>
      </c>
      <c r="K635" s="20">
        <f>IF($J635="","",IF($L635&lt;=0.005,"Pago",IF($J635&lt;=0,"A vencer",IF($J635&lt;=15,"1-15 dias",IF($J635&lt;=30,"16-30 dias",IF($J635&lt;=60,"31-60 dias","Mais de 60 dias"))))))</f>
        <v>0</v>
      </c>
      <c r="L635" s="21">
        <f>IF($E635="","",MAX(0,$E635-N($G635)))</f>
        <v>0</v>
      </c>
      <c r="M635" s="21">
        <f>IF(OR($L635="",$J635=""),"",IF($J635&gt;0,ROUND($L635*Multa+$L635*Juros/30*$J635,2),0))</f>
        <v>0</v>
      </c>
      <c r="N635" s="22">
        <f>IF($L635="","",IF($L635&lt;=0.005,0,$L635+N($M635)))</f>
        <v>0</v>
      </c>
      <c r="O635" s="23">
        <f>IF(OR($I635="Vencido",$I635="Vencido (parcial)"),"Olá, "&amp;$A635&amp;"! Consta em aberto '"&amp;$B635&amp;"' com vencimento em "&amp;DAY($D635)&amp;"/"&amp;MONTH($D635)&amp;"/"&amp;YEAR($D635)&amp;", no valor de R$ "&amp;FIXED($N635,2)&amp;" (com multa e juros). Podemos ajudar a regularizar hoje? Obrigado!",IF($I635="Vence hoje","Olá, "&amp;$A635&amp;"! Lembrete: '"&amp;$B635&amp;"' vence hoje, no valor de R$ "&amp;FIXED($L635,2)&amp;". Obrigado!",""))</f>
        <v>0</v>
      </c>
    </row>
    <row r="636" spans="1:15">
      <c r="A636" s="13"/>
      <c r="B636" s="13"/>
      <c r="C636" s="17"/>
      <c r="D636" s="17"/>
      <c r="E636" s="18"/>
      <c r="F636" s="17"/>
      <c r="G636" s="18"/>
      <c r="H636" s="13"/>
      <c r="I636" s="19">
        <f>IF($E636="","",IF($L636&lt;=0.005,"Pago",IF($D636="","Sem vencimento",IF($D636&lt;Hoje,IF(N($G636)&gt;0,"Vencido (parcial)","Vencido"),IF($D636=Hoje,"Vence hoje","A vencer")))))</f>
        <v>0</v>
      </c>
      <c r="J636" s="20">
        <f>IF(OR($E636="",$D636=""),"",IF(AND($L636&gt;0.005,$D636&lt;Hoje),Hoje-$D636,0))</f>
        <v>0</v>
      </c>
      <c r="K636" s="20">
        <f>IF($J636="","",IF($L636&lt;=0.005,"Pago",IF($J636&lt;=0,"A vencer",IF($J636&lt;=15,"1-15 dias",IF($J636&lt;=30,"16-30 dias",IF($J636&lt;=60,"31-60 dias","Mais de 60 dias"))))))</f>
        <v>0</v>
      </c>
      <c r="L636" s="21">
        <f>IF($E636="","",MAX(0,$E636-N($G636)))</f>
        <v>0</v>
      </c>
      <c r="M636" s="21">
        <f>IF(OR($L636="",$J636=""),"",IF($J636&gt;0,ROUND($L636*Multa+$L636*Juros/30*$J636,2),0))</f>
        <v>0</v>
      </c>
      <c r="N636" s="22">
        <f>IF($L636="","",IF($L636&lt;=0.005,0,$L636+N($M636)))</f>
        <v>0</v>
      </c>
      <c r="O636" s="23">
        <f>IF(OR($I636="Vencido",$I636="Vencido (parcial)"),"Olá, "&amp;$A636&amp;"! Consta em aberto '"&amp;$B636&amp;"' com vencimento em "&amp;DAY($D636)&amp;"/"&amp;MONTH($D636)&amp;"/"&amp;YEAR($D636)&amp;", no valor de R$ "&amp;FIXED($N636,2)&amp;" (com multa e juros). Podemos ajudar a regularizar hoje? Obrigado!",IF($I636="Vence hoje","Olá, "&amp;$A636&amp;"! Lembrete: '"&amp;$B636&amp;"' vence hoje, no valor de R$ "&amp;FIXED($L636,2)&amp;". Obrigado!",""))</f>
        <v>0</v>
      </c>
    </row>
    <row r="637" spans="1:15">
      <c r="A637" s="13"/>
      <c r="B637" s="13"/>
      <c r="C637" s="17"/>
      <c r="D637" s="17"/>
      <c r="E637" s="18"/>
      <c r="F637" s="17"/>
      <c r="G637" s="18"/>
      <c r="H637" s="13"/>
      <c r="I637" s="19">
        <f>IF($E637="","",IF($L637&lt;=0.005,"Pago",IF($D637="","Sem vencimento",IF($D637&lt;Hoje,IF(N($G637)&gt;0,"Vencido (parcial)","Vencido"),IF($D637=Hoje,"Vence hoje","A vencer")))))</f>
        <v>0</v>
      </c>
      <c r="J637" s="20">
        <f>IF(OR($E637="",$D637=""),"",IF(AND($L637&gt;0.005,$D637&lt;Hoje),Hoje-$D637,0))</f>
        <v>0</v>
      </c>
      <c r="K637" s="20">
        <f>IF($J637="","",IF($L637&lt;=0.005,"Pago",IF($J637&lt;=0,"A vencer",IF($J637&lt;=15,"1-15 dias",IF($J637&lt;=30,"16-30 dias",IF($J637&lt;=60,"31-60 dias","Mais de 60 dias"))))))</f>
        <v>0</v>
      </c>
      <c r="L637" s="21">
        <f>IF($E637="","",MAX(0,$E637-N($G637)))</f>
        <v>0</v>
      </c>
      <c r="M637" s="21">
        <f>IF(OR($L637="",$J637=""),"",IF($J637&gt;0,ROUND($L637*Multa+$L637*Juros/30*$J637,2),0))</f>
        <v>0</v>
      </c>
      <c r="N637" s="22">
        <f>IF($L637="","",IF($L637&lt;=0.005,0,$L637+N($M637)))</f>
        <v>0</v>
      </c>
      <c r="O637" s="23">
        <f>IF(OR($I637="Vencido",$I637="Vencido (parcial)"),"Olá, "&amp;$A637&amp;"! Consta em aberto '"&amp;$B637&amp;"' com vencimento em "&amp;DAY($D637)&amp;"/"&amp;MONTH($D637)&amp;"/"&amp;YEAR($D637)&amp;", no valor de R$ "&amp;FIXED($N637,2)&amp;" (com multa e juros). Podemos ajudar a regularizar hoje? Obrigado!",IF($I637="Vence hoje","Olá, "&amp;$A637&amp;"! Lembrete: '"&amp;$B637&amp;"' vence hoje, no valor de R$ "&amp;FIXED($L637,2)&amp;". Obrigado!",""))</f>
        <v>0</v>
      </c>
    </row>
    <row r="638" spans="1:15">
      <c r="A638" s="13"/>
      <c r="B638" s="13"/>
      <c r="C638" s="17"/>
      <c r="D638" s="17"/>
      <c r="E638" s="18"/>
      <c r="F638" s="17"/>
      <c r="G638" s="18"/>
      <c r="H638" s="13"/>
      <c r="I638" s="19">
        <f>IF($E638="","",IF($L638&lt;=0.005,"Pago",IF($D638="","Sem vencimento",IF($D638&lt;Hoje,IF(N($G638)&gt;0,"Vencido (parcial)","Vencido"),IF($D638=Hoje,"Vence hoje","A vencer")))))</f>
        <v>0</v>
      </c>
      <c r="J638" s="20">
        <f>IF(OR($E638="",$D638=""),"",IF(AND($L638&gt;0.005,$D638&lt;Hoje),Hoje-$D638,0))</f>
        <v>0</v>
      </c>
      <c r="K638" s="20">
        <f>IF($J638="","",IF($L638&lt;=0.005,"Pago",IF($J638&lt;=0,"A vencer",IF($J638&lt;=15,"1-15 dias",IF($J638&lt;=30,"16-30 dias",IF($J638&lt;=60,"31-60 dias","Mais de 60 dias"))))))</f>
        <v>0</v>
      </c>
      <c r="L638" s="21">
        <f>IF($E638="","",MAX(0,$E638-N($G638)))</f>
        <v>0</v>
      </c>
      <c r="M638" s="21">
        <f>IF(OR($L638="",$J638=""),"",IF($J638&gt;0,ROUND($L638*Multa+$L638*Juros/30*$J638,2),0))</f>
        <v>0</v>
      </c>
      <c r="N638" s="22">
        <f>IF($L638="","",IF($L638&lt;=0.005,0,$L638+N($M638)))</f>
        <v>0</v>
      </c>
      <c r="O638" s="23">
        <f>IF(OR($I638="Vencido",$I638="Vencido (parcial)"),"Olá, "&amp;$A638&amp;"! Consta em aberto '"&amp;$B638&amp;"' com vencimento em "&amp;DAY($D638)&amp;"/"&amp;MONTH($D638)&amp;"/"&amp;YEAR($D638)&amp;", no valor de R$ "&amp;FIXED($N638,2)&amp;" (com multa e juros). Podemos ajudar a regularizar hoje? Obrigado!",IF($I638="Vence hoje","Olá, "&amp;$A638&amp;"! Lembrete: '"&amp;$B638&amp;"' vence hoje, no valor de R$ "&amp;FIXED($L638,2)&amp;". Obrigado!",""))</f>
        <v>0</v>
      </c>
    </row>
    <row r="639" spans="1:15">
      <c r="A639" s="13"/>
      <c r="B639" s="13"/>
      <c r="C639" s="17"/>
      <c r="D639" s="17"/>
      <c r="E639" s="18"/>
      <c r="F639" s="17"/>
      <c r="G639" s="18"/>
      <c r="H639" s="13"/>
      <c r="I639" s="19">
        <f>IF($E639="","",IF($L639&lt;=0.005,"Pago",IF($D639="","Sem vencimento",IF($D639&lt;Hoje,IF(N($G639)&gt;0,"Vencido (parcial)","Vencido"),IF($D639=Hoje,"Vence hoje","A vencer")))))</f>
        <v>0</v>
      </c>
      <c r="J639" s="20">
        <f>IF(OR($E639="",$D639=""),"",IF(AND($L639&gt;0.005,$D639&lt;Hoje),Hoje-$D639,0))</f>
        <v>0</v>
      </c>
      <c r="K639" s="20">
        <f>IF($J639="","",IF($L639&lt;=0.005,"Pago",IF($J639&lt;=0,"A vencer",IF($J639&lt;=15,"1-15 dias",IF($J639&lt;=30,"16-30 dias",IF($J639&lt;=60,"31-60 dias","Mais de 60 dias"))))))</f>
        <v>0</v>
      </c>
      <c r="L639" s="21">
        <f>IF($E639="","",MAX(0,$E639-N($G639)))</f>
        <v>0</v>
      </c>
      <c r="M639" s="21">
        <f>IF(OR($L639="",$J639=""),"",IF($J639&gt;0,ROUND($L639*Multa+$L639*Juros/30*$J639,2),0))</f>
        <v>0</v>
      </c>
      <c r="N639" s="22">
        <f>IF($L639="","",IF($L639&lt;=0.005,0,$L639+N($M639)))</f>
        <v>0</v>
      </c>
      <c r="O639" s="23">
        <f>IF(OR($I639="Vencido",$I639="Vencido (parcial)"),"Olá, "&amp;$A639&amp;"! Consta em aberto '"&amp;$B639&amp;"' com vencimento em "&amp;DAY($D639)&amp;"/"&amp;MONTH($D639)&amp;"/"&amp;YEAR($D639)&amp;", no valor de R$ "&amp;FIXED($N639,2)&amp;" (com multa e juros). Podemos ajudar a regularizar hoje? Obrigado!",IF($I639="Vence hoje","Olá, "&amp;$A639&amp;"! Lembrete: '"&amp;$B639&amp;"' vence hoje, no valor de R$ "&amp;FIXED($L639,2)&amp;". Obrigado!",""))</f>
        <v>0</v>
      </c>
    </row>
    <row r="640" spans="1:15">
      <c r="A640" s="13"/>
      <c r="B640" s="13"/>
      <c r="C640" s="17"/>
      <c r="D640" s="17"/>
      <c r="E640" s="18"/>
      <c r="F640" s="17"/>
      <c r="G640" s="18"/>
      <c r="H640" s="13"/>
      <c r="I640" s="19">
        <f>IF($E640="","",IF($L640&lt;=0.005,"Pago",IF($D640="","Sem vencimento",IF($D640&lt;Hoje,IF(N($G640)&gt;0,"Vencido (parcial)","Vencido"),IF($D640=Hoje,"Vence hoje","A vencer")))))</f>
        <v>0</v>
      </c>
      <c r="J640" s="20">
        <f>IF(OR($E640="",$D640=""),"",IF(AND($L640&gt;0.005,$D640&lt;Hoje),Hoje-$D640,0))</f>
        <v>0</v>
      </c>
      <c r="K640" s="20">
        <f>IF($J640="","",IF($L640&lt;=0.005,"Pago",IF($J640&lt;=0,"A vencer",IF($J640&lt;=15,"1-15 dias",IF($J640&lt;=30,"16-30 dias",IF($J640&lt;=60,"31-60 dias","Mais de 60 dias"))))))</f>
        <v>0</v>
      </c>
      <c r="L640" s="21">
        <f>IF($E640="","",MAX(0,$E640-N($G640)))</f>
        <v>0</v>
      </c>
      <c r="M640" s="21">
        <f>IF(OR($L640="",$J640=""),"",IF($J640&gt;0,ROUND($L640*Multa+$L640*Juros/30*$J640,2),0))</f>
        <v>0</v>
      </c>
      <c r="N640" s="22">
        <f>IF($L640="","",IF($L640&lt;=0.005,0,$L640+N($M640)))</f>
        <v>0</v>
      </c>
      <c r="O640" s="23">
        <f>IF(OR($I640="Vencido",$I640="Vencido (parcial)"),"Olá, "&amp;$A640&amp;"! Consta em aberto '"&amp;$B640&amp;"' com vencimento em "&amp;DAY($D640)&amp;"/"&amp;MONTH($D640)&amp;"/"&amp;YEAR($D640)&amp;", no valor de R$ "&amp;FIXED($N640,2)&amp;" (com multa e juros). Podemos ajudar a regularizar hoje? Obrigado!",IF($I640="Vence hoje","Olá, "&amp;$A640&amp;"! Lembrete: '"&amp;$B640&amp;"' vence hoje, no valor de R$ "&amp;FIXED($L640,2)&amp;". Obrigado!",""))</f>
        <v>0</v>
      </c>
    </row>
    <row r="641" spans="1:15">
      <c r="A641" s="13"/>
      <c r="B641" s="13"/>
      <c r="C641" s="17"/>
      <c r="D641" s="17"/>
      <c r="E641" s="18"/>
      <c r="F641" s="17"/>
      <c r="G641" s="18"/>
      <c r="H641" s="13"/>
      <c r="I641" s="19">
        <f>IF($E641="","",IF($L641&lt;=0.005,"Pago",IF($D641="","Sem vencimento",IF($D641&lt;Hoje,IF(N($G641)&gt;0,"Vencido (parcial)","Vencido"),IF($D641=Hoje,"Vence hoje","A vencer")))))</f>
        <v>0</v>
      </c>
      <c r="J641" s="20">
        <f>IF(OR($E641="",$D641=""),"",IF(AND($L641&gt;0.005,$D641&lt;Hoje),Hoje-$D641,0))</f>
        <v>0</v>
      </c>
      <c r="K641" s="20">
        <f>IF($J641="","",IF($L641&lt;=0.005,"Pago",IF($J641&lt;=0,"A vencer",IF($J641&lt;=15,"1-15 dias",IF($J641&lt;=30,"16-30 dias",IF($J641&lt;=60,"31-60 dias","Mais de 60 dias"))))))</f>
        <v>0</v>
      </c>
      <c r="L641" s="21">
        <f>IF($E641="","",MAX(0,$E641-N($G641)))</f>
        <v>0</v>
      </c>
      <c r="M641" s="21">
        <f>IF(OR($L641="",$J641=""),"",IF($J641&gt;0,ROUND($L641*Multa+$L641*Juros/30*$J641,2),0))</f>
        <v>0</v>
      </c>
      <c r="N641" s="22">
        <f>IF($L641="","",IF($L641&lt;=0.005,0,$L641+N($M641)))</f>
        <v>0</v>
      </c>
      <c r="O641" s="23">
        <f>IF(OR($I641="Vencido",$I641="Vencido (parcial)"),"Olá, "&amp;$A641&amp;"! Consta em aberto '"&amp;$B641&amp;"' com vencimento em "&amp;DAY($D641)&amp;"/"&amp;MONTH($D641)&amp;"/"&amp;YEAR($D641)&amp;", no valor de R$ "&amp;FIXED($N641,2)&amp;" (com multa e juros). Podemos ajudar a regularizar hoje? Obrigado!",IF($I641="Vence hoje","Olá, "&amp;$A641&amp;"! Lembrete: '"&amp;$B641&amp;"' vence hoje, no valor de R$ "&amp;FIXED($L641,2)&amp;". Obrigado!",""))</f>
        <v>0</v>
      </c>
    </row>
    <row r="642" spans="1:15">
      <c r="A642" s="13"/>
      <c r="B642" s="13"/>
      <c r="C642" s="17"/>
      <c r="D642" s="17"/>
      <c r="E642" s="18"/>
      <c r="F642" s="17"/>
      <c r="G642" s="18"/>
      <c r="H642" s="13"/>
      <c r="I642" s="19">
        <f>IF($E642="","",IF($L642&lt;=0.005,"Pago",IF($D642="","Sem vencimento",IF($D642&lt;Hoje,IF(N($G642)&gt;0,"Vencido (parcial)","Vencido"),IF($D642=Hoje,"Vence hoje","A vencer")))))</f>
        <v>0</v>
      </c>
      <c r="J642" s="20">
        <f>IF(OR($E642="",$D642=""),"",IF(AND($L642&gt;0.005,$D642&lt;Hoje),Hoje-$D642,0))</f>
        <v>0</v>
      </c>
      <c r="K642" s="20">
        <f>IF($J642="","",IF($L642&lt;=0.005,"Pago",IF($J642&lt;=0,"A vencer",IF($J642&lt;=15,"1-15 dias",IF($J642&lt;=30,"16-30 dias",IF($J642&lt;=60,"31-60 dias","Mais de 60 dias"))))))</f>
        <v>0</v>
      </c>
      <c r="L642" s="21">
        <f>IF($E642="","",MAX(0,$E642-N($G642)))</f>
        <v>0</v>
      </c>
      <c r="M642" s="21">
        <f>IF(OR($L642="",$J642=""),"",IF($J642&gt;0,ROUND($L642*Multa+$L642*Juros/30*$J642,2),0))</f>
        <v>0</v>
      </c>
      <c r="N642" s="22">
        <f>IF($L642="","",IF($L642&lt;=0.005,0,$L642+N($M642)))</f>
        <v>0</v>
      </c>
      <c r="O642" s="23">
        <f>IF(OR($I642="Vencido",$I642="Vencido (parcial)"),"Olá, "&amp;$A642&amp;"! Consta em aberto '"&amp;$B642&amp;"' com vencimento em "&amp;DAY($D642)&amp;"/"&amp;MONTH($D642)&amp;"/"&amp;YEAR($D642)&amp;", no valor de R$ "&amp;FIXED($N642,2)&amp;" (com multa e juros). Podemos ajudar a regularizar hoje? Obrigado!",IF($I642="Vence hoje","Olá, "&amp;$A642&amp;"! Lembrete: '"&amp;$B642&amp;"' vence hoje, no valor de R$ "&amp;FIXED($L642,2)&amp;". Obrigado!",""))</f>
        <v>0</v>
      </c>
    </row>
    <row r="643" spans="1:15">
      <c r="A643" s="13"/>
      <c r="B643" s="13"/>
      <c r="C643" s="17"/>
      <c r="D643" s="17"/>
      <c r="E643" s="18"/>
      <c r="F643" s="17"/>
      <c r="G643" s="18"/>
      <c r="H643" s="13"/>
      <c r="I643" s="19">
        <f>IF($E643="","",IF($L643&lt;=0.005,"Pago",IF($D643="","Sem vencimento",IF($D643&lt;Hoje,IF(N($G643)&gt;0,"Vencido (parcial)","Vencido"),IF($D643=Hoje,"Vence hoje","A vencer")))))</f>
        <v>0</v>
      </c>
      <c r="J643" s="20">
        <f>IF(OR($E643="",$D643=""),"",IF(AND($L643&gt;0.005,$D643&lt;Hoje),Hoje-$D643,0))</f>
        <v>0</v>
      </c>
      <c r="K643" s="20">
        <f>IF($J643="","",IF($L643&lt;=0.005,"Pago",IF($J643&lt;=0,"A vencer",IF($J643&lt;=15,"1-15 dias",IF($J643&lt;=30,"16-30 dias",IF($J643&lt;=60,"31-60 dias","Mais de 60 dias"))))))</f>
        <v>0</v>
      </c>
      <c r="L643" s="21">
        <f>IF($E643="","",MAX(0,$E643-N($G643)))</f>
        <v>0</v>
      </c>
      <c r="M643" s="21">
        <f>IF(OR($L643="",$J643=""),"",IF($J643&gt;0,ROUND($L643*Multa+$L643*Juros/30*$J643,2),0))</f>
        <v>0</v>
      </c>
      <c r="N643" s="22">
        <f>IF($L643="","",IF($L643&lt;=0.005,0,$L643+N($M643)))</f>
        <v>0</v>
      </c>
      <c r="O643" s="23">
        <f>IF(OR($I643="Vencido",$I643="Vencido (parcial)"),"Olá, "&amp;$A643&amp;"! Consta em aberto '"&amp;$B643&amp;"' com vencimento em "&amp;DAY($D643)&amp;"/"&amp;MONTH($D643)&amp;"/"&amp;YEAR($D643)&amp;", no valor de R$ "&amp;FIXED($N643,2)&amp;" (com multa e juros). Podemos ajudar a regularizar hoje? Obrigado!",IF($I643="Vence hoje","Olá, "&amp;$A643&amp;"! Lembrete: '"&amp;$B643&amp;"' vence hoje, no valor de R$ "&amp;FIXED($L643,2)&amp;". Obrigado!",""))</f>
        <v>0</v>
      </c>
    </row>
    <row r="644" spans="1:15">
      <c r="A644" s="13"/>
      <c r="B644" s="13"/>
      <c r="C644" s="17"/>
      <c r="D644" s="17"/>
      <c r="E644" s="18"/>
      <c r="F644" s="17"/>
      <c r="G644" s="18"/>
      <c r="H644" s="13"/>
      <c r="I644" s="19">
        <f>IF($E644="","",IF($L644&lt;=0.005,"Pago",IF($D644="","Sem vencimento",IF($D644&lt;Hoje,IF(N($G644)&gt;0,"Vencido (parcial)","Vencido"),IF($D644=Hoje,"Vence hoje","A vencer")))))</f>
        <v>0</v>
      </c>
      <c r="J644" s="20">
        <f>IF(OR($E644="",$D644=""),"",IF(AND($L644&gt;0.005,$D644&lt;Hoje),Hoje-$D644,0))</f>
        <v>0</v>
      </c>
      <c r="K644" s="20">
        <f>IF($J644="","",IF($L644&lt;=0.005,"Pago",IF($J644&lt;=0,"A vencer",IF($J644&lt;=15,"1-15 dias",IF($J644&lt;=30,"16-30 dias",IF($J644&lt;=60,"31-60 dias","Mais de 60 dias"))))))</f>
        <v>0</v>
      </c>
      <c r="L644" s="21">
        <f>IF($E644="","",MAX(0,$E644-N($G644)))</f>
        <v>0</v>
      </c>
      <c r="M644" s="21">
        <f>IF(OR($L644="",$J644=""),"",IF($J644&gt;0,ROUND($L644*Multa+$L644*Juros/30*$J644,2),0))</f>
        <v>0</v>
      </c>
      <c r="N644" s="22">
        <f>IF($L644="","",IF($L644&lt;=0.005,0,$L644+N($M644)))</f>
        <v>0</v>
      </c>
      <c r="O644" s="23">
        <f>IF(OR($I644="Vencido",$I644="Vencido (parcial)"),"Olá, "&amp;$A644&amp;"! Consta em aberto '"&amp;$B644&amp;"' com vencimento em "&amp;DAY($D644)&amp;"/"&amp;MONTH($D644)&amp;"/"&amp;YEAR($D644)&amp;", no valor de R$ "&amp;FIXED($N644,2)&amp;" (com multa e juros). Podemos ajudar a regularizar hoje? Obrigado!",IF($I644="Vence hoje","Olá, "&amp;$A644&amp;"! Lembrete: '"&amp;$B644&amp;"' vence hoje, no valor de R$ "&amp;FIXED($L644,2)&amp;". Obrigado!",""))</f>
        <v>0</v>
      </c>
    </row>
    <row r="645" spans="1:15">
      <c r="A645" s="13"/>
      <c r="B645" s="13"/>
      <c r="C645" s="17"/>
      <c r="D645" s="17"/>
      <c r="E645" s="18"/>
      <c r="F645" s="17"/>
      <c r="G645" s="18"/>
      <c r="H645" s="13"/>
      <c r="I645" s="19">
        <f>IF($E645="","",IF($L645&lt;=0.005,"Pago",IF($D645="","Sem vencimento",IF($D645&lt;Hoje,IF(N($G645)&gt;0,"Vencido (parcial)","Vencido"),IF($D645=Hoje,"Vence hoje","A vencer")))))</f>
        <v>0</v>
      </c>
      <c r="J645" s="20">
        <f>IF(OR($E645="",$D645=""),"",IF(AND($L645&gt;0.005,$D645&lt;Hoje),Hoje-$D645,0))</f>
        <v>0</v>
      </c>
      <c r="K645" s="20">
        <f>IF($J645="","",IF($L645&lt;=0.005,"Pago",IF($J645&lt;=0,"A vencer",IF($J645&lt;=15,"1-15 dias",IF($J645&lt;=30,"16-30 dias",IF($J645&lt;=60,"31-60 dias","Mais de 60 dias"))))))</f>
        <v>0</v>
      </c>
      <c r="L645" s="21">
        <f>IF($E645="","",MAX(0,$E645-N($G645)))</f>
        <v>0</v>
      </c>
      <c r="M645" s="21">
        <f>IF(OR($L645="",$J645=""),"",IF($J645&gt;0,ROUND($L645*Multa+$L645*Juros/30*$J645,2),0))</f>
        <v>0</v>
      </c>
      <c r="N645" s="22">
        <f>IF($L645="","",IF($L645&lt;=0.005,0,$L645+N($M645)))</f>
        <v>0</v>
      </c>
      <c r="O645" s="23">
        <f>IF(OR($I645="Vencido",$I645="Vencido (parcial)"),"Olá, "&amp;$A645&amp;"! Consta em aberto '"&amp;$B645&amp;"' com vencimento em "&amp;DAY($D645)&amp;"/"&amp;MONTH($D645)&amp;"/"&amp;YEAR($D645)&amp;", no valor de R$ "&amp;FIXED($N645,2)&amp;" (com multa e juros). Podemos ajudar a regularizar hoje? Obrigado!",IF($I645="Vence hoje","Olá, "&amp;$A645&amp;"! Lembrete: '"&amp;$B645&amp;"' vence hoje, no valor de R$ "&amp;FIXED($L645,2)&amp;". Obrigado!",""))</f>
        <v>0</v>
      </c>
    </row>
    <row r="646" spans="1:15">
      <c r="A646" s="13"/>
      <c r="B646" s="13"/>
      <c r="C646" s="17"/>
      <c r="D646" s="17"/>
      <c r="E646" s="18"/>
      <c r="F646" s="17"/>
      <c r="G646" s="18"/>
      <c r="H646" s="13"/>
      <c r="I646" s="19">
        <f>IF($E646="","",IF($L646&lt;=0.005,"Pago",IF($D646="","Sem vencimento",IF($D646&lt;Hoje,IF(N($G646)&gt;0,"Vencido (parcial)","Vencido"),IF($D646=Hoje,"Vence hoje","A vencer")))))</f>
        <v>0</v>
      </c>
      <c r="J646" s="20">
        <f>IF(OR($E646="",$D646=""),"",IF(AND($L646&gt;0.005,$D646&lt;Hoje),Hoje-$D646,0))</f>
        <v>0</v>
      </c>
      <c r="K646" s="20">
        <f>IF($J646="","",IF($L646&lt;=0.005,"Pago",IF($J646&lt;=0,"A vencer",IF($J646&lt;=15,"1-15 dias",IF($J646&lt;=30,"16-30 dias",IF($J646&lt;=60,"31-60 dias","Mais de 60 dias"))))))</f>
        <v>0</v>
      </c>
      <c r="L646" s="21">
        <f>IF($E646="","",MAX(0,$E646-N($G646)))</f>
        <v>0</v>
      </c>
      <c r="M646" s="21">
        <f>IF(OR($L646="",$J646=""),"",IF($J646&gt;0,ROUND($L646*Multa+$L646*Juros/30*$J646,2),0))</f>
        <v>0</v>
      </c>
      <c r="N646" s="22">
        <f>IF($L646="","",IF($L646&lt;=0.005,0,$L646+N($M646)))</f>
        <v>0</v>
      </c>
      <c r="O646" s="23">
        <f>IF(OR($I646="Vencido",$I646="Vencido (parcial)"),"Olá, "&amp;$A646&amp;"! Consta em aberto '"&amp;$B646&amp;"' com vencimento em "&amp;DAY($D646)&amp;"/"&amp;MONTH($D646)&amp;"/"&amp;YEAR($D646)&amp;", no valor de R$ "&amp;FIXED($N646,2)&amp;" (com multa e juros). Podemos ajudar a regularizar hoje? Obrigado!",IF($I646="Vence hoje","Olá, "&amp;$A646&amp;"! Lembrete: '"&amp;$B646&amp;"' vence hoje, no valor de R$ "&amp;FIXED($L646,2)&amp;". Obrigado!",""))</f>
        <v>0</v>
      </c>
    </row>
    <row r="647" spans="1:15">
      <c r="A647" s="13"/>
      <c r="B647" s="13"/>
      <c r="C647" s="17"/>
      <c r="D647" s="17"/>
      <c r="E647" s="18"/>
      <c r="F647" s="17"/>
      <c r="G647" s="18"/>
      <c r="H647" s="13"/>
      <c r="I647" s="19">
        <f>IF($E647="","",IF($L647&lt;=0.005,"Pago",IF($D647="","Sem vencimento",IF($D647&lt;Hoje,IF(N($G647)&gt;0,"Vencido (parcial)","Vencido"),IF($D647=Hoje,"Vence hoje","A vencer")))))</f>
        <v>0</v>
      </c>
      <c r="J647" s="20">
        <f>IF(OR($E647="",$D647=""),"",IF(AND($L647&gt;0.005,$D647&lt;Hoje),Hoje-$D647,0))</f>
        <v>0</v>
      </c>
      <c r="K647" s="20">
        <f>IF($J647="","",IF($L647&lt;=0.005,"Pago",IF($J647&lt;=0,"A vencer",IF($J647&lt;=15,"1-15 dias",IF($J647&lt;=30,"16-30 dias",IF($J647&lt;=60,"31-60 dias","Mais de 60 dias"))))))</f>
        <v>0</v>
      </c>
      <c r="L647" s="21">
        <f>IF($E647="","",MAX(0,$E647-N($G647)))</f>
        <v>0</v>
      </c>
      <c r="M647" s="21">
        <f>IF(OR($L647="",$J647=""),"",IF($J647&gt;0,ROUND($L647*Multa+$L647*Juros/30*$J647,2),0))</f>
        <v>0</v>
      </c>
      <c r="N647" s="22">
        <f>IF($L647="","",IF($L647&lt;=0.005,0,$L647+N($M647)))</f>
        <v>0</v>
      </c>
      <c r="O647" s="23">
        <f>IF(OR($I647="Vencido",$I647="Vencido (parcial)"),"Olá, "&amp;$A647&amp;"! Consta em aberto '"&amp;$B647&amp;"' com vencimento em "&amp;DAY($D647)&amp;"/"&amp;MONTH($D647)&amp;"/"&amp;YEAR($D647)&amp;", no valor de R$ "&amp;FIXED($N647,2)&amp;" (com multa e juros). Podemos ajudar a regularizar hoje? Obrigado!",IF($I647="Vence hoje","Olá, "&amp;$A647&amp;"! Lembrete: '"&amp;$B647&amp;"' vence hoje, no valor de R$ "&amp;FIXED($L647,2)&amp;". Obrigado!",""))</f>
        <v>0</v>
      </c>
    </row>
    <row r="648" spans="1:15">
      <c r="A648" s="13"/>
      <c r="B648" s="13"/>
      <c r="C648" s="17"/>
      <c r="D648" s="17"/>
      <c r="E648" s="18"/>
      <c r="F648" s="17"/>
      <c r="G648" s="18"/>
      <c r="H648" s="13"/>
      <c r="I648" s="19">
        <f>IF($E648="","",IF($L648&lt;=0.005,"Pago",IF($D648="","Sem vencimento",IF($D648&lt;Hoje,IF(N($G648)&gt;0,"Vencido (parcial)","Vencido"),IF($D648=Hoje,"Vence hoje","A vencer")))))</f>
        <v>0</v>
      </c>
      <c r="J648" s="20">
        <f>IF(OR($E648="",$D648=""),"",IF(AND($L648&gt;0.005,$D648&lt;Hoje),Hoje-$D648,0))</f>
        <v>0</v>
      </c>
      <c r="K648" s="20">
        <f>IF($J648="","",IF($L648&lt;=0.005,"Pago",IF($J648&lt;=0,"A vencer",IF($J648&lt;=15,"1-15 dias",IF($J648&lt;=30,"16-30 dias",IF($J648&lt;=60,"31-60 dias","Mais de 60 dias"))))))</f>
        <v>0</v>
      </c>
      <c r="L648" s="21">
        <f>IF($E648="","",MAX(0,$E648-N($G648)))</f>
        <v>0</v>
      </c>
      <c r="M648" s="21">
        <f>IF(OR($L648="",$J648=""),"",IF($J648&gt;0,ROUND($L648*Multa+$L648*Juros/30*$J648,2),0))</f>
        <v>0</v>
      </c>
      <c r="N648" s="22">
        <f>IF($L648="","",IF($L648&lt;=0.005,0,$L648+N($M648)))</f>
        <v>0</v>
      </c>
      <c r="O648" s="23">
        <f>IF(OR($I648="Vencido",$I648="Vencido (parcial)"),"Olá, "&amp;$A648&amp;"! Consta em aberto '"&amp;$B648&amp;"' com vencimento em "&amp;DAY($D648)&amp;"/"&amp;MONTH($D648)&amp;"/"&amp;YEAR($D648)&amp;", no valor de R$ "&amp;FIXED($N648,2)&amp;" (com multa e juros). Podemos ajudar a regularizar hoje? Obrigado!",IF($I648="Vence hoje","Olá, "&amp;$A648&amp;"! Lembrete: '"&amp;$B648&amp;"' vence hoje, no valor de R$ "&amp;FIXED($L648,2)&amp;". Obrigado!",""))</f>
        <v>0</v>
      </c>
    </row>
    <row r="649" spans="1:15">
      <c r="A649" s="13"/>
      <c r="B649" s="13"/>
      <c r="C649" s="17"/>
      <c r="D649" s="17"/>
      <c r="E649" s="18"/>
      <c r="F649" s="17"/>
      <c r="G649" s="18"/>
      <c r="H649" s="13"/>
      <c r="I649" s="19">
        <f>IF($E649="","",IF($L649&lt;=0.005,"Pago",IF($D649="","Sem vencimento",IF($D649&lt;Hoje,IF(N($G649)&gt;0,"Vencido (parcial)","Vencido"),IF($D649=Hoje,"Vence hoje","A vencer")))))</f>
        <v>0</v>
      </c>
      <c r="J649" s="20">
        <f>IF(OR($E649="",$D649=""),"",IF(AND($L649&gt;0.005,$D649&lt;Hoje),Hoje-$D649,0))</f>
        <v>0</v>
      </c>
      <c r="K649" s="20">
        <f>IF($J649="","",IF($L649&lt;=0.005,"Pago",IF($J649&lt;=0,"A vencer",IF($J649&lt;=15,"1-15 dias",IF($J649&lt;=30,"16-30 dias",IF($J649&lt;=60,"31-60 dias","Mais de 60 dias"))))))</f>
        <v>0</v>
      </c>
      <c r="L649" s="21">
        <f>IF($E649="","",MAX(0,$E649-N($G649)))</f>
        <v>0</v>
      </c>
      <c r="M649" s="21">
        <f>IF(OR($L649="",$J649=""),"",IF($J649&gt;0,ROUND($L649*Multa+$L649*Juros/30*$J649,2),0))</f>
        <v>0</v>
      </c>
      <c r="N649" s="22">
        <f>IF($L649="","",IF($L649&lt;=0.005,0,$L649+N($M649)))</f>
        <v>0</v>
      </c>
      <c r="O649" s="23">
        <f>IF(OR($I649="Vencido",$I649="Vencido (parcial)"),"Olá, "&amp;$A649&amp;"! Consta em aberto '"&amp;$B649&amp;"' com vencimento em "&amp;DAY($D649)&amp;"/"&amp;MONTH($D649)&amp;"/"&amp;YEAR($D649)&amp;", no valor de R$ "&amp;FIXED($N649,2)&amp;" (com multa e juros). Podemos ajudar a regularizar hoje? Obrigado!",IF($I649="Vence hoje","Olá, "&amp;$A649&amp;"! Lembrete: '"&amp;$B649&amp;"' vence hoje, no valor de R$ "&amp;FIXED($L649,2)&amp;". Obrigado!",""))</f>
        <v>0</v>
      </c>
    </row>
    <row r="650" spans="1:15">
      <c r="A650" s="13"/>
      <c r="B650" s="13"/>
      <c r="C650" s="17"/>
      <c r="D650" s="17"/>
      <c r="E650" s="18"/>
      <c r="F650" s="17"/>
      <c r="G650" s="18"/>
      <c r="H650" s="13"/>
      <c r="I650" s="19">
        <f>IF($E650="","",IF($L650&lt;=0.005,"Pago",IF($D650="","Sem vencimento",IF($D650&lt;Hoje,IF(N($G650)&gt;0,"Vencido (parcial)","Vencido"),IF($D650=Hoje,"Vence hoje","A vencer")))))</f>
        <v>0</v>
      </c>
      <c r="J650" s="20">
        <f>IF(OR($E650="",$D650=""),"",IF(AND($L650&gt;0.005,$D650&lt;Hoje),Hoje-$D650,0))</f>
        <v>0</v>
      </c>
      <c r="K650" s="20">
        <f>IF($J650="","",IF($L650&lt;=0.005,"Pago",IF($J650&lt;=0,"A vencer",IF($J650&lt;=15,"1-15 dias",IF($J650&lt;=30,"16-30 dias",IF($J650&lt;=60,"31-60 dias","Mais de 60 dias"))))))</f>
        <v>0</v>
      </c>
      <c r="L650" s="21">
        <f>IF($E650="","",MAX(0,$E650-N($G650)))</f>
        <v>0</v>
      </c>
      <c r="M650" s="21">
        <f>IF(OR($L650="",$J650=""),"",IF($J650&gt;0,ROUND($L650*Multa+$L650*Juros/30*$J650,2),0))</f>
        <v>0</v>
      </c>
      <c r="N650" s="22">
        <f>IF($L650="","",IF($L650&lt;=0.005,0,$L650+N($M650)))</f>
        <v>0</v>
      </c>
      <c r="O650" s="23">
        <f>IF(OR($I650="Vencido",$I650="Vencido (parcial)"),"Olá, "&amp;$A650&amp;"! Consta em aberto '"&amp;$B650&amp;"' com vencimento em "&amp;DAY($D650)&amp;"/"&amp;MONTH($D650)&amp;"/"&amp;YEAR($D650)&amp;", no valor de R$ "&amp;FIXED($N650,2)&amp;" (com multa e juros). Podemos ajudar a regularizar hoje? Obrigado!",IF($I650="Vence hoje","Olá, "&amp;$A650&amp;"! Lembrete: '"&amp;$B650&amp;"' vence hoje, no valor de R$ "&amp;FIXED($L650,2)&amp;". Obrigado!",""))</f>
        <v>0</v>
      </c>
    </row>
    <row r="651" spans="1:15">
      <c r="A651" s="13"/>
      <c r="B651" s="13"/>
      <c r="C651" s="17"/>
      <c r="D651" s="17"/>
      <c r="E651" s="18"/>
      <c r="F651" s="17"/>
      <c r="G651" s="18"/>
      <c r="H651" s="13"/>
      <c r="I651" s="19">
        <f>IF($E651="","",IF($L651&lt;=0.005,"Pago",IF($D651="","Sem vencimento",IF($D651&lt;Hoje,IF(N($G651)&gt;0,"Vencido (parcial)","Vencido"),IF($D651=Hoje,"Vence hoje","A vencer")))))</f>
        <v>0</v>
      </c>
      <c r="J651" s="20">
        <f>IF(OR($E651="",$D651=""),"",IF(AND($L651&gt;0.005,$D651&lt;Hoje),Hoje-$D651,0))</f>
        <v>0</v>
      </c>
      <c r="K651" s="20">
        <f>IF($J651="","",IF($L651&lt;=0.005,"Pago",IF($J651&lt;=0,"A vencer",IF($J651&lt;=15,"1-15 dias",IF($J651&lt;=30,"16-30 dias",IF($J651&lt;=60,"31-60 dias","Mais de 60 dias"))))))</f>
        <v>0</v>
      </c>
      <c r="L651" s="21">
        <f>IF($E651="","",MAX(0,$E651-N($G651)))</f>
        <v>0</v>
      </c>
      <c r="M651" s="21">
        <f>IF(OR($L651="",$J651=""),"",IF($J651&gt;0,ROUND($L651*Multa+$L651*Juros/30*$J651,2),0))</f>
        <v>0</v>
      </c>
      <c r="N651" s="22">
        <f>IF($L651="","",IF($L651&lt;=0.005,0,$L651+N($M651)))</f>
        <v>0</v>
      </c>
      <c r="O651" s="23">
        <f>IF(OR($I651="Vencido",$I651="Vencido (parcial)"),"Olá, "&amp;$A651&amp;"! Consta em aberto '"&amp;$B651&amp;"' com vencimento em "&amp;DAY($D651)&amp;"/"&amp;MONTH($D651)&amp;"/"&amp;YEAR($D651)&amp;", no valor de R$ "&amp;FIXED($N651,2)&amp;" (com multa e juros). Podemos ajudar a regularizar hoje? Obrigado!",IF($I651="Vence hoje","Olá, "&amp;$A651&amp;"! Lembrete: '"&amp;$B651&amp;"' vence hoje, no valor de R$ "&amp;FIXED($L651,2)&amp;". Obrigado!",""))</f>
        <v>0</v>
      </c>
    </row>
    <row r="652" spans="1:15">
      <c r="A652" s="13"/>
      <c r="B652" s="13"/>
      <c r="C652" s="17"/>
      <c r="D652" s="17"/>
      <c r="E652" s="18"/>
      <c r="F652" s="17"/>
      <c r="G652" s="18"/>
      <c r="H652" s="13"/>
      <c r="I652" s="19">
        <f>IF($E652="","",IF($L652&lt;=0.005,"Pago",IF($D652="","Sem vencimento",IF($D652&lt;Hoje,IF(N($G652)&gt;0,"Vencido (parcial)","Vencido"),IF($D652=Hoje,"Vence hoje","A vencer")))))</f>
        <v>0</v>
      </c>
      <c r="J652" s="20">
        <f>IF(OR($E652="",$D652=""),"",IF(AND($L652&gt;0.005,$D652&lt;Hoje),Hoje-$D652,0))</f>
        <v>0</v>
      </c>
      <c r="K652" s="20">
        <f>IF($J652="","",IF($L652&lt;=0.005,"Pago",IF($J652&lt;=0,"A vencer",IF($J652&lt;=15,"1-15 dias",IF($J652&lt;=30,"16-30 dias",IF($J652&lt;=60,"31-60 dias","Mais de 60 dias"))))))</f>
        <v>0</v>
      </c>
      <c r="L652" s="21">
        <f>IF($E652="","",MAX(0,$E652-N($G652)))</f>
        <v>0</v>
      </c>
      <c r="M652" s="21">
        <f>IF(OR($L652="",$J652=""),"",IF($J652&gt;0,ROUND($L652*Multa+$L652*Juros/30*$J652,2),0))</f>
        <v>0</v>
      </c>
      <c r="N652" s="22">
        <f>IF($L652="","",IF($L652&lt;=0.005,0,$L652+N($M652)))</f>
        <v>0</v>
      </c>
      <c r="O652" s="23">
        <f>IF(OR($I652="Vencido",$I652="Vencido (parcial)"),"Olá, "&amp;$A652&amp;"! Consta em aberto '"&amp;$B652&amp;"' com vencimento em "&amp;DAY($D652)&amp;"/"&amp;MONTH($D652)&amp;"/"&amp;YEAR($D652)&amp;", no valor de R$ "&amp;FIXED($N652,2)&amp;" (com multa e juros). Podemos ajudar a regularizar hoje? Obrigado!",IF($I652="Vence hoje","Olá, "&amp;$A652&amp;"! Lembrete: '"&amp;$B652&amp;"' vence hoje, no valor de R$ "&amp;FIXED($L652,2)&amp;". Obrigado!",""))</f>
        <v>0</v>
      </c>
    </row>
    <row r="653" spans="1:15">
      <c r="A653" s="13"/>
      <c r="B653" s="13"/>
      <c r="C653" s="17"/>
      <c r="D653" s="17"/>
      <c r="E653" s="18"/>
      <c r="F653" s="17"/>
      <c r="G653" s="18"/>
      <c r="H653" s="13"/>
      <c r="I653" s="19">
        <f>IF($E653="","",IF($L653&lt;=0.005,"Pago",IF($D653="","Sem vencimento",IF($D653&lt;Hoje,IF(N($G653)&gt;0,"Vencido (parcial)","Vencido"),IF($D653=Hoje,"Vence hoje","A vencer")))))</f>
        <v>0</v>
      </c>
      <c r="J653" s="20">
        <f>IF(OR($E653="",$D653=""),"",IF(AND($L653&gt;0.005,$D653&lt;Hoje),Hoje-$D653,0))</f>
        <v>0</v>
      </c>
      <c r="K653" s="20">
        <f>IF($J653="","",IF($L653&lt;=0.005,"Pago",IF($J653&lt;=0,"A vencer",IF($J653&lt;=15,"1-15 dias",IF($J653&lt;=30,"16-30 dias",IF($J653&lt;=60,"31-60 dias","Mais de 60 dias"))))))</f>
        <v>0</v>
      </c>
      <c r="L653" s="21">
        <f>IF($E653="","",MAX(0,$E653-N($G653)))</f>
        <v>0</v>
      </c>
      <c r="M653" s="21">
        <f>IF(OR($L653="",$J653=""),"",IF($J653&gt;0,ROUND($L653*Multa+$L653*Juros/30*$J653,2),0))</f>
        <v>0</v>
      </c>
      <c r="N653" s="22">
        <f>IF($L653="","",IF($L653&lt;=0.005,0,$L653+N($M653)))</f>
        <v>0</v>
      </c>
      <c r="O653" s="23">
        <f>IF(OR($I653="Vencido",$I653="Vencido (parcial)"),"Olá, "&amp;$A653&amp;"! Consta em aberto '"&amp;$B653&amp;"' com vencimento em "&amp;DAY($D653)&amp;"/"&amp;MONTH($D653)&amp;"/"&amp;YEAR($D653)&amp;", no valor de R$ "&amp;FIXED($N653,2)&amp;" (com multa e juros). Podemos ajudar a regularizar hoje? Obrigado!",IF($I653="Vence hoje","Olá, "&amp;$A653&amp;"! Lembrete: '"&amp;$B653&amp;"' vence hoje, no valor de R$ "&amp;FIXED($L653,2)&amp;". Obrigado!",""))</f>
        <v>0</v>
      </c>
    </row>
    <row r="654" spans="1:15">
      <c r="A654" s="13"/>
      <c r="B654" s="13"/>
      <c r="C654" s="17"/>
      <c r="D654" s="17"/>
      <c r="E654" s="18"/>
      <c r="F654" s="17"/>
      <c r="G654" s="18"/>
      <c r="H654" s="13"/>
      <c r="I654" s="19">
        <f>IF($E654="","",IF($L654&lt;=0.005,"Pago",IF($D654="","Sem vencimento",IF($D654&lt;Hoje,IF(N($G654)&gt;0,"Vencido (parcial)","Vencido"),IF($D654=Hoje,"Vence hoje","A vencer")))))</f>
        <v>0</v>
      </c>
      <c r="J654" s="20">
        <f>IF(OR($E654="",$D654=""),"",IF(AND($L654&gt;0.005,$D654&lt;Hoje),Hoje-$D654,0))</f>
        <v>0</v>
      </c>
      <c r="K654" s="20">
        <f>IF($J654="","",IF($L654&lt;=0.005,"Pago",IF($J654&lt;=0,"A vencer",IF($J654&lt;=15,"1-15 dias",IF($J654&lt;=30,"16-30 dias",IF($J654&lt;=60,"31-60 dias","Mais de 60 dias"))))))</f>
        <v>0</v>
      </c>
      <c r="L654" s="21">
        <f>IF($E654="","",MAX(0,$E654-N($G654)))</f>
        <v>0</v>
      </c>
      <c r="M654" s="21">
        <f>IF(OR($L654="",$J654=""),"",IF($J654&gt;0,ROUND($L654*Multa+$L654*Juros/30*$J654,2),0))</f>
        <v>0</v>
      </c>
      <c r="N654" s="22">
        <f>IF($L654="","",IF($L654&lt;=0.005,0,$L654+N($M654)))</f>
        <v>0</v>
      </c>
      <c r="O654" s="23">
        <f>IF(OR($I654="Vencido",$I654="Vencido (parcial)"),"Olá, "&amp;$A654&amp;"! Consta em aberto '"&amp;$B654&amp;"' com vencimento em "&amp;DAY($D654)&amp;"/"&amp;MONTH($D654)&amp;"/"&amp;YEAR($D654)&amp;", no valor de R$ "&amp;FIXED($N654,2)&amp;" (com multa e juros). Podemos ajudar a regularizar hoje? Obrigado!",IF($I654="Vence hoje","Olá, "&amp;$A654&amp;"! Lembrete: '"&amp;$B654&amp;"' vence hoje, no valor de R$ "&amp;FIXED($L654,2)&amp;". Obrigado!",""))</f>
        <v>0</v>
      </c>
    </row>
    <row r="655" spans="1:15">
      <c r="A655" s="13"/>
      <c r="B655" s="13"/>
      <c r="C655" s="17"/>
      <c r="D655" s="17"/>
      <c r="E655" s="18"/>
      <c r="F655" s="17"/>
      <c r="G655" s="18"/>
      <c r="H655" s="13"/>
      <c r="I655" s="19">
        <f>IF($E655="","",IF($L655&lt;=0.005,"Pago",IF($D655="","Sem vencimento",IF($D655&lt;Hoje,IF(N($G655)&gt;0,"Vencido (parcial)","Vencido"),IF($D655=Hoje,"Vence hoje","A vencer")))))</f>
        <v>0</v>
      </c>
      <c r="J655" s="20">
        <f>IF(OR($E655="",$D655=""),"",IF(AND($L655&gt;0.005,$D655&lt;Hoje),Hoje-$D655,0))</f>
        <v>0</v>
      </c>
      <c r="K655" s="20">
        <f>IF($J655="","",IF($L655&lt;=0.005,"Pago",IF($J655&lt;=0,"A vencer",IF($J655&lt;=15,"1-15 dias",IF($J655&lt;=30,"16-30 dias",IF($J655&lt;=60,"31-60 dias","Mais de 60 dias"))))))</f>
        <v>0</v>
      </c>
      <c r="L655" s="21">
        <f>IF($E655="","",MAX(0,$E655-N($G655)))</f>
        <v>0</v>
      </c>
      <c r="M655" s="21">
        <f>IF(OR($L655="",$J655=""),"",IF($J655&gt;0,ROUND($L655*Multa+$L655*Juros/30*$J655,2),0))</f>
        <v>0</v>
      </c>
      <c r="N655" s="22">
        <f>IF($L655="","",IF($L655&lt;=0.005,0,$L655+N($M655)))</f>
        <v>0</v>
      </c>
      <c r="O655" s="23">
        <f>IF(OR($I655="Vencido",$I655="Vencido (parcial)"),"Olá, "&amp;$A655&amp;"! Consta em aberto '"&amp;$B655&amp;"' com vencimento em "&amp;DAY($D655)&amp;"/"&amp;MONTH($D655)&amp;"/"&amp;YEAR($D655)&amp;", no valor de R$ "&amp;FIXED($N655,2)&amp;" (com multa e juros). Podemos ajudar a regularizar hoje? Obrigado!",IF($I655="Vence hoje","Olá, "&amp;$A655&amp;"! Lembrete: '"&amp;$B655&amp;"' vence hoje, no valor de R$ "&amp;FIXED($L655,2)&amp;". Obrigado!",""))</f>
        <v>0</v>
      </c>
    </row>
    <row r="656" spans="1:15">
      <c r="A656" s="13"/>
      <c r="B656" s="13"/>
      <c r="C656" s="17"/>
      <c r="D656" s="17"/>
      <c r="E656" s="18"/>
      <c r="F656" s="17"/>
      <c r="G656" s="18"/>
      <c r="H656" s="13"/>
      <c r="I656" s="19">
        <f>IF($E656="","",IF($L656&lt;=0.005,"Pago",IF($D656="","Sem vencimento",IF($D656&lt;Hoje,IF(N($G656)&gt;0,"Vencido (parcial)","Vencido"),IF($D656=Hoje,"Vence hoje","A vencer")))))</f>
        <v>0</v>
      </c>
      <c r="J656" s="20">
        <f>IF(OR($E656="",$D656=""),"",IF(AND($L656&gt;0.005,$D656&lt;Hoje),Hoje-$D656,0))</f>
        <v>0</v>
      </c>
      <c r="K656" s="20">
        <f>IF($J656="","",IF($L656&lt;=0.005,"Pago",IF($J656&lt;=0,"A vencer",IF($J656&lt;=15,"1-15 dias",IF($J656&lt;=30,"16-30 dias",IF($J656&lt;=60,"31-60 dias","Mais de 60 dias"))))))</f>
        <v>0</v>
      </c>
      <c r="L656" s="21">
        <f>IF($E656="","",MAX(0,$E656-N($G656)))</f>
        <v>0</v>
      </c>
      <c r="M656" s="21">
        <f>IF(OR($L656="",$J656=""),"",IF($J656&gt;0,ROUND($L656*Multa+$L656*Juros/30*$J656,2),0))</f>
        <v>0</v>
      </c>
      <c r="N656" s="22">
        <f>IF($L656="","",IF($L656&lt;=0.005,0,$L656+N($M656)))</f>
        <v>0</v>
      </c>
      <c r="O656" s="23">
        <f>IF(OR($I656="Vencido",$I656="Vencido (parcial)"),"Olá, "&amp;$A656&amp;"! Consta em aberto '"&amp;$B656&amp;"' com vencimento em "&amp;DAY($D656)&amp;"/"&amp;MONTH($D656)&amp;"/"&amp;YEAR($D656)&amp;", no valor de R$ "&amp;FIXED($N656,2)&amp;" (com multa e juros). Podemos ajudar a regularizar hoje? Obrigado!",IF($I656="Vence hoje","Olá, "&amp;$A656&amp;"! Lembrete: '"&amp;$B656&amp;"' vence hoje, no valor de R$ "&amp;FIXED($L656,2)&amp;". Obrigado!",""))</f>
        <v>0</v>
      </c>
    </row>
    <row r="657" spans="1:15">
      <c r="A657" s="13"/>
      <c r="B657" s="13"/>
      <c r="C657" s="17"/>
      <c r="D657" s="17"/>
      <c r="E657" s="18"/>
      <c r="F657" s="17"/>
      <c r="G657" s="18"/>
      <c r="H657" s="13"/>
      <c r="I657" s="19">
        <f>IF($E657="","",IF($L657&lt;=0.005,"Pago",IF($D657="","Sem vencimento",IF($D657&lt;Hoje,IF(N($G657)&gt;0,"Vencido (parcial)","Vencido"),IF($D657=Hoje,"Vence hoje","A vencer")))))</f>
        <v>0</v>
      </c>
      <c r="J657" s="20">
        <f>IF(OR($E657="",$D657=""),"",IF(AND($L657&gt;0.005,$D657&lt;Hoje),Hoje-$D657,0))</f>
        <v>0</v>
      </c>
      <c r="K657" s="20">
        <f>IF($J657="","",IF($L657&lt;=0.005,"Pago",IF($J657&lt;=0,"A vencer",IF($J657&lt;=15,"1-15 dias",IF($J657&lt;=30,"16-30 dias",IF($J657&lt;=60,"31-60 dias","Mais de 60 dias"))))))</f>
        <v>0</v>
      </c>
      <c r="L657" s="21">
        <f>IF($E657="","",MAX(0,$E657-N($G657)))</f>
        <v>0</v>
      </c>
      <c r="M657" s="21">
        <f>IF(OR($L657="",$J657=""),"",IF($J657&gt;0,ROUND($L657*Multa+$L657*Juros/30*$J657,2),0))</f>
        <v>0</v>
      </c>
      <c r="N657" s="22">
        <f>IF($L657="","",IF($L657&lt;=0.005,0,$L657+N($M657)))</f>
        <v>0</v>
      </c>
      <c r="O657" s="23">
        <f>IF(OR($I657="Vencido",$I657="Vencido (parcial)"),"Olá, "&amp;$A657&amp;"! Consta em aberto '"&amp;$B657&amp;"' com vencimento em "&amp;DAY($D657)&amp;"/"&amp;MONTH($D657)&amp;"/"&amp;YEAR($D657)&amp;", no valor de R$ "&amp;FIXED($N657,2)&amp;" (com multa e juros). Podemos ajudar a regularizar hoje? Obrigado!",IF($I657="Vence hoje","Olá, "&amp;$A657&amp;"! Lembrete: '"&amp;$B657&amp;"' vence hoje, no valor de R$ "&amp;FIXED($L657,2)&amp;". Obrigado!",""))</f>
        <v>0</v>
      </c>
    </row>
    <row r="658" spans="1:15">
      <c r="A658" s="13"/>
      <c r="B658" s="13"/>
      <c r="C658" s="17"/>
      <c r="D658" s="17"/>
      <c r="E658" s="18"/>
      <c r="F658" s="17"/>
      <c r="G658" s="18"/>
      <c r="H658" s="13"/>
      <c r="I658" s="19">
        <f>IF($E658="","",IF($L658&lt;=0.005,"Pago",IF($D658="","Sem vencimento",IF($D658&lt;Hoje,IF(N($G658)&gt;0,"Vencido (parcial)","Vencido"),IF($D658=Hoje,"Vence hoje","A vencer")))))</f>
        <v>0</v>
      </c>
      <c r="J658" s="20">
        <f>IF(OR($E658="",$D658=""),"",IF(AND($L658&gt;0.005,$D658&lt;Hoje),Hoje-$D658,0))</f>
        <v>0</v>
      </c>
      <c r="K658" s="20">
        <f>IF($J658="","",IF($L658&lt;=0.005,"Pago",IF($J658&lt;=0,"A vencer",IF($J658&lt;=15,"1-15 dias",IF($J658&lt;=30,"16-30 dias",IF($J658&lt;=60,"31-60 dias","Mais de 60 dias"))))))</f>
        <v>0</v>
      </c>
      <c r="L658" s="21">
        <f>IF($E658="","",MAX(0,$E658-N($G658)))</f>
        <v>0</v>
      </c>
      <c r="M658" s="21">
        <f>IF(OR($L658="",$J658=""),"",IF($J658&gt;0,ROUND($L658*Multa+$L658*Juros/30*$J658,2),0))</f>
        <v>0</v>
      </c>
      <c r="N658" s="22">
        <f>IF($L658="","",IF($L658&lt;=0.005,0,$L658+N($M658)))</f>
        <v>0</v>
      </c>
      <c r="O658" s="23">
        <f>IF(OR($I658="Vencido",$I658="Vencido (parcial)"),"Olá, "&amp;$A658&amp;"! Consta em aberto '"&amp;$B658&amp;"' com vencimento em "&amp;DAY($D658)&amp;"/"&amp;MONTH($D658)&amp;"/"&amp;YEAR($D658)&amp;", no valor de R$ "&amp;FIXED($N658,2)&amp;" (com multa e juros). Podemos ajudar a regularizar hoje? Obrigado!",IF($I658="Vence hoje","Olá, "&amp;$A658&amp;"! Lembrete: '"&amp;$B658&amp;"' vence hoje, no valor de R$ "&amp;FIXED($L658,2)&amp;". Obrigado!",""))</f>
        <v>0</v>
      </c>
    </row>
    <row r="659" spans="1:15">
      <c r="A659" s="13"/>
      <c r="B659" s="13"/>
      <c r="C659" s="17"/>
      <c r="D659" s="17"/>
      <c r="E659" s="18"/>
      <c r="F659" s="17"/>
      <c r="G659" s="18"/>
      <c r="H659" s="13"/>
      <c r="I659" s="19">
        <f>IF($E659="","",IF($L659&lt;=0.005,"Pago",IF($D659="","Sem vencimento",IF($D659&lt;Hoje,IF(N($G659)&gt;0,"Vencido (parcial)","Vencido"),IF($D659=Hoje,"Vence hoje","A vencer")))))</f>
        <v>0</v>
      </c>
      <c r="J659" s="20">
        <f>IF(OR($E659="",$D659=""),"",IF(AND($L659&gt;0.005,$D659&lt;Hoje),Hoje-$D659,0))</f>
        <v>0</v>
      </c>
      <c r="K659" s="20">
        <f>IF($J659="","",IF($L659&lt;=0.005,"Pago",IF($J659&lt;=0,"A vencer",IF($J659&lt;=15,"1-15 dias",IF($J659&lt;=30,"16-30 dias",IF($J659&lt;=60,"31-60 dias","Mais de 60 dias"))))))</f>
        <v>0</v>
      </c>
      <c r="L659" s="21">
        <f>IF($E659="","",MAX(0,$E659-N($G659)))</f>
        <v>0</v>
      </c>
      <c r="M659" s="21">
        <f>IF(OR($L659="",$J659=""),"",IF($J659&gt;0,ROUND($L659*Multa+$L659*Juros/30*$J659,2),0))</f>
        <v>0</v>
      </c>
      <c r="N659" s="22">
        <f>IF($L659="","",IF($L659&lt;=0.005,0,$L659+N($M659)))</f>
        <v>0</v>
      </c>
      <c r="O659" s="23">
        <f>IF(OR($I659="Vencido",$I659="Vencido (parcial)"),"Olá, "&amp;$A659&amp;"! Consta em aberto '"&amp;$B659&amp;"' com vencimento em "&amp;DAY($D659)&amp;"/"&amp;MONTH($D659)&amp;"/"&amp;YEAR($D659)&amp;", no valor de R$ "&amp;FIXED($N659,2)&amp;" (com multa e juros). Podemos ajudar a regularizar hoje? Obrigado!",IF($I659="Vence hoje","Olá, "&amp;$A659&amp;"! Lembrete: '"&amp;$B659&amp;"' vence hoje, no valor de R$ "&amp;FIXED($L659,2)&amp;". Obrigado!",""))</f>
        <v>0</v>
      </c>
    </row>
    <row r="660" spans="1:15">
      <c r="A660" s="13"/>
      <c r="B660" s="13"/>
      <c r="C660" s="17"/>
      <c r="D660" s="17"/>
      <c r="E660" s="18"/>
      <c r="F660" s="17"/>
      <c r="G660" s="18"/>
      <c r="H660" s="13"/>
      <c r="I660" s="19">
        <f>IF($E660="","",IF($L660&lt;=0.005,"Pago",IF($D660="","Sem vencimento",IF($D660&lt;Hoje,IF(N($G660)&gt;0,"Vencido (parcial)","Vencido"),IF($D660=Hoje,"Vence hoje","A vencer")))))</f>
        <v>0</v>
      </c>
      <c r="J660" s="20">
        <f>IF(OR($E660="",$D660=""),"",IF(AND($L660&gt;0.005,$D660&lt;Hoje),Hoje-$D660,0))</f>
        <v>0</v>
      </c>
      <c r="K660" s="20">
        <f>IF($J660="","",IF($L660&lt;=0.005,"Pago",IF($J660&lt;=0,"A vencer",IF($J660&lt;=15,"1-15 dias",IF($J660&lt;=30,"16-30 dias",IF($J660&lt;=60,"31-60 dias","Mais de 60 dias"))))))</f>
        <v>0</v>
      </c>
      <c r="L660" s="21">
        <f>IF($E660="","",MAX(0,$E660-N($G660)))</f>
        <v>0</v>
      </c>
      <c r="M660" s="21">
        <f>IF(OR($L660="",$J660=""),"",IF($J660&gt;0,ROUND($L660*Multa+$L660*Juros/30*$J660,2),0))</f>
        <v>0</v>
      </c>
      <c r="N660" s="22">
        <f>IF($L660="","",IF($L660&lt;=0.005,0,$L660+N($M660)))</f>
        <v>0</v>
      </c>
      <c r="O660" s="23">
        <f>IF(OR($I660="Vencido",$I660="Vencido (parcial)"),"Olá, "&amp;$A660&amp;"! Consta em aberto '"&amp;$B660&amp;"' com vencimento em "&amp;DAY($D660)&amp;"/"&amp;MONTH($D660)&amp;"/"&amp;YEAR($D660)&amp;", no valor de R$ "&amp;FIXED($N660,2)&amp;" (com multa e juros). Podemos ajudar a regularizar hoje? Obrigado!",IF($I660="Vence hoje","Olá, "&amp;$A660&amp;"! Lembrete: '"&amp;$B660&amp;"' vence hoje, no valor de R$ "&amp;FIXED($L660,2)&amp;". Obrigado!",""))</f>
        <v>0</v>
      </c>
    </row>
    <row r="661" spans="1:15">
      <c r="A661" s="13"/>
      <c r="B661" s="13"/>
      <c r="C661" s="17"/>
      <c r="D661" s="17"/>
      <c r="E661" s="18"/>
      <c r="F661" s="17"/>
      <c r="G661" s="18"/>
      <c r="H661" s="13"/>
      <c r="I661" s="19">
        <f>IF($E661="","",IF($L661&lt;=0.005,"Pago",IF($D661="","Sem vencimento",IF($D661&lt;Hoje,IF(N($G661)&gt;0,"Vencido (parcial)","Vencido"),IF($D661=Hoje,"Vence hoje","A vencer")))))</f>
        <v>0</v>
      </c>
      <c r="J661" s="20">
        <f>IF(OR($E661="",$D661=""),"",IF(AND($L661&gt;0.005,$D661&lt;Hoje),Hoje-$D661,0))</f>
        <v>0</v>
      </c>
      <c r="K661" s="20">
        <f>IF($J661="","",IF($L661&lt;=0.005,"Pago",IF($J661&lt;=0,"A vencer",IF($J661&lt;=15,"1-15 dias",IF($J661&lt;=30,"16-30 dias",IF($J661&lt;=60,"31-60 dias","Mais de 60 dias"))))))</f>
        <v>0</v>
      </c>
      <c r="L661" s="21">
        <f>IF($E661="","",MAX(0,$E661-N($G661)))</f>
        <v>0</v>
      </c>
      <c r="M661" s="21">
        <f>IF(OR($L661="",$J661=""),"",IF($J661&gt;0,ROUND($L661*Multa+$L661*Juros/30*$J661,2),0))</f>
        <v>0</v>
      </c>
      <c r="N661" s="22">
        <f>IF($L661="","",IF($L661&lt;=0.005,0,$L661+N($M661)))</f>
        <v>0</v>
      </c>
      <c r="O661" s="23">
        <f>IF(OR($I661="Vencido",$I661="Vencido (parcial)"),"Olá, "&amp;$A661&amp;"! Consta em aberto '"&amp;$B661&amp;"' com vencimento em "&amp;DAY($D661)&amp;"/"&amp;MONTH($D661)&amp;"/"&amp;YEAR($D661)&amp;", no valor de R$ "&amp;FIXED($N661,2)&amp;" (com multa e juros). Podemos ajudar a regularizar hoje? Obrigado!",IF($I661="Vence hoje","Olá, "&amp;$A661&amp;"! Lembrete: '"&amp;$B661&amp;"' vence hoje, no valor de R$ "&amp;FIXED($L661,2)&amp;". Obrigado!",""))</f>
        <v>0</v>
      </c>
    </row>
    <row r="662" spans="1:15">
      <c r="A662" s="13"/>
      <c r="B662" s="13"/>
      <c r="C662" s="17"/>
      <c r="D662" s="17"/>
      <c r="E662" s="18"/>
      <c r="F662" s="17"/>
      <c r="G662" s="18"/>
      <c r="H662" s="13"/>
      <c r="I662" s="19">
        <f>IF($E662="","",IF($L662&lt;=0.005,"Pago",IF($D662="","Sem vencimento",IF($D662&lt;Hoje,IF(N($G662)&gt;0,"Vencido (parcial)","Vencido"),IF($D662=Hoje,"Vence hoje","A vencer")))))</f>
        <v>0</v>
      </c>
      <c r="J662" s="20">
        <f>IF(OR($E662="",$D662=""),"",IF(AND($L662&gt;0.005,$D662&lt;Hoje),Hoje-$D662,0))</f>
        <v>0</v>
      </c>
      <c r="K662" s="20">
        <f>IF($J662="","",IF($L662&lt;=0.005,"Pago",IF($J662&lt;=0,"A vencer",IF($J662&lt;=15,"1-15 dias",IF($J662&lt;=30,"16-30 dias",IF($J662&lt;=60,"31-60 dias","Mais de 60 dias"))))))</f>
        <v>0</v>
      </c>
      <c r="L662" s="21">
        <f>IF($E662="","",MAX(0,$E662-N($G662)))</f>
        <v>0</v>
      </c>
      <c r="M662" s="21">
        <f>IF(OR($L662="",$J662=""),"",IF($J662&gt;0,ROUND($L662*Multa+$L662*Juros/30*$J662,2),0))</f>
        <v>0</v>
      </c>
      <c r="N662" s="22">
        <f>IF($L662="","",IF($L662&lt;=0.005,0,$L662+N($M662)))</f>
        <v>0</v>
      </c>
      <c r="O662" s="23">
        <f>IF(OR($I662="Vencido",$I662="Vencido (parcial)"),"Olá, "&amp;$A662&amp;"! Consta em aberto '"&amp;$B662&amp;"' com vencimento em "&amp;DAY($D662)&amp;"/"&amp;MONTH($D662)&amp;"/"&amp;YEAR($D662)&amp;", no valor de R$ "&amp;FIXED($N662,2)&amp;" (com multa e juros). Podemos ajudar a regularizar hoje? Obrigado!",IF($I662="Vence hoje","Olá, "&amp;$A662&amp;"! Lembrete: '"&amp;$B662&amp;"' vence hoje, no valor de R$ "&amp;FIXED($L662,2)&amp;". Obrigado!",""))</f>
        <v>0</v>
      </c>
    </row>
    <row r="663" spans="1:15">
      <c r="A663" s="13"/>
      <c r="B663" s="13"/>
      <c r="C663" s="17"/>
      <c r="D663" s="17"/>
      <c r="E663" s="18"/>
      <c r="F663" s="17"/>
      <c r="G663" s="18"/>
      <c r="H663" s="13"/>
      <c r="I663" s="19">
        <f>IF($E663="","",IF($L663&lt;=0.005,"Pago",IF($D663="","Sem vencimento",IF($D663&lt;Hoje,IF(N($G663)&gt;0,"Vencido (parcial)","Vencido"),IF($D663=Hoje,"Vence hoje","A vencer")))))</f>
        <v>0</v>
      </c>
      <c r="J663" s="20">
        <f>IF(OR($E663="",$D663=""),"",IF(AND($L663&gt;0.005,$D663&lt;Hoje),Hoje-$D663,0))</f>
        <v>0</v>
      </c>
      <c r="K663" s="20">
        <f>IF($J663="","",IF($L663&lt;=0.005,"Pago",IF($J663&lt;=0,"A vencer",IF($J663&lt;=15,"1-15 dias",IF($J663&lt;=30,"16-30 dias",IF($J663&lt;=60,"31-60 dias","Mais de 60 dias"))))))</f>
        <v>0</v>
      </c>
      <c r="L663" s="21">
        <f>IF($E663="","",MAX(0,$E663-N($G663)))</f>
        <v>0</v>
      </c>
      <c r="M663" s="21">
        <f>IF(OR($L663="",$J663=""),"",IF($J663&gt;0,ROUND($L663*Multa+$L663*Juros/30*$J663,2),0))</f>
        <v>0</v>
      </c>
      <c r="N663" s="22">
        <f>IF($L663="","",IF($L663&lt;=0.005,0,$L663+N($M663)))</f>
        <v>0</v>
      </c>
      <c r="O663" s="23">
        <f>IF(OR($I663="Vencido",$I663="Vencido (parcial)"),"Olá, "&amp;$A663&amp;"! Consta em aberto '"&amp;$B663&amp;"' com vencimento em "&amp;DAY($D663)&amp;"/"&amp;MONTH($D663)&amp;"/"&amp;YEAR($D663)&amp;", no valor de R$ "&amp;FIXED($N663,2)&amp;" (com multa e juros). Podemos ajudar a regularizar hoje? Obrigado!",IF($I663="Vence hoje","Olá, "&amp;$A663&amp;"! Lembrete: '"&amp;$B663&amp;"' vence hoje, no valor de R$ "&amp;FIXED($L663,2)&amp;". Obrigado!",""))</f>
        <v>0</v>
      </c>
    </row>
    <row r="664" spans="1:15">
      <c r="A664" s="13"/>
      <c r="B664" s="13"/>
      <c r="C664" s="17"/>
      <c r="D664" s="17"/>
      <c r="E664" s="18"/>
      <c r="F664" s="17"/>
      <c r="G664" s="18"/>
      <c r="H664" s="13"/>
      <c r="I664" s="19">
        <f>IF($E664="","",IF($L664&lt;=0.005,"Pago",IF($D664="","Sem vencimento",IF($D664&lt;Hoje,IF(N($G664)&gt;0,"Vencido (parcial)","Vencido"),IF($D664=Hoje,"Vence hoje","A vencer")))))</f>
        <v>0</v>
      </c>
      <c r="J664" s="20">
        <f>IF(OR($E664="",$D664=""),"",IF(AND($L664&gt;0.005,$D664&lt;Hoje),Hoje-$D664,0))</f>
        <v>0</v>
      </c>
      <c r="K664" s="20">
        <f>IF($J664="","",IF($L664&lt;=0.005,"Pago",IF($J664&lt;=0,"A vencer",IF($J664&lt;=15,"1-15 dias",IF($J664&lt;=30,"16-30 dias",IF($J664&lt;=60,"31-60 dias","Mais de 60 dias"))))))</f>
        <v>0</v>
      </c>
      <c r="L664" s="21">
        <f>IF($E664="","",MAX(0,$E664-N($G664)))</f>
        <v>0</v>
      </c>
      <c r="M664" s="21">
        <f>IF(OR($L664="",$J664=""),"",IF($J664&gt;0,ROUND($L664*Multa+$L664*Juros/30*$J664,2),0))</f>
        <v>0</v>
      </c>
      <c r="N664" s="22">
        <f>IF($L664="","",IF($L664&lt;=0.005,0,$L664+N($M664)))</f>
        <v>0</v>
      </c>
      <c r="O664" s="23">
        <f>IF(OR($I664="Vencido",$I664="Vencido (parcial)"),"Olá, "&amp;$A664&amp;"! Consta em aberto '"&amp;$B664&amp;"' com vencimento em "&amp;DAY($D664)&amp;"/"&amp;MONTH($D664)&amp;"/"&amp;YEAR($D664)&amp;", no valor de R$ "&amp;FIXED($N664,2)&amp;" (com multa e juros). Podemos ajudar a regularizar hoje? Obrigado!",IF($I664="Vence hoje","Olá, "&amp;$A664&amp;"! Lembrete: '"&amp;$B664&amp;"' vence hoje, no valor de R$ "&amp;FIXED($L664,2)&amp;". Obrigado!",""))</f>
        <v>0</v>
      </c>
    </row>
    <row r="665" spans="1:15">
      <c r="A665" s="13"/>
      <c r="B665" s="13"/>
      <c r="C665" s="17"/>
      <c r="D665" s="17"/>
      <c r="E665" s="18"/>
      <c r="F665" s="17"/>
      <c r="G665" s="18"/>
      <c r="H665" s="13"/>
      <c r="I665" s="19">
        <f>IF($E665="","",IF($L665&lt;=0.005,"Pago",IF($D665="","Sem vencimento",IF($D665&lt;Hoje,IF(N($G665)&gt;0,"Vencido (parcial)","Vencido"),IF($D665=Hoje,"Vence hoje","A vencer")))))</f>
        <v>0</v>
      </c>
      <c r="J665" s="20">
        <f>IF(OR($E665="",$D665=""),"",IF(AND($L665&gt;0.005,$D665&lt;Hoje),Hoje-$D665,0))</f>
        <v>0</v>
      </c>
      <c r="K665" s="20">
        <f>IF($J665="","",IF($L665&lt;=0.005,"Pago",IF($J665&lt;=0,"A vencer",IF($J665&lt;=15,"1-15 dias",IF($J665&lt;=30,"16-30 dias",IF($J665&lt;=60,"31-60 dias","Mais de 60 dias"))))))</f>
        <v>0</v>
      </c>
      <c r="L665" s="21">
        <f>IF($E665="","",MAX(0,$E665-N($G665)))</f>
        <v>0</v>
      </c>
      <c r="M665" s="21">
        <f>IF(OR($L665="",$J665=""),"",IF($J665&gt;0,ROUND($L665*Multa+$L665*Juros/30*$J665,2),0))</f>
        <v>0</v>
      </c>
      <c r="N665" s="22">
        <f>IF($L665="","",IF($L665&lt;=0.005,0,$L665+N($M665)))</f>
        <v>0</v>
      </c>
      <c r="O665" s="23">
        <f>IF(OR($I665="Vencido",$I665="Vencido (parcial)"),"Olá, "&amp;$A665&amp;"! Consta em aberto '"&amp;$B665&amp;"' com vencimento em "&amp;DAY($D665)&amp;"/"&amp;MONTH($D665)&amp;"/"&amp;YEAR($D665)&amp;", no valor de R$ "&amp;FIXED($N665,2)&amp;" (com multa e juros). Podemos ajudar a regularizar hoje? Obrigado!",IF($I665="Vence hoje","Olá, "&amp;$A665&amp;"! Lembrete: '"&amp;$B665&amp;"' vence hoje, no valor de R$ "&amp;FIXED($L665,2)&amp;". Obrigado!",""))</f>
        <v>0</v>
      </c>
    </row>
    <row r="666" spans="1:15">
      <c r="A666" s="13"/>
      <c r="B666" s="13"/>
      <c r="C666" s="17"/>
      <c r="D666" s="17"/>
      <c r="E666" s="18"/>
      <c r="F666" s="17"/>
      <c r="G666" s="18"/>
      <c r="H666" s="13"/>
      <c r="I666" s="19">
        <f>IF($E666="","",IF($L666&lt;=0.005,"Pago",IF($D666="","Sem vencimento",IF($D666&lt;Hoje,IF(N($G666)&gt;0,"Vencido (parcial)","Vencido"),IF($D666=Hoje,"Vence hoje","A vencer")))))</f>
        <v>0</v>
      </c>
      <c r="J666" s="20">
        <f>IF(OR($E666="",$D666=""),"",IF(AND($L666&gt;0.005,$D666&lt;Hoje),Hoje-$D666,0))</f>
        <v>0</v>
      </c>
      <c r="K666" s="20">
        <f>IF($J666="","",IF($L666&lt;=0.005,"Pago",IF($J666&lt;=0,"A vencer",IF($J666&lt;=15,"1-15 dias",IF($J666&lt;=30,"16-30 dias",IF($J666&lt;=60,"31-60 dias","Mais de 60 dias"))))))</f>
        <v>0</v>
      </c>
      <c r="L666" s="21">
        <f>IF($E666="","",MAX(0,$E666-N($G666)))</f>
        <v>0</v>
      </c>
      <c r="M666" s="21">
        <f>IF(OR($L666="",$J666=""),"",IF($J666&gt;0,ROUND($L666*Multa+$L666*Juros/30*$J666,2),0))</f>
        <v>0</v>
      </c>
      <c r="N666" s="22">
        <f>IF($L666="","",IF($L666&lt;=0.005,0,$L666+N($M666)))</f>
        <v>0</v>
      </c>
      <c r="O666" s="23">
        <f>IF(OR($I666="Vencido",$I666="Vencido (parcial)"),"Olá, "&amp;$A666&amp;"! Consta em aberto '"&amp;$B666&amp;"' com vencimento em "&amp;DAY($D666)&amp;"/"&amp;MONTH($D666)&amp;"/"&amp;YEAR($D666)&amp;", no valor de R$ "&amp;FIXED($N666,2)&amp;" (com multa e juros). Podemos ajudar a regularizar hoje? Obrigado!",IF($I666="Vence hoje","Olá, "&amp;$A666&amp;"! Lembrete: '"&amp;$B666&amp;"' vence hoje, no valor de R$ "&amp;FIXED($L666,2)&amp;". Obrigado!",""))</f>
        <v>0</v>
      </c>
    </row>
    <row r="667" spans="1:15">
      <c r="A667" s="13"/>
      <c r="B667" s="13"/>
      <c r="C667" s="17"/>
      <c r="D667" s="17"/>
      <c r="E667" s="18"/>
      <c r="F667" s="17"/>
      <c r="G667" s="18"/>
      <c r="H667" s="13"/>
      <c r="I667" s="19">
        <f>IF($E667="","",IF($L667&lt;=0.005,"Pago",IF($D667="","Sem vencimento",IF($D667&lt;Hoje,IF(N($G667)&gt;0,"Vencido (parcial)","Vencido"),IF($D667=Hoje,"Vence hoje","A vencer")))))</f>
        <v>0</v>
      </c>
      <c r="J667" s="20">
        <f>IF(OR($E667="",$D667=""),"",IF(AND($L667&gt;0.005,$D667&lt;Hoje),Hoje-$D667,0))</f>
        <v>0</v>
      </c>
      <c r="K667" s="20">
        <f>IF($J667="","",IF($L667&lt;=0.005,"Pago",IF($J667&lt;=0,"A vencer",IF($J667&lt;=15,"1-15 dias",IF($J667&lt;=30,"16-30 dias",IF($J667&lt;=60,"31-60 dias","Mais de 60 dias"))))))</f>
        <v>0</v>
      </c>
      <c r="L667" s="21">
        <f>IF($E667="","",MAX(0,$E667-N($G667)))</f>
        <v>0</v>
      </c>
      <c r="M667" s="21">
        <f>IF(OR($L667="",$J667=""),"",IF($J667&gt;0,ROUND($L667*Multa+$L667*Juros/30*$J667,2),0))</f>
        <v>0</v>
      </c>
      <c r="N667" s="22">
        <f>IF($L667="","",IF($L667&lt;=0.005,0,$L667+N($M667)))</f>
        <v>0</v>
      </c>
      <c r="O667" s="23">
        <f>IF(OR($I667="Vencido",$I667="Vencido (parcial)"),"Olá, "&amp;$A667&amp;"! Consta em aberto '"&amp;$B667&amp;"' com vencimento em "&amp;DAY($D667)&amp;"/"&amp;MONTH($D667)&amp;"/"&amp;YEAR($D667)&amp;", no valor de R$ "&amp;FIXED($N667,2)&amp;" (com multa e juros). Podemos ajudar a regularizar hoje? Obrigado!",IF($I667="Vence hoje","Olá, "&amp;$A667&amp;"! Lembrete: '"&amp;$B667&amp;"' vence hoje, no valor de R$ "&amp;FIXED($L667,2)&amp;". Obrigado!",""))</f>
        <v>0</v>
      </c>
    </row>
    <row r="668" spans="1:15">
      <c r="A668" s="13"/>
      <c r="B668" s="13"/>
      <c r="C668" s="17"/>
      <c r="D668" s="17"/>
      <c r="E668" s="18"/>
      <c r="F668" s="17"/>
      <c r="G668" s="18"/>
      <c r="H668" s="13"/>
      <c r="I668" s="19">
        <f>IF($E668="","",IF($L668&lt;=0.005,"Pago",IF($D668="","Sem vencimento",IF($D668&lt;Hoje,IF(N($G668)&gt;0,"Vencido (parcial)","Vencido"),IF($D668=Hoje,"Vence hoje","A vencer")))))</f>
        <v>0</v>
      </c>
      <c r="J668" s="20">
        <f>IF(OR($E668="",$D668=""),"",IF(AND($L668&gt;0.005,$D668&lt;Hoje),Hoje-$D668,0))</f>
        <v>0</v>
      </c>
      <c r="K668" s="20">
        <f>IF($J668="","",IF($L668&lt;=0.005,"Pago",IF($J668&lt;=0,"A vencer",IF($J668&lt;=15,"1-15 dias",IF($J668&lt;=30,"16-30 dias",IF($J668&lt;=60,"31-60 dias","Mais de 60 dias"))))))</f>
        <v>0</v>
      </c>
      <c r="L668" s="21">
        <f>IF($E668="","",MAX(0,$E668-N($G668)))</f>
        <v>0</v>
      </c>
      <c r="M668" s="21">
        <f>IF(OR($L668="",$J668=""),"",IF($J668&gt;0,ROUND($L668*Multa+$L668*Juros/30*$J668,2),0))</f>
        <v>0</v>
      </c>
      <c r="N668" s="22">
        <f>IF($L668="","",IF($L668&lt;=0.005,0,$L668+N($M668)))</f>
        <v>0</v>
      </c>
      <c r="O668" s="23">
        <f>IF(OR($I668="Vencido",$I668="Vencido (parcial)"),"Olá, "&amp;$A668&amp;"! Consta em aberto '"&amp;$B668&amp;"' com vencimento em "&amp;DAY($D668)&amp;"/"&amp;MONTH($D668)&amp;"/"&amp;YEAR($D668)&amp;", no valor de R$ "&amp;FIXED($N668,2)&amp;" (com multa e juros). Podemos ajudar a regularizar hoje? Obrigado!",IF($I668="Vence hoje","Olá, "&amp;$A668&amp;"! Lembrete: '"&amp;$B668&amp;"' vence hoje, no valor de R$ "&amp;FIXED($L668,2)&amp;". Obrigado!",""))</f>
        <v>0</v>
      </c>
    </row>
    <row r="669" spans="1:15">
      <c r="A669" s="13"/>
      <c r="B669" s="13"/>
      <c r="C669" s="17"/>
      <c r="D669" s="17"/>
      <c r="E669" s="18"/>
      <c r="F669" s="17"/>
      <c r="G669" s="18"/>
      <c r="H669" s="13"/>
      <c r="I669" s="19">
        <f>IF($E669="","",IF($L669&lt;=0.005,"Pago",IF($D669="","Sem vencimento",IF($D669&lt;Hoje,IF(N($G669)&gt;0,"Vencido (parcial)","Vencido"),IF($D669=Hoje,"Vence hoje","A vencer")))))</f>
        <v>0</v>
      </c>
      <c r="J669" s="20">
        <f>IF(OR($E669="",$D669=""),"",IF(AND($L669&gt;0.005,$D669&lt;Hoje),Hoje-$D669,0))</f>
        <v>0</v>
      </c>
      <c r="K669" s="20">
        <f>IF($J669="","",IF($L669&lt;=0.005,"Pago",IF($J669&lt;=0,"A vencer",IF($J669&lt;=15,"1-15 dias",IF($J669&lt;=30,"16-30 dias",IF($J669&lt;=60,"31-60 dias","Mais de 60 dias"))))))</f>
        <v>0</v>
      </c>
      <c r="L669" s="21">
        <f>IF($E669="","",MAX(0,$E669-N($G669)))</f>
        <v>0</v>
      </c>
      <c r="M669" s="21">
        <f>IF(OR($L669="",$J669=""),"",IF($J669&gt;0,ROUND($L669*Multa+$L669*Juros/30*$J669,2),0))</f>
        <v>0</v>
      </c>
      <c r="N669" s="22">
        <f>IF($L669="","",IF($L669&lt;=0.005,0,$L669+N($M669)))</f>
        <v>0</v>
      </c>
      <c r="O669" s="23">
        <f>IF(OR($I669="Vencido",$I669="Vencido (parcial)"),"Olá, "&amp;$A669&amp;"! Consta em aberto '"&amp;$B669&amp;"' com vencimento em "&amp;DAY($D669)&amp;"/"&amp;MONTH($D669)&amp;"/"&amp;YEAR($D669)&amp;", no valor de R$ "&amp;FIXED($N669,2)&amp;" (com multa e juros). Podemos ajudar a regularizar hoje? Obrigado!",IF($I669="Vence hoje","Olá, "&amp;$A669&amp;"! Lembrete: '"&amp;$B669&amp;"' vence hoje, no valor de R$ "&amp;FIXED($L669,2)&amp;". Obrigado!",""))</f>
        <v>0</v>
      </c>
    </row>
    <row r="670" spans="1:15">
      <c r="A670" s="13"/>
      <c r="B670" s="13"/>
      <c r="C670" s="17"/>
      <c r="D670" s="17"/>
      <c r="E670" s="18"/>
      <c r="F670" s="17"/>
      <c r="G670" s="18"/>
      <c r="H670" s="13"/>
      <c r="I670" s="19">
        <f>IF($E670="","",IF($L670&lt;=0.005,"Pago",IF($D670="","Sem vencimento",IF($D670&lt;Hoje,IF(N($G670)&gt;0,"Vencido (parcial)","Vencido"),IF($D670=Hoje,"Vence hoje","A vencer")))))</f>
        <v>0</v>
      </c>
      <c r="J670" s="20">
        <f>IF(OR($E670="",$D670=""),"",IF(AND($L670&gt;0.005,$D670&lt;Hoje),Hoje-$D670,0))</f>
        <v>0</v>
      </c>
      <c r="K670" s="20">
        <f>IF($J670="","",IF($L670&lt;=0.005,"Pago",IF($J670&lt;=0,"A vencer",IF($J670&lt;=15,"1-15 dias",IF($J670&lt;=30,"16-30 dias",IF($J670&lt;=60,"31-60 dias","Mais de 60 dias"))))))</f>
        <v>0</v>
      </c>
      <c r="L670" s="21">
        <f>IF($E670="","",MAX(0,$E670-N($G670)))</f>
        <v>0</v>
      </c>
      <c r="M670" s="21">
        <f>IF(OR($L670="",$J670=""),"",IF($J670&gt;0,ROUND($L670*Multa+$L670*Juros/30*$J670,2),0))</f>
        <v>0</v>
      </c>
      <c r="N670" s="22">
        <f>IF($L670="","",IF($L670&lt;=0.005,0,$L670+N($M670)))</f>
        <v>0</v>
      </c>
      <c r="O670" s="23">
        <f>IF(OR($I670="Vencido",$I670="Vencido (parcial)"),"Olá, "&amp;$A670&amp;"! Consta em aberto '"&amp;$B670&amp;"' com vencimento em "&amp;DAY($D670)&amp;"/"&amp;MONTH($D670)&amp;"/"&amp;YEAR($D670)&amp;", no valor de R$ "&amp;FIXED($N670,2)&amp;" (com multa e juros). Podemos ajudar a regularizar hoje? Obrigado!",IF($I670="Vence hoje","Olá, "&amp;$A670&amp;"! Lembrete: '"&amp;$B670&amp;"' vence hoje, no valor de R$ "&amp;FIXED($L670,2)&amp;". Obrigado!",""))</f>
        <v>0</v>
      </c>
    </row>
    <row r="671" spans="1:15">
      <c r="A671" s="13"/>
      <c r="B671" s="13"/>
      <c r="C671" s="17"/>
      <c r="D671" s="17"/>
      <c r="E671" s="18"/>
      <c r="F671" s="17"/>
      <c r="G671" s="18"/>
      <c r="H671" s="13"/>
      <c r="I671" s="19">
        <f>IF($E671="","",IF($L671&lt;=0.005,"Pago",IF($D671="","Sem vencimento",IF($D671&lt;Hoje,IF(N($G671)&gt;0,"Vencido (parcial)","Vencido"),IF($D671=Hoje,"Vence hoje","A vencer")))))</f>
        <v>0</v>
      </c>
      <c r="J671" s="20">
        <f>IF(OR($E671="",$D671=""),"",IF(AND($L671&gt;0.005,$D671&lt;Hoje),Hoje-$D671,0))</f>
        <v>0</v>
      </c>
      <c r="K671" s="20">
        <f>IF($J671="","",IF($L671&lt;=0.005,"Pago",IF($J671&lt;=0,"A vencer",IF($J671&lt;=15,"1-15 dias",IF($J671&lt;=30,"16-30 dias",IF($J671&lt;=60,"31-60 dias","Mais de 60 dias"))))))</f>
        <v>0</v>
      </c>
      <c r="L671" s="21">
        <f>IF($E671="","",MAX(0,$E671-N($G671)))</f>
        <v>0</v>
      </c>
      <c r="M671" s="21">
        <f>IF(OR($L671="",$J671=""),"",IF($J671&gt;0,ROUND($L671*Multa+$L671*Juros/30*$J671,2),0))</f>
        <v>0</v>
      </c>
      <c r="N671" s="22">
        <f>IF($L671="","",IF($L671&lt;=0.005,0,$L671+N($M671)))</f>
        <v>0</v>
      </c>
      <c r="O671" s="23">
        <f>IF(OR($I671="Vencido",$I671="Vencido (parcial)"),"Olá, "&amp;$A671&amp;"! Consta em aberto '"&amp;$B671&amp;"' com vencimento em "&amp;DAY($D671)&amp;"/"&amp;MONTH($D671)&amp;"/"&amp;YEAR($D671)&amp;", no valor de R$ "&amp;FIXED($N671,2)&amp;" (com multa e juros). Podemos ajudar a regularizar hoje? Obrigado!",IF($I671="Vence hoje","Olá, "&amp;$A671&amp;"! Lembrete: '"&amp;$B671&amp;"' vence hoje, no valor de R$ "&amp;FIXED($L671,2)&amp;". Obrigado!",""))</f>
        <v>0</v>
      </c>
    </row>
    <row r="672" spans="1:15">
      <c r="A672" s="13"/>
      <c r="B672" s="13"/>
      <c r="C672" s="17"/>
      <c r="D672" s="17"/>
      <c r="E672" s="18"/>
      <c r="F672" s="17"/>
      <c r="G672" s="18"/>
      <c r="H672" s="13"/>
      <c r="I672" s="19">
        <f>IF($E672="","",IF($L672&lt;=0.005,"Pago",IF($D672="","Sem vencimento",IF($D672&lt;Hoje,IF(N($G672)&gt;0,"Vencido (parcial)","Vencido"),IF($D672=Hoje,"Vence hoje","A vencer")))))</f>
        <v>0</v>
      </c>
      <c r="J672" s="20">
        <f>IF(OR($E672="",$D672=""),"",IF(AND($L672&gt;0.005,$D672&lt;Hoje),Hoje-$D672,0))</f>
        <v>0</v>
      </c>
      <c r="K672" s="20">
        <f>IF($J672="","",IF($L672&lt;=0.005,"Pago",IF($J672&lt;=0,"A vencer",IF($J672&lt;=15,"1-15 dias",IF($J672&lt;=30,"16-30 dias",IF($J672&lt;=60,"31-60 dias","Mais de 60 dias"))))))</f>
        <v>0</v>
      </c>
      <c r="L672" s="21">
        <f>IF($E672="","",MAX(0,$E672-N($G672)))</f>
        <v>0</v>
      </c>
      <c r="M672" s="21">
        <f>IF(OR($L672="",$J672=""),"",IF($J672&gt;0,ROUND($L672*Multa+$L672*Juros/30*$J672,2),0))</f>
        <v>0</v>
      </c>
      <c r="N672" s="22">
        <f>IF($L672="","",IF($L672&lt;=0.005,0,$L672+N($M672)))</f>
        <v>0</v>
      </c>
      <c r="O672" s="23">
        <f>IF(OR($I672="Vencido",$I672="Vencido (parcial)"),"Olá, "&amp;$A672&amp;"! Consta em aberto '"&amp;$B672&amp;"' com vencimento em "&amp;DAY($D672)&amp;"/"&amp;MONTH($D672)&amp;"/"&amp;YEAR($D672)&amp;", no valor de R$ "&amp;FIXED($N672,2)&amp;" (com multa e juros). Podemos ajudar a regularizar hoje? Obrigado!",IF($I672="Vence hoje","Olá, "&amp;$A672&amp;"! Lembrete: '"&amp;$B672&amp;"' vence hoje, no valor de R$ "&amp;FIXED($L672,2)&amp;". Obrigado!",""))</f>
        <v>0</v>
      </c>
    </row>
    <row r="673" spans="1:15">
      <c r="A673" s="13"/>
      <c r="B673" s="13"/>
      <c r="C673" s="17"/>
      <c r="D673" s="17"/>
      <c r="E673" s="18"/>
      <c r="F673" s="17"/>
      <c r="G673" s="18"/>
      <c r="H673" s="13"/>
      <c r="I673" s="19">
        <f>IF($E673="","",IF($L673&lt;=0.005,"Pago",IF($D673="","Sem vencimento",IF($D673&lt;Hoje,IF(N($G673)&gt;0,"Vencido (parcial)","Vencido"),IF($D673=Hoje,"Vence hoje","A vencer")))))</f>
        <v>0</v>
      </c>
      <c r="J673" s="20">
        <f>IF(OR($E673="",$D673=""),"",IF(AND($L673&gt;0.005,$D673&lt;Hoje),Hoje-$D673,0))</f>
        <v>0</v>
      </c>
      <c r="K673" s="20">
        <f>IF($J673="","",IF($L673&lt;=0.005,"Pago",IF($J673&lt;=0,"A vencer",IF($J673&lt;=15,"1-15 dias",IF($J673&lt;=30,"16-30 dias",IF($J673&lt;=60,"31-60 dias","Mais de 60 dias"))))))</f>
        <v>0</v>
      </c>
      <c r="L673" s="21">
        <f>IF($E673="","",MAX(0,$E673-N($G673)))</f>
        <v>0</v>
      </c>
      <c r="M673" s="21">
        <f>IF(OR($L673="",$J673=""),"",IF($J673&gt;0,ROUND($L673*Multa+$L673*Juros/30*$J673,2),0))</f>
        <v>0</v>
      </c>
      <c r="N673" s="22">
        <f>IF($L673="","",IF($L673&lt;=0.005,0,$L673+N($M673)))</f>
        <v>0</v>
      </c>
      <c r="O673" s="23">
        <f>IF(OR($I673="Vencido",$I673="Vencido (parcial)"),"Olá, "&amp;$A673&amp;"! Consta em aberto '"&amp;$B673&amp;"' com vencimento em "&amp;DAY($D673)&amp;"/"&amp;MONTH($D673)&amp;"/"&amp;YEAR($D673)&amp;", no valor de R$ "&amp;FIXED($N673,2)&amp;" (com multa e juros). Podemos ajudar a regularizar hoje? Obrigado!",IF($I673="Vence hoje","Olá, "&amp;$A673&amp;"! Lembrete: '"&amp;$B673&amp;"' vence hoje, no valor de R$ "&amp;FIXED($L673,2)&amp;". Obrigado!",""))</f>
        <v>0</v>
      </c>
    </row>
    <row r="674" spans="1:15">
      <c r="A674" s="13"/>
      <c r="B674" s="13"/>
      <c r="C674" s="17"/>
      <c r="D674" s="17"/>
      <c r="E674" s="18"/>
      <c r="F674" s="17"/>
      <c r="G674" s="18"/>
      <c r="H674" s="13"/>
      <c r="I674" s="19">
        <f>IF($E674="","",IF($L674&lt;=0.005,"Pago",IF($D674="","Sem vencimento",IF($D674&lt;Hoje,IF(N($G674)&gt;0,"Vencido (parcial)","Vencido"),IF($D674=Hoje,"Vence hoje","A vencer")))))</f>
        <v>0</v>
      </c>
      <c r="J674" s="20">
        <f>IF(OR($E674="",$D674=""),"",IF(AND($L674&gt;0.005,$D674&lt;Hoje),Hoje-$D674,0))</f>
        <v>0</v>
      </c>
      <c r="K674" s="20">
        <f>IF($J674="","",IF($L674&lt;=0.005,"Pago",IF($J674&lt;=0,"A vencer",IF($J674&lt;=15,"1-15 dias",IF($J674&lt;=30,"16-30 dias",IF($J674&lt;=60,"31-60 dias","Mais de 60 dias"))))))</f>
        <v>0</v>
      </c>
      <c r="L674" s="21">
        <f>IF($E674="","",MAX(0,$E674-N($G674)))</f>
        <v>0</v>
      </c>
      <c r="M674" s="21">
        <f>IF(OR($L674="",$J674=""),"",IF($J674&gt;0,ROUND($L674*Multa+$L674*Juros/30*$J674,2),0))</f>
        <v>0</v>
      </c>
      <c r="N674" s="22">
        <f>IF($L674="","",IF($L674&lt;=0.005,0,$L674+N($M674)))</f>
        <v>0</v>
      </c>
      <c r="O674" s="23">
        <f>IF(OR($I674="Vencido",$I674="Vencido (parcial)"),"Olá, "&amp;$A674&amp;"! Consta em aberto '"&amp;$B674&amp;"' com vencimento em "&amp;DAY($D674)&amp;"/"&amp;MONTH($D674)&amp;"/"&amp;YEAR($D674)&amp;", no valor de R$ "&amp;FIXED($N674,2)&amp;" (com multa e juros). Podemos ajudar a regularizar hoje? Obrigado!",IF($I674="Vence hoje","Olá, "&amp;$A674&amp;"! Lembrete: '"&amp;$B674&amp;"' vence hoje, no valor de R$ "&amp;FIXED($L674,2)&amp;". Obrigado!",""))</f>
        <v>0</v>
      </c>
    </row>
    <row r="675" spans="1:15">
      <c r="A675" s="13"/>
      <c r="B675" s="13"/>
      <c r="C675" s="17"/>
      <c r="D675" s="17"/>
      <c r="E675" s="18"/>
      <c r="F675" s="17"/>
      <c r="G675" s="18"/>
      <c r="H675" s="13"/>
      <c r="I675" s="19">
        <f>IF($E675="","",IF($L675&lt;=0.005,"Pago",IF($D675="","Sem vencimento",IF($D675&lt;Hoje,IF(N($G675)&gt;0,"Vencido (parcial)","Vencido"),IF($D675=Hoje,"Vence hoje","A vencer")))))</f>
        <v>0</v>
      </c>
      <c r="J675" s="20">
        <f>IF(OR($E675="",$D675=""),"",IF(AND($L675&gt;0.005,$D675&lt;Hoje),Hoje-$D675,0))</f>
        <v>0</v>
      </c>
      <c r="K675" s="20">
        <f>IF($J675="","",IF($L675&lt;=0.005,"Pago",IF($J675&lt;=0,"A vencer",IF($J675&lt;=15,"1-15 dias",IF($J675&lt;=30,"16-30 dias",IF($J675&lt;=60,"31-60 dias","Mais de 60 dias"))))))</f>
        <v>0</v>
      </c>
      <c r="L675" s="21">
        <f>IF($E675="","",MAX(0,$E675-N($G675)))</f>
        <v>0</v>
      </c>
      <c r="M675" s="21">
        <f>IF(OR($L675="",$J675=""),"",IF($J675&gt;0,ROUND($L675*Multa+$L675*Juros/30*$J675,2),0))</f>
        <v>0</v>
      </c>
      <c r="N675" s="22">
        <f>IF($L675="","",IF($L675&lt;=0.005,0,$L675+N($M675)))</f>
        <v>0</v>
      </c>
      <c r="O675" s="23">
        <f>IF(OR($I675="Vencido",$I675="Vencido (parcial)"),"Olá, "&amp;$A675&amp;"! Consta em aberto '"&amp;$B675&amp;"' com vencimento em "&amp;DAY($D675)&amp;"/"&amp;MONTH($D675)&amp;"/"&amp;YEAR($D675)&amp;", no valor de R$ "&amp;FIXED($N675,2)&amp;" (com multa e juros). Podemos ajudar a regularizar hoje? Obrigado!",IF($I675="Vence hoje","Olá, "&amp;$A675&amp;"! Lembrete: '"&amp;$B675&amp;"' vence hoje, no valor de R$ "&amp;FIXED($L675,2)&amp;". Obrigado!",""))</f>
        <v>0</v>
      </c>
    </row>
    <row r="676" spans="1:15">
      <c r="A676" s="13"/>
      <c r="B676" s="13"/>
      <c r="C676" s="17"/>
      <c r="D676" s="17"/>
      <c r="E676" s="18"/>
      <c r="F676" s="17"/>
      <c r="G676" s="18"/>
      <c r="H676" s="13"/>
      <c r="I676" s="19">
        <f>IF($E676="","",IF($L676&lt;=0.005,"Pago",IF($D676="","Sem vencimento",IF($D676&lt;Hoje,IF(N($G676)&gt;0,"Vencido (parcial)","Vencido"),IF($D676=Hoje,"Vence hoje","A vencer")))))</f>
        <v>0</v>
      </c>
      <c r="J676" s="20">
        <f>IF(OR($E676="",$D676=""),"",IF(AND($L676&gt;0.005,$D676&lt;Hoje),Hoje-$D676,0))</f>
        <v>0</v>
      </c>
      <c r="K676" s="20">
        <f>IF($J676="","",IF($L676&lt;=0.005,"Pago",IF($J676&lt;=0,"A vencer",IF($J676&lt;=15,"1-15 dias",IF($J676&lt;=30,"16-30 dias",IF($J676&lt;=60,"31-60 dias","Mais de 60 dias"))))))</f>
        <v>0</v>
      </c>
      <c r="L676" s="21">
        <f>IF($E676="","",MAX(0,$E676-N($G676)))</f>
        <v>0</v>
      </c>
      <c r="M676" s="21">
        <f>IF(OR($L676="",$J676=""),"",IF($J676&gt;0,ROUND($L676*Multa+$L676*Juros/30*$J676,2),0))</f>
        <v>0</v>
      </c>
      <c r="N676" s="22">
        <f>IF($L676="","",IF($L676&lt;=0.005,0,$L676+N($M676)))</f>
        <v>0</v>
      </c>
      <c r="O676" s="23">
        <f>IF(OR($I676="Vencido",$I676="Vencido (parcial)"),"Olá, "&amp;$A676&amp;"! Consta em aberto '"&amp;$B676&amp;"' com vencimento em "&amp;DAY($D676)&amp;"/"&amp;MONTH($D676)&amp;"/"&amp;YEAR($D676)&amp;", no valor de R$ "&amp;FIXED($N676,2)&amp;" (com multa e juros). Podemos ajudar a regularizar hoje? Obrigado!",IF($I676="Vence hoje","Olá, "&amp;$A676&amp;"! Lembrete: '"&amp;$B676&amp;"' vence hoje, no valor de R$ "&amp;FIXED($L676,2)&amp;". Obrigado!",""))</f>
        <v>0</v>
      </c>
    </row>
    <row r="677" spans="1:15">
      <c r="A677" s="13"/>
      <c r="B677" s="13"/>
      <c r="C677" s="17"/>
      <c r="D677" s="17"/>
      <c r="E677" s="18"/>
      <c r="F677" s="17"/>
      <c r="G677" s="18"/>
      <c r="H677" s="13"/>
      <c r="I677" s="19">
        <f>IF($E677="","",IF($L677&lt;=0.005,"Pago",IF($D677="","Sem vencimento",IF($D677&lt;Hoje,IF(N($G677)&gt;0,"Vencido (parcial)","Vencido"),IF($D677=Hoje,"Vence hoje","A vencer")))))</f>
        <v>0</v>
      </c>
      <c r="J677" s="20">
        <f>IF(OR($E677="",$D677=""),"",IF(AND($L677&gt;0.005,$D677&lt;Hoje),Hoje-$D677,0))</f>
        <v>0</v>
      </c>
      <c r="K677" s="20">
        <f>IF($J677="","",IF($L677&lt;=0.005,"Pago",IF($J677&lt;=0,"A vencer",IF($J677&lt;=15,"1-15 dias",IF($J677&lt;=30,"16-30 dias",IF($J677&lt;=60,"31-60 dias","Mais de 60 dias"))))))</f>
        <v>0</v>
      </c>
      <c r="L677" s="21">
        <f>IF($E677="","",MAX(0,$E677-N($G677)))</f>
        <v>0</v>
      </c>
      <c r="M677" s="21">
        <f>IF(OR($L677="",$J677=""),"",IF($J677&gt;0,ROUND($L677*Multa+$L677*Juros/30*$J677,2),0))</f>
        <v>0</v>
      </c>
      <c r="N677" s="22">
        <f>IF($L677="","",IF($L677&lt;=0.005,0,$L677+N($M677)))</f>
        <v>0</v>
      </c>
      <c r="O677" s="23">
        <f>IF(OR($I677="Vencido",$I677="Vencido (parcial)"),"Olá, "&amp;$A677&amp;"! Consta em aberto '"&amp;$B677&amp;"' com vencimento em "&amp;DAY($D677)&amp;"/"&amp;MONTH($D677)&amp;"/"&amp;YEAR($D677)&amp;", no valor de R$ "&amp;FIXED($N677,2)&amp;" (com multa e juros). Podemos ajudar a regularizar hoje? Obrigado!",IF($I677="Vence hoje","Olá, "&amp;$A677&amp;"! Lembrete: '"&amp;$B677&amp;"' vence hoje, no valor de R$ "&amp;FIXED($L677,2)&amp;". Obrigado!",""))</f>
        <v>0</v>
      </c>
    </row>
    <row r="678" spans="1:15">
      <c r="A678" s="13"/>
      <c r="B678" s="13"/>
      <c r="C678" s="17"/>
      <c r="D678" s="17"/>
      <c r="E678" s="18"/>
      <c r="F678" s="17"/>
      <c r="G678" s="18"/>
      <c r="H678" s="13"/>
      <c r="I678" s="19">
        <f>IF($E678="","",IF($L678&lt;=0.005,"Pago",IF($D678="","Sem vencimento",IF($D678&lt;Hoje,IF(N($G678)&gt;0,"Vencido (parcial)","Vencido"),IF($D678=Hoje,"Vence hoje","A vencer")))))</f>
        <v>0</v>
      </c>
      <c r="J678" s="20">
        <f>IF(OR($E678="",$D678=""),"",IF(AND($L678&gt;0.005,$D678&lt;Hoje),Hoje-$D678,0))</f>
        <v>0</v>
      </c>
      <c r="K678" s="20">
        <f>IF($J678="","",IF($L678&lt;=0.005,"Pago",IF($J678&lt;=0,"A vencer",IF($J678&lt;=15,"1-15 dias",IF($J678&lt;=30,"16-30 dias",IF($J678&lt;=60,"31-60 dias","Mais de 60 dias"))))))</f>
        <v>0</v>
      </c>
      <c r="L678" s="21">
        <f>IF($E678="","",MAX(0,$E678-N($G678)))</f>
        <v>0</v>
      </c>
      <c r="M678" s="21">
        <f>IF(OR($L678="",$J678=""),"",IF($J678&gt;0,ROUND($L678*Multa+$L678*Juros/30*$J678,2),0))</f>
        <v>0</v>
      </c>
      <c r="N678" s="22">
        <f>IF($L678="","",IF($L678&lt;=0.005,0,$L678+N($M678)))</f>
        <v>0</v>
      </c>
      <c r="O678" s="23">
        <f>IF(OR($I678="Vencido",$I678="Vencido (parcial)"),"Olá, "&amp;$A678&amp;"! Consta em aberto '"&amp;$B678&amp;"' com vencimento em "&amp;DAY($D678)&amp;"/"&amp;MONTH($D678)&amp;"/"&amp;YEAR($D678)&amp;", no valor de R$ "&amp;FIXED($N678,2)&amp;" (com multa e juros). Podemos ajudar a regularizar hoje? Obrigado!",IF($I678="Vence hoje","Olá, "&amp;$A678&amp;"! Lembrete: '"&amp;$B678&amp;"' vence hoje, no valor de R$ "&amp;FIXED($L678,2)&amp;". Obrigado!",""))</f>
        <v>0</v>
      </c>
    </row>
    <row r="679" spans="1:15">
      <c r="A679" s="13"/>
      <c r="B679" s="13"/>
      <c r="C679" s="17"/>
      <c r="D679" s="17"/>
      <c r="E679" s="18"/>
      <c r="F679" s="17"/>
      <c r="G679" s="18"/>
      <c r="H679" s="13"/>
      <c r="I679" s="19">
        <f>IF($E679="","",IF($L679&lt;=0.005,"Pago",IF($D679="","Sem vencimento",IF($D679&lt;Hoje,IF(N($G679)&gt;0,"Vencido (parcial)","Vencido"),IF($D679=Hoje,"Vence hoje","A vencer")))))</f>
        <v>0</v>
      </c>
      <c r="J679" s="20">
        <f>IF(OR($E679="",$D679=""),"",IF(AND($L679&gt;0.005,$D679&lt;Hoje),Hoje-$D679,0))</f>
        <v>0</v>
      </c>
      <c r="K679" s="20">
        <f>IF($J679="","",IF($L679&lt;=0.005,"Pago",IF($J679&lt;=0,"A vencer",IF($J679&lt;=15,"1-15 dias",IF($J679&lt;=30,"16-30 dias",IF($J679&lt;=60,"31-60 dias","Mais de 60 dias"))))))</f>
        <v>0</v>
      </c>
      <c r="L679" s="21">
        <f>IF($E679="","",MAX(0,$E679-N($G679)))</f>
        <v>0</v>
      </c>
      <c r="M679" s="21">
        <f>IF(OR($L679="",$J679=""),"",IF($J679&gt;0,ROUND($L679*Multa+$L679*Juros/30*$J679,2),0))</f>
        <v>0</v>
      </c>
      <c r="N679" s="22">
        <f>IF($L679="","",IF($L679&lt;=0.005,0,$L679+N($M679)))</f>
        <v>0</v>
      </c>
      <c r="O679" s="23">
        <f>IF(OR($I679="Vencido",$I679="Vencido (parcial)"),"Olá, "&amp;$A679&amp;"! Consta em aberto '"&amp;$B679&amp;"' com vencimento em "&amp;DAY($D679)&amp;"/"&amp;MONTH($D679)&amp;"/"&amp;YEAR($D679)&amp;", no valor de R$ "&amp;FIXED($N679,2)&amp;" (com multa e juros). Podemos ajudar a regularizar hoje? Obrigado!",IF($I679="Vence hoje","Olá, "&amp;$A679&amp;"! Lembrete: '"&amp;$B679&amp;"' vence hoje, no valor de R$ "&amp;FIXED($L679,2)&amp;". Obrigado!",""))</f>
        <v>0</v>
      </c>
    </row>
    <row r="680" spans="1:15">
      <c r="A680" s="13"/>
      <c r="B680" s="13"/>
      <c r="C680" s="17"/>
      <c r="D680" s="17"/>
      <c r="E680" s="18"/>
      <c r="F680" s="17"/>
      <c r="G680" s="18"/>
      <c r="H680" s="13"/>
      <c r="I680" s="19">
        <f>IF($E680="","",IF($L680&lt;=0.005,"Pago",IF($D680="","Sem vencimento",IF($D680&lt;Hoje,IF(N($G680)&gt;0,"Vencido (parcial)","Vencido"),IF($D680=Hoje,"Vence hoje","A vencer")))))</f>
        <v>0</v>
      </c>
      <c r="J680" s="20">
        <f>IF(OR($E680="",$D680=""),"",IF(AND($L680&gt;0.005,$D680&lt;Hoje),Hoje-$D680,0))</f>
        <v>0</v>
      </c>
      <c r="K680" s="20">
        <f>IF($J680="","",IF($L680&lt;=0.005,"Pago",IF($J680&lt;=0,"A vencer",IF($J680&lt;=15,"1-15 dias",IF($J680&lt;=30,"16-30 dias",IF($J680&lt;=60,"31-60 dias","Mais de 60 dias"))))))</f>
        <v>0</v>
      </c>
      <c r="L680" s="21">
        <f>IF($E680="","",MAX(0,$E680-N($G680)))</f>
        <v>0</v>
      </c>
      <c r="M680" s="21">
        <f>IF(OR($L680="",$J680=""),"",IF($J680&gt;0,ROUND($L680*Multa+$L680*Juros/30*$J680,2),0))</f>
        <v>0</v>
      </c>
      <c r="N680" s="22">
        <f>IF($L680="","",IF($L680&lt;=0.005,0,$L680+N($M680)))</f>
        <v>0</v>
      </c>
      <c r="O680" s="23">
        <f>IF(OR($I680="Vencido",$I680="Vencido (parcial)"),"Olá, "&amp;$A680&amp;"! Consta em aberto '"&amp;$B680&amp;"' com vencimento em "&amp;DAY($D680)&amp;"/"&amp;MONTH($D680)&amp;"/"&amp;YEAR($D680)&amp;", no valor de R$ "&amp;FIXED($N680,2)&amp;" (com multa e juros). Podemos ajudar a regularizar hoje? Obrigado!",IF($I680="Vence hoje","Olá, "&amp;$A680&amp;"! Lembrete: '"&amp;$B680&amp;"' vence hoje, no valor de R$ "&amp;FIXED($L680,2)&amp;". Obrigado!",""))</f>
        <v>0</v>
      </c>
    </row>
    <row r="681" spans="1:15">
      <c r="A681" s="13"/>
      <c r="B681" s="13"/>
      <c r="C681" s="17"/>
      <c r="D681" s="17"/>
      <c r="E681" s="18"/>
      <c r="F681" s="17"/>
      <c r="G681" s="18"/>
      <c r="H681" s="13"/>
      <c r="I681" s="19">
        <f>IF($E681="","",IF($L681&lt;=0.005,"Pago",IF($D681="","Sem vencimento",IF($D681&lt;Hoje,IF(N($G681)&gt;0,"Vencido (parcial)","Vencido"),IF($D681=Hoje,"Vence hoje","A vencer")))))</f>
        <v>0</v>
      </c>
      <c r="J681" s="20">
        <f>IF(OR($E681="",$D681=""),"",IF(AND($L681&gt;0.005,$D681&lt;Hoje),Hoje-$D681,0))</f>
        <v>0</v>
      </c>
      <c r="K681" s="20">
        <f>IF($J681="","",IF($L681&lt;=0.005,"Pago",IF($J681&lt;=0,"A vencer",IF($J681&lt;=15,"1-15 dias",IF($J681&lt;=30,"16-30 dias",IF($J681&lt;=60,"31-60 dias","Mais de 60 dias"))))))</f>
        <v>0</v>
      </c>
      <c r="L681" s="21">
        <f>IF($E681="","",MAX(0,$E681-N($G681)))</f>
        <v>0</v>
      </c>
      <c r="M681" s="21">
        <f>IF(OR($L681="",$J681=""),"",IF($J681&gt;0,ROUND($L681*Multa+$L681*Juros/30*$J681,2),0))</f>
        <v>0</v>
      </c>
      <c r="N681" s="22">
        <f>IF($L681="","",IF($L681&lt;=0.005,0,$L681+N($M681)))</f>
        <v>0</v>
      </c>
      <c r="O681" s="23">
        <f>IF(OR($I681="Vencido",$I681="Vencido (parcial)"),"Olá, "&amp;$A681&amp;"! Consta em aberto '"&amp;$B681&amp;"' com vencimento em "&amp;DAY($D681)&amp;"/"&amp;MONTH($D681)&amp;"/"&amp;YEAR($D681)&amp;", no valor de R$ "&amp;FIXED($N681,2)&amp;" (com multa e juros). Podemos ajudar a regularizar hoje? Obrigado!",IF($I681="Vence hoje","Olá, "&amp;$A681&amp;"! Lembrete: '"&amp;$B681&amp;"' vence hoje, no valor de R$ "&amp;FIXED($L681,2)&amp;". Obrigado!",""))</f>
        <v>0</v>
      </c>
    </row>
    <row r="682" spans="1:15">
      <c r="A682" s="13"/>
      <c r="B682" s="13"/>
      <c r="C682" s="17"/>
      <c r="D682" s="17"/>
      <c r="E682" s="18"/>
      <c r="F682" s="17"/>
      <c r="G682" s="18"/>
      <c r="H682" s="13"/>
      <c r="I682" s="19">
        <f>IF($E682="","",IF($L682&lt;=0.005,"Pago",IF($D682="","Sem vencimento",IF($D682&lt;Hoje,IF(N($G682)&gt;0,"Vencido (parcial)","Vencido"),IF($D682=Hoje,"Vence hoje","A vencer")))))</f>
        <v>0</v>
      </c>
      <c r="J682" s="20">
        <f>IF(OR($E682="",$D682=""),"",IF(AND($L682&gt;0.005,$D682&lt;Hoje),Hoje-$D682,0))</f>
        <v>0</v>
      </c>
      <c r="K682" s="20">
        <f>IF($J682="","",IF($L682&lt;=0.005,"Pago",IF($J682&lt;=0,"A vencer",IF($J682&lt;=15,"1-15 dias",IF($J682&lt;=30,"16-30 dias",IF($J682&lt;=60,"31-60 dias","Mais de 60 dias"))))))</f>
        <v>0</v>
      </c>
      <c r="L682" s="21">
        <f>IF($E682="","",MAX(0,$E682-N($G682)))</f>
        <v>0</v>
      </c>
      <c r="M682" s="21">
        <f>IF(OR($L682="",$J682=""),"",IF($J682&gt;0,ROUND($L682*Multa+$L682*Juros/30*$J682,2),0))</f>
        <v>0</v>
      </c>
      <c r="N682" s="22">
        <f>IF($L682="","",IF($L682&lt;=0.005,0,$L682+N($M682)))</f>
        <v>0</v>
      </c>
      <c r="O682" s="23">
        <f>IF(OR($I682="Vencido",$I682="Vencido (parcial)"),"Olá, "&amp;$A682&amp;"! Consta em aberto '"&amp;$B682&amp;"' com vencimento em "&amp;DAY($D682)&amp;"/"&amp;MONTH($D682)&amp;"/"&amp;YEAR($D682)&amp;", no valor de R$ "&amp;FIXED($N682,2)&amp;" (com multa e juros). Podemos ajudar a regularizar hoje? Obrigado!",IF($I682="Vence hoje","Olá, "&amp;$A682&amp;"! Lembrete: '"&amp;$B682&amp;"' vence hoje, no valor de R$ "&amp;FIXED($L682,2)&amp;". Obrigado!",""))</f>
        <v>0</v>
      </c>
    </row>
    <row r="683" spans="1:15">
      <c r="A683" s="13"/>
      <c r="B683" s="13"/>
      <c r="C683" s="17"/>
      <c r="D683" s="17"/>
      <c r="E683" s="18"/>
      <c r="F683" s="17"/>
      <c r="G683" s="18"/>
      <c r="H683" s="13"/>
      <c r="I683" s="19">
        <f>IF($E683="","",IF($L683&lt;=0.005,"Pago",IF($D683="","Sem vencimento",IF($D683&lt;Hoje,IF(N($G683)&gt;0,"Vencido (parcial)","Vencido"),IF($D683=Hoje,"Vence hoje","A vencer")))))</f>
        <v>0</v>
      </c>
      <c r="J683" s="20">
        <f>IF(OR($E683="",$D683=""),"",IF(AND($L683&gt;0.005,$D683&lt;Hoje),Hoje-$D683,0))</f>
        <v>0</v>
      </c>
      <c r="K683" s="20">
        <f>IF($J683="","",IF($L683&lt;=0.005,"Pago",IF($J683&lt;=0,"A vencer",IF($J683&lt;=15,"1-15 dias",IF($J683&lt;=30,"16-30 dias",IF($J683&lt;=60,"31-60 dias","Mais de 60 dias"))))))</f>
        <v>0</v>
      </c>
      <c r="L683" s="21">
        <f>IF($E683="","",MAX(0,$E683-N($G683)))</f>
        <v>0</v>
      </c>
      <c r="M683" s="21">
        <f>IF(OR($L683="",$J683=""),"",IF($J683&gt;0,ROUND($L683*Multa+$L683*Juros/30*$J683,2),0))</f>
        <v>0</v>
      </c>
      <c r="N683" s="22">
        <f>IF($L683="","",IF($L683&lt;=0.005,0,$L683+N($M683)))</f>
        <v>0</v>
      </c>
      <c r="O683" s="23">
        <f>IF(OR($I683="Vencido",$I683="Vencido (parcial)"),"Olá, "&amp;$A683&amp;"! Consta em aberto '"&amp;$B683&amp;"' com vencimento em "&amp;DAY($D683)&amp;"/"&amp;MONTH($D683)&amp;"/"&amp;YEAR($D683)&amp;", no valor de R$ "&amp;FIXED($N683,2)&amp;" (com multa e juros). Podemos ajudar a regularizar hoje? Obrigado!",IF($I683="Vence hoje","Olá, "&amp;$A683&amp;"! Lembrete: '"&amp;$B683&amp;"' vence hoje, no valor de R$ "&amp;FIXED($L683,2)&amp;". Obrigado!",""))</f>
        <v>0</v>
      </c>
    </row>
    <row r="684" spans="1:15">
      <c r="A684" s="13"/>
      <c r="B684" s="13"/>
      <c r="C684" s="17"/>
      <c r="D684" s="17"/>
      <c r="E684" s="18"/>
      <c r="F684" s="17"/>
      <c r="G684" s="18"/>
      <c r="H684" s="13"/>
      <c r="I684" s="19">
        <f>IF($E684="","",IF($L684&lt;=0.005,"Pago",IF($D684="","Sem vencimento",IF($D684&lt;Hoje,IF(N($G684)&gt;0,"Vencido (parcial)","Vencido"),IF($D684=Hoje,"Vence hoje","A vencer")))))</f>
        <v>0</v>
      </c>
      <c r="J684" s="20">
        <f>IF(OR($E684="",$D684=""),"",IF(AND($L684&gt;0.005,$D684&lt;Hoje),Hoje-$D684,0))</f>
        <v>0</v>
      </c>
      <c r="K684" s="20">
        <f>IF($J684="","",IF($L684&lt;=0.005,"Pago",IF($J684&lt;=0,"A vencer",IF($J684&lt;=15,"1-15 dias",IF($J684&lt;=30,"16-30 dias",IF($J684&lt;=60,"31-60 dias","Mais de 60 dias"))))))</f>
        <v>0</v>
      </c>
      <c r="L684" s="21">
        <f>IF($E684="","",MAX(0,$E684-N($G684)))</f>
        <v>0</v>
      </c>
      <c r="M684" s="21">
        <f>IF(OR($L684="",$J684=""),"",IF($J684&gt;0,ROUND($L684*Multa+$L684*Juros/30*$J684,2),0))</f>
        <v>0</v>
      </c>
      <c r="N684" s="22">
        <f>IF($L684="","",IF($L684&lt;=0.005,0,$L684+N($M684)))</f>
        <v>0</v>
      </c>
      <c r="O684" s="23">
        <f>IF(OR($I684="Vencido",$I684="Vencido (parcial)"),"Olá, "&amp;$A684&amp;"! Consta em aberto '"&amp;$B684&amp;"' com vencimento em "&amp;DAY($D684)&amp;"/"&amp;MONTH($D684)&amp;"/"&amp;YEAR($D684)&amp;", no valor de R$ "&amp;FIXED($N684,2)&amp;" (com multa e juros). Podemos ajudar a regularizar hoje? Obrigado!",IF($I684="Vence hoje","Olá, "&amp;$A684&amp;"! Lembrete: '"&amp;$B684&amp;"' vence hoje, no valor de R$ "&amp;FIXED($L684,2)&amp;". Obrigado!",""))</f>
        <v>0</v>
      </c>
    </row>
    <row r="685" spans="1:15">
      <c r="A685" s="13"/>
      <c r="B685" s="13"/>
      <c r="C685" s="17"/>
      <c r="D685" s="17"/>
      <c r="E685" s="18"/>
      <c r="F685" s="17"/>
      <c r="G685" s="18"/>
      <c r="H685" s="13"/>
      <c r="I685" s="19">
        <f>IF($E685="","",IF($L685&lt;=0.005,"Pago",IF($D685="","Sem vencimento",IF($D685&lt;Hoje,IF(N($G685)&gt;0,"Vencido (parcial)","Vencido"),IF($D685=Hoje,"Vence hoje","A vencer")))))</f>
        <v>0</v>
      </c>
      <c r="J685" s="20">
        <f>IF(OR($E685="",$D685=""),"",IF(AND($L685&gt;0.005,$D685&lt;Hoje),Hoje-$D685,0))</f>
        <v>0</v>
      </c>
      <c r="K685" s="20">
        <f>IF($J685="","",IF($L685&lt;=0.005,"Pago",IF($J685&lt;=0,"A vencer",IF($J685&lt;=15,"1-15 dias",IF($J685&lt;=30,"16-30 dias",IF($J685&lt;=60,"31-60 dias","Mais de 60 dias"))))))</f>
        <v>0</v>
      </c>
      <c r="L685" s="21">
        <f>IF($E685="","",MAX(0,$E685-N($G685)))</f>
        <v>0</v>
      </c>
      <c r="M685" s="21">
        <f>IF(OR($L685="",$J685=""),"",IF($J685&gt;0,ROUND($L685*Multa+$L685*Juros/30*$J685,2),0))</f>
        <v>0</v>
      </c>
      <c r="N685" s="22">
        <f>IF($L685="","",IF($L685&lt;=0.005,0,$L685+N($M685)))</f>
        <v>0</v>
      </c>
      <c r="O685" s="23">
        <f>IF(OR($I685="Vencido",$I685="Vencido (parcial)"),"Olá, "&amp;$A685&amp;"! Consta em aberto '"&amp;$B685&amp;"' com vencimento em "&amp;DAY($D685)&amp;"/"&amp;MONTH($D685)&amp;"/"&amp;YEAR($D685)&amp;", no valor de R$ "&amp;FIXED($N685,2)&amp;" (com multa e juros). Podemos ajudar a regularizar hoje? Obrigado!",IF($I685="Vence hoje","Olá, "&amp;$A685&amp;"! Lembrete: '"&amp;$B685&amp;"' vence hoje, no valor de R$ "&amp;FIXED($L685,2)&amp;". Obrigado!",""))</f>
        <v>0</v>
      </c>
    </row>
    <row r="686" spans="1:15">
      <c r="A686" s="13"/>
      <c r="B686" s="13"/>
      <c r="C686" s="17"/>
      <c r="D686" s="17"/>
      <c r="E686" s="18"/>
      <c r="F686" s="17"/>
      <c r="G686" s="18"/>
      <c r="H686" s="13"/>
      <c r="I686" s="19">
        <f>IF($E686="","",IF($L686&lt;=0.005,"Pago",IF($D686="","Sem vencimento",IF($D686&lt;Hoje,IF(N($G686)&gt;0,"Vencido (parcial)","Vencido"),IF($D686=Hoje,"Vence hoje","A vencer")))))</f>
        <v>0</v>
      </c>
      <c r="J686" s="20">
        <f>IF(OR($E686="",$D686=""),"",IF(AND($L686&gt;0.005,$D686&lt;Hoje),Hoje-$D686,0))</f>
        <v>0</v>
      </c>
      <c r="K686" s="20">
        <f>IF($J686="","",IF($L686&lt;=0.005,"Pago",IF($J686&lt;=0,"A vencer",IF($J686&lt;=15,"1-15 dias",IF($J686&lt;=30,"16-30 dias",IF($J686&lt;=60,"31-60 dias","Mais de 60 dias"))))))</f>
        <v>0</v>
      </c>
      <c r="L686" s="21">
        <f>IF($E686="","",MAX(0,$E686-N($G686)))</f>
        <v>0</v>
      </c>
      <c r="M686" s="21">
        <f>IF(OR($L686="",$J686=""),"",IF($J686&gt;0,ROUND($L686*Multa+$L686*Juros/30*$J686,2),0))</f>
        <v>0</v>
      </c>
      <c r="N686" s="22">
        <f>IF($L686="","",IF($L686&lt;=0.005,0,$L686+N($M686)))</f>
        <v>0</v>
      </c>
      <c r="O686" s="23">
        <f>IF(OR($I686="Vencido",$I686="Vencido (parcial)"),"Olá, "&amp;$A686&amp;"! Consta em aberto '"&amp;$B686&amp;"' com vencimento em "&amp;DAY($D686)&amp;"/"&amp;MONTH($D686)&amp;"/"&amp;YEAR($D686)&amp;", no valor de R$ "&amp;FIXED($N686,2)&amp;" (com multa e juros). Podemos ajudar a regularizar hoje? Obrigado!",IF($I686="Vence hoje","Olá, "&amp;$A686&amp;"! Lembrete: '"&amp;$B686&amp;"' vence hoje, no valor de R$ "&amp;FIXED($L686,2)&amp;". Obrigado!",""))</f>
        <v>0</v>
      </c>
    </row>
    <row r="687" spans="1:15">
      <c r="A687" s="13"/>
      <c r="B687" s="13"/>
      <c r="C687" s="17"/>
      <c r="D687" s="17"/>
      <c r="E687" s="18"/>
      <c r="F687" s="17"/>
      <c r="G687" s="18"/>
      <c r="H687" s="13"/>
      <c r="I687" s="19">
        <f>IF($E687="","",IF($L687&lt;=0.005,"Pago",IF($D687="","Sem vencimento",IF($D687&lt;Hoje,IF(N($G687)&gt;0,"Vencido (parcial)","Vencido"),IF($D687=Hoje,"Vence hoje","A vencer")))))</f>
        <v>0</v>
      </c>
      <c r="J687" s="20">
        <f>IF(OR($E687="",$D687=""),"",IF(AND($L687&gt;0.005,$D687&lt;Hoje),Hoje-$D687,0))</f>
        <v>0</v>
      </c>
      <c r="K687" s="20">
        <f>IF($J687="","",IF($L687&lt;=0.005,"Pago",IF($J687&lt;=0,"A vencer",IF($J687&lt;=15,"1-15 dias",IF($J687&lt;=30,"16-30 dias",IF($J687&lt;=60,"31-60 dias","Mais de 60 dias"))))))</f>
        <v>0</v>
      </c>
      <c r="L687" s="21">
        <f>IF($E687="","",MAX(0,$E687-N($G687)))</f>
        <v>0</v>
      </c>
      <c r="M687" s="21">
        <f>IF(OR($L687="",$J687=""),"",IF($J687&gt;0,ROUND($L687*Multa+$L687*Juros/30*$J687,2),0))</f>
        <v>0</v>
      </c>
      <c r="N687" s="22">
        <f>IF($L687="","",IF($L687&lt;=0.005,0,$L687+N($M687)))</f>
        <v>0</v>
      </c>
      <c r="O687" s="23">
        <f>IF(OR($I687="Vencido",$I687="Vencido (parcial)"),"Olá, "&amp;$A687&amp;"! Consta em aberto '"&amp;$B687&amp;"' com vencimento em "&amp;DAY($D687)&amp;"/"&amp;MONTH($D687)&amp;"/"&amp;YEAR($D687)&amp;", no valor de R$ "&amp;FIXED($N687,2)&amp;" (com multa e juros). Podemos ajudar a regularizar hoje? Obrigado!",IF($I687="Vence hoje","Olá, "&amp;$A687&amp;"! Lembrete: '"&amp;$B687&amp;"' vence hoje, no valor de R$ "&amp;FIXED($L687,2)&amp;". Obrigado!",""))</f>
        <v>0</v>
      </c>
    </row>
    <row r="688" spans="1:15">
      <c r="A688" s="13"/>
      <c r="B688" s="13"/>
      <c r="C688" s="17"/>
      <c r="D688" s="17"/>
      <c r="E688" s="18"/>
      <c r="F688" s="17"/>
      <c r="G688" s="18"/>
      <c r="H688" s="13"/>
      <c r="I688" s="19">
        <f>IF($E688="","",IF($L688&lt;=0.005,"Pago",IF($D688="","Sem vencimento",IF($D688&lt;Hoje,IF(N($G688)&gt;0,"Vencido (parcial)","Vencido"),IF($D688=Hoje,"Vence hoje","A vencer")))))</f>
        <v>0</v>
      </c>
      <c r="J688" s="20">
        <f>IF(OR($E688="",$D688=""),"",IF(AND($L688&gt;0.005,$D688&lt;Hoje),Hoje-$D688,0))</f>
        <v>0</v>
      </c>
      <c r="K688" s="20">
        <f>IF($J688="","",IF($L688&lt;=0.005,"Pago",IF($J688&lt;=0,"A vencer",IF($J688&lt;=15,"1-15 dias",IF($J688&lt;=30,"16-30 dias",IF($J688&lt;=60,"31-60 dias","Mais de 60 dias"))))))</f>
        <v>0</v>
      </c>
      <c r="L688" s="21">
        <f>IF($E688="","",MAX(0,$E688-N($G688)))</f>
        <v>0</v>
      </c>
      <c r="M688" s="21">
        <f>IF(OR($L688="",$J688=""),"",IF($J688&gt;0,ROUND($L688*Multa+$L688*Juros/30*$J688,2),0))</f>
        <v>0</v>
      </c>
      <c r="N688" s="22">
        <f>IF($L688="","",IF($L688&lt;=0.005,0,$L688+N($M688)))</f>
        <v>0</v>
      </c>
      <c r="O688" s="23">
        <f>IF(OR($I688="Vencido",$I688="Vencido (parcial)"),"Olá, "&amp;$A688&amp;"! Consta em aberto '"&amp;$B688&amp;"' com vencimento em "&amp;DAY($D688)&amp;"/"&amp;MONTH($D688)&amp;"/"&amp;YEAR($D688)&amp;", no valor de R$ "&amp;FIXED($N688,2)&amp;" (com multa e juros). Podemos ajudar a regularizar hoje? Obrigado!",IF($I688="Vence hoje","Olá, "&amp;$A688&amp;"! Lembrete: '"&amp;$B688&amp;"' vence hoje, no valor de R$ "&amp;FIXED($L688,2)&amp;". Obrigado!",""))</f>
        <v>0</v>
      </c>
    </row>
    <row r="689" spans="1:15">
      <c r="A689" s="13"/>
      <c r="B689" s="13"/>
      <c r="C689" s="17"/>
      <c r="D689" s="17"/>
      <c r="E689" s="18"/>
      <c r="F689" s="17"/>
      <c r="G689" s="18"/>
      <c r="H689" s="13"/>
      <c r="I689" s="19">
        <f>IF($E689="","",IF($L689&lt;=0.005,"Pago",IF($D689="","Sem vencimento",IF($D689&lt;Hoje,IF(N($G689)&gt;0,"Vencido (parcial)","Vencido"),IF($D689=Hoje,"Vence hoje","A vencer")))))</f>
        <v>0</v>
      </c>
      <c r="J689" s="20">
        <f>IF(OR($E689="",$D689=""),"",IF(AND($L689&gt;0.005,$D689&lt;Hoje),Hoje-$D689,0))</f>
        <v>0</v>
      </c>
      <c r="K689" s="20">
        <f>IF($J689="","",IF($L689&lt;=0.005,"Pago",IF($J689&lt;=0,"A vencer",IF($J689&lt;=15,"1-15 dias",IF($J689&lt;=30,"16-30 dias",IF($J689&lt;=60,"31-60 dias","Mais de 60 dias"))))))</f>
        <v>0</v>
      </c>
      <c r="L689" s="21">
        <f>IF($E689="","",MAX(0,$E689-N($G689)))</f>
        <v>0</v>
      </c>
      <c r="M689" s="21">
        <f>IF(OR($L689="",$J689=""),"",IF($J689&gt;0,ROUND($L689*Multa+$L689*Juros/30*$J689,2),0))</f>
        <v>0</v>
      </c>
      <c r="N689" s="22">
        <f>IF($L689="","",IF($L689&lt;=0.005,0,$L689+N($M689)))</f>
        <v>0</v>
      </c>
      <c r="O689" s="23">
        <f>IF(OR($I689="Vencido",$I689="Vencido (parcial)"),"Olá, "&amp;$A689&amp;"! Consta em aberto '"&amp;$B689&amp;"' com vencimento em "&amp;DAY($D689)&amp;"/"&amp;MONTH($D689)&amp;"/"&amp;YEAR($D689)&amp;", no valor de R$ "&amp;FIXED($N689,2)&amp;" (com multa e juros). Podemos ajudar a regularizar hoje? Obrigado!",IF($I689="Vence hoje","Olá, "&amp;$A689&amp;"! Lembrete: '"&amp;$B689&amp;"' vence hoje, no valor de R$ "&amp;FIXED($L689,2)&amp;". Obrigado!",""))</f>
        <v>0</v>
      </c>
    </row>
    <row r="690" spans="1:15">
      <c r="A690" s="13"/>
      <c r="B690" s="13"/>
      <c r="C690" s="17"/>
      <c r="D690" s="17"/>
      <c r="E690" s="18"/>
      <c r="F690" s="17"/>
      <c r="G690" s="18"/>
      <c r="H690" s="13"/>
      <c r="I690" s="19">
        <f>IF($E690="","",IF($L690&lt;=0.005,"Pago",IF($D690="","Sem vencimento",IF($D690&lt;Hoje,IF(N($G690)&gt;0,"Vencido (parcial)","Vencido"),IF($D690=Hoje,"Vence hoje","A vencer")))))</f>
        <v>0</v>
      </c>
      <c r="J690" s="20">
        <f>IF(OR($E690="",$D690=""),"",IF(AND($L690&gt;0.005,$D690&lt;Hoje),Hoje-$D690,0))</f>
        <v>0</v>
      </c>
      <c r="K690" s="20">
        <f>IF($J690="","",IF($L690&lt;=0.005,"Pago",IF($J690&lt;=0,"A vencer",IF($J690&lt;=15,"1-15 dias",IF($J690&lt;=30,"16-30 dias",IF($J690&lt;=60,"31-60 dias","Mais de 60 dias"))))))</f>
        <v>0</v>
      </c>
      <c r="L690" s="21">
        <f>IF($E690="","",MAX(0,$E690-N($G690)))</f>
        <v>0</v>
      </c>
      <c r="M690" s="21">
        <f>IF(OR($L690="",$J690=""),"",IF($J690&gt;0,ROUND($L690*Multa+$L690*Juros/30*$J690,2),0))</f>
        <v>0</v>
      </c>
      <c r="N690" s="22">
        <f>IF($L690="","",IF($L690&lt;=0.005,0,$L690+N($M690)))</f>
        <v>0</v>
      </c>
      <c r="O690" s="23">
        <f>IF(OR($I690="Vencido",$I690="Vencido (parcial)"),"Olá, "&amp;$A690&amp;"! Consta em aberto '"&amp;$B690&amp;"' com vencimento em "&amp;DAY($D690)&amp;"/"&amp;MONTH($D690)&amp;"/"&amp;YEAR($D690)&amp;", no valor de R$ "&amp;FIXED($N690,2)&amp;" (com multa e juros). Podemos ajudar a regularizar hoje? Obrigado!",IF($I690="Vence hoje","Olá, "&amp;$A690&amp;"! Lembrete: '"&amp;$B690&amp;"' vence hoje, no valor de R$ "&amp;FIXED($L690,2)&amp;". Obrigado!",""))</f>
        <v>0</v>
      </c>
    </row>
    <row r="691" spans="1:15">
      <c r="A691" s="13"/>
      <c r="B691" s="13"/>
      <c r="C691" s="17"/>
      <c r="D691" s="17"/>
      <c r="E691" s="18"/>
      <c r="F691" s="17"/>
      <c r="G691" s="18"/>
      <c r="H691" s="13"/>
      <c r="I691" s="19">
        <f>IF($E691="","",IF($L691&lt;=0.005,"Pago",IF($D691="","Sem vencimento",IF($D691&lt;Hoje,IF(N($G691)&gt;0,"Vencido (parcial)","Vencido"),IF($D691=Hoje,"Vence hoje","A vencer")))))</f>
        <v>0</v>
      </c>
      <c r="J691" s="20">
        <f>IF(OR($E691="",$D691=""),"",IF(AND($L691&gt;0.005,$D691&lt;Hoje),Hoje-$D691,0))</f>
        <v>0</v>
      </c>
      <c r="K691" s="20">
        <f>IF($J691="","",IF($L691&lt;=0.005,"Pago",IF($J691&lt;=0,"A vencer",IF($J691&lt;=15,"1-15 dias",IF($J691&lt;=30,"16-30 dias",IF($J691&lt;=60,"31-60 dias","Mais de 60 dias"))))))</f>
        <v>0</v>
      </c>
      <c r="L691" s="21">
        <f>IF($E691="","",MAX(0,$E691-N($G691)))</f>
        <v>0</v>
      </c>
      <c r="M691" s="21">
        <f>IF(OR($L691="",$J691=""),"",IF($J691&gt;0,ROUND($L691*Multa+$L691*Juros/30*$J691,2),0))</f>
        <v>0</v>
      </c>
      <c r="N691" s="22">
        <f>IF($L691="","",IF($L691&lt;=0.005,0,$L691+N($M691)))</f>
        <v>0</v>
      </c>
      <c r="O691" s="23">
        <f>IF(OR($I691="Vencido",$I691="Vencido (parcial)"),"Olá, "&amp;$A691&amp;"! Consta em aberto '"&amp;$B691&amp;"' com vencimento em "&amp;DAY($D691)&amp;"/"&amp;MONTH($D691)&amp;"/"&amp;YEAR($D691)&amp;", no valor de R$ "&amp;FIXED($N691,2)&amp;" (com multa e juros). Podemos ajudar a regularizar hoje? Obrigado!",IF($I691="Vence hoje","Olá, "&amp;$A691&amp;"! Lembrete: '"&amp;$B691&amp;"' vence hoje, no valor de R$ "&amp;FIXED($L691,2)&amp;". Obrigado!",""))</f>
        <v>0</v>
      </c>
    </row>
    <row r="692" spans="1:15">
      <c r="A692" s="13"/>
      <c r="B692" s="13"/>
      <c r="C692" s="17"/>
      <c r="D692" s="17"/>
      <c r="E692" s="18"/>
      <c r="F692" s="17"/>
      <c r="G692" s="18"/>
      <c r="H692" s="13"/>
      <c r="I692" s="19">
        <f>IF($E692="","",IF($L692&lt;=0.005,"Pago",IF($D692="","Sem vencimento",IF($D692&lt;Hoje,IF(N($G692)&gt;0,"Vencido (parcial)","Vencido"),IF($D692=Hoje,"Vence hoje","A vencer")))))</f>
        <v>0</v>
      </c>
      <c r="J692" s="20">
        <f>IF(OR($E692="",$D692=""),"",IF(AND($L692&gt;0.005,$D692&lt;Hoje),Hoje-$D692,0))</f>
        <v>0</v>
      </c>
      <c r="K692" s="20">
        <f>IF($J692="","",IF($L692&lt;=0.005,"Pago",IF($J692&lt;=0,"A vencer",IF($J692&lt;=15,"1-15 dias",IF($J692&lt;=30,"16-30 dias",IF($J692&lt;=60,"31-60 dias","Mais de 60 dias"))))))</f>
        <v>0</v>
      </c>
      <c r="L692" s="21">
        <f>IF($E692="","",MAX(0,$E692-N($G692)))</f>
        <v>0</v>
      </c>
      <c r="M692" s="21">
        <f>IF(OR($L692="",$J692=""),"",IF($J692&gt;0,ROUND($L692*Multa+$L692*Juros/30*$J692,2),0))</f>
        <v>0</v>
      </c>
      <c r="N692" s="22">
        <f>IF($L692="","",IF($L692&lt;=0.005,0,$L692+N($M692)))</f>
        <v>0</v>
      </c>
      <c r="O692" s="23">
        <f>IF(OR($I692="Vencido",$I692="Vencido (parcial)"),"Olá, "&amp;$A692&amp;"! Consta em aberto '"&amp;$B692&amp;"' com vencimento em "&amp;DAY($D692)&amp;"/"&amp;MONTH($D692)&amp;"/"&amp;YEAR($D692)&amp;", no valor de R$ "&amp;FIXED($N692,2)&amp;" (com multa e juros). Podemos ajudar a regularizar hoje? Obrigado!",IF($I692="Vence hoje","Olá, "&amp;$A692&amp;"! Lembrete: '"&amp;$B692&amp;"' vence hoje, no valor de R$ "&amp;FIXED($L692,2)&amp;". Obrigado!",""))</f>
        <v>0</v>
      </c>
    </row>
    <row r="693" spans="1:15">
      <c r="A693" s="13"/>
      <c r="B693" s="13"/>
      <c r="C693" s="17"/>
      <c r="D693" s="17"/>
      <c r="E693" s="18"/>
      <c r="F693" s="17"/>
      <c r="G693" s="18"/>
      <c r="H693" s="13"/>
      <c r="I693" s="19">
        <f>IF($E693="","",IF($L693&lt;=0.005,"Pago",IF($D693="","Sem vencimento",IF($D693&lt;Hoje,IF(N($G693)&gt;0,"Vencido (parcial)","Vencido"),IF($D693=Hoje,"Vence hoje","A vencer")))))</f>
        <v>0</v>
      </c>
      <c r="J693" s="20">
        <f>IF(OR($E693="",$D693=""),"",IF(AND($L693&gt;0.005,$D693&lt;Hoje),Hoje-$D693,0))</f>
        <v>0</v>
      </c>
      <c r="K693" s="20">
        <f>IF($J693="","",IF($L693&lt;=0.005,"Pago",IF($J693&lt;=0,"A vencer",IF($J693&lt;=15,"1-15 dias",IF($J693&lt;=30,"16-30 dias",IF($J693&lt;=60,"31-60 dias","Mais de 60 dias"))))))</f>
        <v>0</v>
      </c>
      <c r="L693" s="21">
        <f>IF($E693="","",MAX(0,$E693-N($G693)))</f>
        <v>0</v>
      </c>
      <c r="M693" s="21">
        <f>IF(OR($L693="",$J693=""),"",IF($J693&gt;0,ROUND($L693*Multa+$L693*Juros/30*$J693,2),0))</f>
        <v>0</v>
      </c>
      <c r="N693" s="22">
        <f>IF($L693="","",IF($L693&lt;=0.005,0,$L693+N($M693)))</f>
        <v>0</v>
      </c>
      <c r="O693" s="23">
        <f>IF(OR($I693="Vencido",$I693="Vencido (parcial)"),"Olá, "&amp;$A693&amp;"! Consta em aberto '"&amp;$B693&amp;"' com vencimento em "&amp;DAY($D693)&amp;"/"&amp;MONTH($D693)&amp;"/"&amp;YEAR($D693)&amp;", no valor de R$ "&amp;FIXED($N693,2)&amp;" (com multa e juros). Podemos ajudar a regularizar hoje? Obrigado!",IF($I693="Vence hoje","Olá, "&amp;$A693&amp;"! Lembrete: '"&amp;$B693&amp;"' vence hoje, no valor de R$ "&amp;FIXED($L693,2)&amp;". Obrigado!",""))</f>
        <v>0</v>
      </c>
    </row>
    <row r="694" spans="1:15">
      <c r="A694" s="13"/>
      <c r="B694" s="13"/>
      <c r="C694" s="17"/>
      <c r="D694" s="17"/>
      <c r="E694" s="18"/>
      <c r="F694" s="17"/>
      <c r="G694" s="18"/>
      <c r="H694" s="13"/>
      <c r="I694" s="19">
        <f>IF($E694="","",IF($L694&lt;=0.005,"Pago",IF($D694="","Sem vencimento",IF($D694&lt;Hoje,IF(N($G694)&gt;0,"Vencido (parcial)","Vencido"),IF($D694=Hoje,"Vence hoje","A vencer")))))</f>
        <v>0</v>
      </c>
      <c r="J694" s="20">
        <f>IF(OR($E694="",$D694=""),"",IF(AND($L694&gt;0.005,$D694&lt;Hoje),Hoje-$D694,0))</f>
        <v>0</v>
      </c>
      <c r="K694" s="20">
        <f>IF($J694="","",IF($L694&lt;=0.005,"Pago",IF($J694&lt;=0,"A vencer",IF($J694&lt;=15,"1-15 dias",IF($J694&lt;=30,"16-30 dias",IF($J694&lt;=60,"31-60 dias","Mais de 60 dias"))))))</f>
        <v>0</v>
      </c>
      <c r="L694" s="21">
        <f>IF($E694="","",MAX(0,$E694-N($G694)))</f>
        <v>0</v>
      </c>
      <c r="M694" s="21">
        <f>IF(OR($L694="",$J694=""),"",IF($J694&gt;0,ROUND($L694*Multa+$L694*Juros/30*$J694,2),0))</f>
        <v>0</v>
      </c>
      <c r="N694" s="22">
        <f>IF($L694="","",IF($L694&lt;=0.005,0,$L694+N($M694)))</f>
        <v>0</v>
      </c>
      <c r="O694" s="23">
        <f>IF(OR($I694="Vencido",$I694="Vencido (parcial)"),"Olá, "&amp;$A694&amp;"! Consta em aberto '"&amp;$B694&amp;"' com vencimento em "&amp;DAY($D694)&amp;"/"&amp;MONTH($D694)&amp;"/"&amp;YEAR($D694)&amp;", no valor de R$ "&amp;FIXED($N694,2)&amp;" (com multa e juros). Podemos ajudar a regularizar hoje? Obrigado!",IF($I694="Vence hoje","Olá, "&amp;$A694&amp;"! Lembrete: '"&amp;$B694&amp;"' vence hoje, no valor de R$ "&amp;FIXED($L694,2)&amp;". Obrigado!",""))</f>
        <v>0</v>
      </c>
    </row>
    <row r="695" spans="1:15">
      <c r="A695" s="13"/>
      <c r="B695" s="13"/>
      <c r="C695" s="17"/>
      <c r="D695" s="17"/>
      <c r="E695" s="18"/>
      <c r="F695" s="17"/>
      <c r="G695" s="18"/>
      <c r="H695" s="13"/>
      <c r="I695" s="19">
        <f>IF($E695="","",IF($L695&lt;=0.005,"Pago",IF($D695="","Sem vencimento",IF($D695&lt;Hoje,IF(N($G695)&gt;0,"Vencido (parcial)","Vencido"),IF($D695=Hoje,"Vence hoje","A vencer")))))</f>
        <v>0</v>
      </c>
      <c r="J695" s="20">
        <f>IF(OR($E695="",$D695=""),"",IF(AND($L695&gt;0.005,$D695&lt;Hoje),Hoje-$D695,0))</f>
        <v>0</v>
      </c>
      <c r="K695" s="20">
        <f>IF($J695="","",IF($L695&lt;=0.005,"Pago",IF($J695&lt;=0,"A vencer",IF($J695&lt;=15,"1-15 dias",IF($J695&lt;=30,"16-30 dias",IF($J695&lt;=60,"31-60 dias","Mais de 60 dias"))))))</f>
        <v>0</v>
      </c>
      <c r="L695" s="21">
        <f>IF($E695="","",MAX(0,$E695-N($G695)))</f>
        <v>0</v>
      </c>
      <c r="M695" s="21">
        <f>IF(OR($L695="",$J695=""),"",IF($J695&gt;0,ROUND($L695*Multa+$L695*Juros/30*$J695,2),0))</f>
        <v>0</v>
      </c>
      <c r="N695" s="22">
        <f>IF($L695="","",IF($L695&lt;=0.005,0,$L695+N($M695)))</f>
        <v>0</v>
      </c>
      <c r="O695" s="23">
        <f>IF(OR($I695="Vencido",$I695="Vencido (parcial)"),"Olá, "&amp;$A695&amp;"! Consta em aberto '"&amp;$B695&amp;"' com vencimento em "&amp;DAY($D695)&amp;"/"&amp;MONTH($D695)&amp;"/"&amp;YEAR($D695)&amp;", no valor de R$ "&amp;FIXED($N695,2)&amp;" (com multa e juros). Podemos ajudar a regularizar hoje? Obrigado!",IF($I695="Vence hoje","Olá, "&amp;$A695&amp;"! Lembrete: '"&amp;$B695&amp;"' vence hoje, no valor de R$ "&amp;FIXED($L695,2)&amp;". Obrigado!",""))</f>
        <v>0</v>
      </c>
    </row>
    <row r="696" spans="1:15">
      <c r="A696" s="13"/>
      <c r="B696" s="13"/>
      <c r="C696" s="17"/>
      <c r="D696" s="17"/>
      <c r="E696" s="18"/>
      <c r="F696" s="17"/>
      <c r="G696" s="18"/>
      <c r="H696" s="13"/>
      <c r="I696" s="19">
        <f>IF($E696="","",IF($L696&lt;=0.005,"Pago",IF($D696="","Sem vencimento",IF($D696&lt;Hoje,IF(N($G696)&gt;0,"Vencido (parcial)","Vencido"),IF($D696=Hoje,"Vence hoje","A vencer")))))</f>
        <v>0</v>
      </c>
      <c r="J696" s="20">
        <f>IF(OR($E696="",$D696=""),"",IF(AND($L696&gt;0.005,$D696&lt;Hoje),Hoje-$D696,0))</f>
        <v>0</v>
      </c>
      <c r="K696" s="20">
        <f>IF($J696="","",IF($L696&lt;=0.005,"Pago",IF($J696&lt;=0,"A vencer",IF($J696&lt;=15,"1-15 dias",IF($J696&lt;=30,"16-30 dias",IF($J696&lt;=60,"31-60 dias","Mais de 60 dias"))))))</f>
        <v>0</v>
      </c>
      <c r="L696" s="21">
        <f>IF($E696="","",MAX(0,$E696-N($G696)))</f>
        <v>0</v>
      </c>
      <c r="M696" s="21">
        <f>IF(OR($L696="",$J696=""),"",IF($J696&gt;0,ROUND($L696*Multa+$L696*Juros/30*$J696,2),0))</f>
        <v>0</v>
      </c>
      <c r="N696" s="22">
        <f>IF($L696="","",IF($L696&lt;=0.005,0,$L696+N($M696)))</f>
        <v>0</v>
      </c>
      <c r="O696" s="23">
        <f>IF(OR($I696="Vencido",$I696="Vencido (parcial)"),"Olá, "&amp;$A696&amp;"! Consta em aberto '"&amp;$B696&amp;"' com vencimento em "&amp;DAY($D696)&amp;"/"&amp;MONTH($D696)&amp;"/"&amp;YEAR($D696)&amp;", no valor de R$ "&amp;FIXED($N696,2)&amp;" (com multa e juros). Podemos ajudar a regularizar hoje? Obrigado!",IF($I696="Vence hoje","Olá, "&amp;$A696&amp;"! Lembrete: '"&amp;$B696&amp;"' vence hoje, no valor de R$ "&amp;FIXED($L696,2)&amp;". Obrigado!",""))</f>
        <v>0</v>
      </c>
    </row>
    <row r="697" spans="1:15">
      <c r="A697" s="13"/>
      <c r="B697" s="13"/>
      <c r="C697" s="17"/>
      <c r="D697" s="17"/>
      <c r="E697" s="18"/>
      <c r="F697" s="17"/>
      <c r="G697" s="18"/>
      <c r="H697" s="13"/>
      <c r="I697" s="19">
        <f>IF($E697="","",IF($L697&lt;=0.005,"Pago",IF($D697="","Sem vencimento",IF($D697&lt;Hoje,IF(N($G697)&gt;0,"Vencido (parcial)","Vencido"),IF($D697=Hoje,"Vence hoje","A vencer")))))</f>
        <v>0</v>
      </c>
      <c r="J697" s="20">
        <f>IF(OR($E697="",$D697=""),"",IF(AND($L697&gt;0.005,$D697&lt;Hoje),Hoje-$D697,0))</f>
        <v>0</v>
      </c>
      <c r="K697" s="20">
        <f>IF($J697="","",IF($L697&lt;=0.005,"Pago",IF($J697&lt;=0,"A vencer",IF($J697&lt;=15,"1-15 dias",IF($J697&lt;=30,"16-30 dias",IF($J697&lt;=60,"31-60 dias","Mais de 60 dias"))))))</f>
        <v>0</v>
      </c>
      <c r="L697" s="21">
        <f>IF($E697="","",MAX(0,$E697-N($G697)))</f>
        <v>0</v>
      </c>
      <c r="M697" s="21">
        <f>IF(OR($L697="",$J697=""),"",IF($J697&gt;0,ROUND($L697*Multa+$L697*Juros/30*$J697,2),0))</f>
        <v>0</v>
      </c>
      <c r="N697" s="22">
        <f>IF($L697="","",IF($L697&lt;=0.005,0,$L697+N($M697)))</f>
        <v>0</v>
      </c>
      <c r="O697" s="23">
        <f>IF(OR($I697="Vencido",$I697="Vencido (parcial)"),"Olá, "&amp;$A697&amp;"! Consta em aberto '"&amp;$B697&amp;"' com vencimento em "&amp;DAY($D697)&amp;"/"&amp;MONTH($D697)&amp;"/"&amp;YEAR($D697)&amp;", no valor de R$ "&amp;FIXED($N697,2)&amp;" (com multa e juros). Podemos ajudar a regularizar hoje? Obrigado!",IF($I697="Vence hoje","Olá, "&amp;$A697&amp;"! Lembrete: '"&amp;$B697&amp;"' vence hoje, no valor de R$ "&amp;FIXED($L697,2)&amp;". Obrigado!",""))</f>
        <v>0</v>
      </c>
    </row>
    <row r="698" spans="1:15">
      <c r="A698" s="13"/>
      <c r="B698" s="13"/>
      <c r="C698" s="17"/>
      <c r="D698" s="17"/>
      <c r="E698" s="18"/>
      <c r="F698" s="17"/>
      <c r="G698" s="18"/>
      <c r="H698" s="13"/>
      <c r="I698" s="19">
        <f>IF($E698="","",IF($L698&lt;=0.005,"Pago",IF($D698="","Sem vencimento",IF($D698&lt;Hoje,IF(N($G698)&gt;0,"Vencido (parcial)","Vencido"),IF($D698=Hoje,"Vence hoje","A vencer")))))</f>
        <v>0</v>
      </c>
      <c r="J698" s="20">
        <f>IF(OR($E698="",$D698=""),"",IF(AND($L698&gt;0.005,$D698&lt;Hoje),Hoje-$D698,0))</f>
        <v>0</v>
      </c>
      <c r="K698" s="20">
        <f>IF($J698="","",IF($L698&lt;=0.005,"Pago",IF($J698&lt;=0,"A vencer",IF($J698&lt;=15,"1-15 dias",IF($J698&lt;=30,"16-30 dias",IF($J698&lt;=60,"31-60 dias","Mais de 60 dias"))))))</f>
        <v>0</v>
      </c>
      <c r="L698" s="21">
        <f>IF($E698="","",MAX(0,$E698-N($G698)))</f>
        <v>0</v>
      </c>
      <c r="M698" s="21">
        <f>IF(OR($L698="",$J698=""),"",IF($J698&gt;0,ROUND($L698*Multa+$L698*Juros/30*$J698,2),0))</f>
        <v>0</v>
      </c>
      <c r="N698" s="22">
        <f>IF($L698="","",IF($L698&lt;=0.005,0,$L698+N($M698)))</f>
        <v>0</v>
      </c>
      <c r="O698" s="23">
        <f>IF(OR($I698="Vencido",$I698="Vencido (parcial)"),"Olá, "&amp;$A698&amp;"! Consta em aberto '"&amp;$B698&amp;"' com vencimento em "&amp;DAY($D698)&amp;"/"&amp;MONTH($D698)&amp;"/"&amp;YEAR($D698)&amp;", no valor de R$ "&amp;FIXED($N698,2)&amp;" (com multa e juros). Podemos ajudar a regularizar hoje? Obrigado!",IF($I698="Vence hoje","Olá, "&amp;$A698&amp;"! Lembrete: '"&amp;$B698&amp;"' vence hoje, no valor de R$ "&amp;FIXED($L698,2)&amp;". Obrigado!",""))</f>
        <v>0</v>
      </c>
    </row>
    <row r="699" spans="1:15">
      <c r="A699" s="13"/>
      <c r="B699" s="13"/>
      <c r="C699" s="17"/>
      <c r="D699" s="17"/>
      <c r="E699" s="18"/>
      <c r="F699" s="17"/>
      <c r="G699" s="18"/>
      <c r="H699" s="13"/>
      <c r="I699" s="19">
        <f>IF($E699="","",IF($L699&lt;=0.005,"Pago",IF($D699="","Sem vencimento",IF($D699&lt;Hoje,IF(N($G699)&gt;0,"Vencido (parcial)","Vencido"),IF($D699=Hoje,"Vence hoje","A vencer")))))</f>
        <v>0</v>
      </c>
      <c r="J699" s="20">
        <f>IF(OR($E699="",$D699=""),"",IF(AND($L699&gt;0.005,$D699&lt;Hoje),Hoje-$D699,0))</f>
        <v>0</v>
      </c>
      <c r="K699" s="20">
        <f>IF($J699="","",IF($L699&lt;=0.005,"Pago",IF($J699&lt;=0,"A vencer",IF($J699&lt;=15,"1-15 dias",IF($J699&lt;=30,"16-30 dias",IF($J699&lt;=60,"31-60 dias","Mais de 60 dias"))))))</f>
        <v>0</v>
      </c>
      <c r="L699" s="21">
        <f>IF($E699="","",MAX(0,$E699-N($G699)))</f>
        <v>0</v>
      </c>
      <c r="M699" s="21">
        <f>IF(OR($L699="",$J699=""),"",IF($J699&gt;0,ROUND($L699*Multa+$L699*Juros/30*$J699,2),0))</f>
        <v>0</v>
      </c>
      <c r="N699" s="22">
        <f>IF($L699="","",IF($L699&lt;=0.005,0,$L699+N($M699)))</f>
        <v>0</v>
      </c>
      <c r="O699" s="23">
        <f>IF(OR($I699="Vencido",$I699="Vencido (parcial)"),"Olá, "&amp;$A699&amp;"! Consta em aberto '"&amp;$B699&amp;"' com vencimento em "&amp;DAY($D699)&amp;"/"&amp;MONTH($D699)&amp;"/"&amp;YEAR($D699)&amp;", no valor de R$ "&amp;FIXED($N699,2)&amp;" (com multa e juros). Podemos ajudar a regularizar hoje? Obrigado!",IF($I699="Vence hoje","Olá, "&amp;$A699&amp;"! Lembrete: '"&amp;$B699&amp;"' vence hoje, no valor de R$ "&amp;FIXED($L699,2)&amp;". Obrigado!",""))</f>
        <v>0</v>
      </c>
    </row>
    <row r="700" spans="1:15">
      <c r="A700" s="13"/>
      <c r="B700" s="13"/>
      <c r="C700" s="17"/>
      <c r="D700" s="17"/>
      <c r="E700" s="18"/>
      <c r="F700" s="17"/>
      <c r="G700" s="18"/>
      <c r="H700" s="13"/>
      <c r="I700" s="19">
        <f>IF($E700="","",IF($L700&lt;=0.005,"Pago",IF($D700="","Sem vencimento",IF($D700&lt;Hoje,IF(N($G700)&gt;0,"Vencido (parcial)","Vencido"),IF($D700=Hoje,"Vence hoje","A vencer")))))</f>
        <v>0</v>
      </c>
      <c r="J700" s="20">
        <f>IF(OR($E700="",$D700=""),"",IF(AND($L700&gt;0.005,$D700&lt;Hoje),Hoje-$D700,0))</f>
        <v>0</v>
      </c>
      <c r="K700" s="20">
        <f>IF($J700="","",IF($L700&lt;=0.005,"Pago",IF($J700&lt;=0,"A vencer",IF($J700&lt;=15,"1-15 dias",IF($J700&lt;=30,"16-30 dias",IF($J700&lt;=60,"31-60 dias","Mais de 60 dias"))))))</f>
        <v>0</v>
      </c>
      <c r="L700" s="21">
        <f>IF($E700="","",MAX(0,$E700-N($G700)))</f>
        <v>0</v>
      </c>
      <c r="M700" s="21">
        <f>IF(OR($L700="",$J700=""),"",IF($J700&gt;0,ROUND($L700*Multa+$L700*Juros/30*$J700,2),0))</f>
        <v>0</v>
      </c>
      <c r="N700" s="22">
        <f>IF($L700="","",IF($L700&lt;=0.005,0,$L700+N($M700)))</f>
        <v>0</v>
      </c>
      <c r="O700" s="23">
        <f>IF(OR($I700="Vencido",$I700="Vencido (parcial)"),"Olá, "&amp;$A700&amp;"! Consta em aberto '"&amp;$B700&amp;"' com vencimento em "&amp;DAY($D700)&amp;"/"&amp;MONTH($D700)&amp;"/"&amp;YEAR($D700)&amp;", no valor de R$ "&amp;FIXED($N700,2)&amp;" (com multa e juros). Podemos ajudar a regularizar hoje? Obrigado!",IF($I700="Vence hoje","Olá, "&amp;$A700&amp;"! Lembrete: '"&amp;$B700&amp;"' vence hoje, no valor de R$ "&amp;FIXED($L700,2)&amp;". Obrigado!",""))</f>
        <v>0</v>
      </c>
    </row>
    <row r="701" spans="1:15">
      <c r="A701" s="13"/>
      <c r="B701" s="13"/>
      <c r="C701" s="17"/>
      <c r="D701" s="17"/>
      <c r="E701" s="18"/>
      <c r="F701" s="17"/>
      <c r="G701" s="18"/>
      <c r="H701" s="13"/>
      <c r="I701" s="19">
        <f>IF($E701="","",IF($L701&lt;=0.005,"Pago",IF($D701="","Sem vencimento",IF($D701&lt;Hoje,IF(N($G701)&gt;0,"Vencido (parcial)","Vencido"),IF($D701=Hoje,"Vence hoje","A vencer")))))</f>
        <v>0</v>
      </c>
      <c r="J701" s="20">
        <f>IF(OR($E701="",$D701=""),"",IF(AND($L701&gt;0.005,$D701&lt;Hoje),Hoje-$D701,0))</f>
        <v>0</v>
      </c>
      <c r="K701" s="20">
        <f>IF($J701="","",IF($L701&lt;=0.005,"Pago",IF($J701&lt;=0,"A vencer",IF($J701&lt;=15,"1-15 dias",IF($J701&lt;=30,"16-30 dias",IF($J701&lt;=60,"31-60 dias","Mais de 60 dias"))))))</f>
        <v>0</v>
      </c>
      <c r="L701" s="21">
        <f>IF($E701="","",MAX(0,$E701-N($G701)))</f>
        <v>0</v>
      </c>
      <c r="M701" s="21">
        <f>IF(OR($L701="",$J701=""),"",IF($J701&gt;0,ROUND($L701*Multa+$L701*Juros/30*$J701,2),0))</f>
        <v>0</v>
      </c>
      <c r="N701" s="22">
        <f>IF($L701="","",IF($L701&lt;=0.005,0,$L701+N($M701)))</f>
        <v>0</v>
      </c>
      <c r="O701" s="23">
        <f>IF(OR($I701="Vencido",$I701="Vencido (parcial)"),"Olá, "&amp;$A701&amp;"! Consta em aberto '"&amp;$B701&amp;"' com vencimento em "&amp;DAY($D701)&amp;"/"&amp;MONTH($D701)&amp;"/"&amp;YEAR($D701)&amp;", no valor de R$ "&amp;FIXED($N701,2)&amp;" (com multa e juros). Podemos ajudar a regularizar hoje? Obrigado!",IF($I701="Vence hoje","Olá, "&amp;$A701&amp;"! Lembrete: '"&amp;$B701&amp;"' vence hoje, no valor de R$ "&amp;FIXED($L701,2)&amp;". Obrigado!",""))</f>
        <v>0</v>
      </c>
    </row>
    <row r="702" spans="1:15">
      <c r="A702" s="13"/>
      <c r="B702" s="13"/>
      <c r="C702" s="17"/>
      <c r="D702" s="17"/>
      <c r="E702" s="18"/>
      <c r="F702" s="17"/>
      <c r="G702" s="18"/>
      <c r="H702" s="13"/>
      <c r="I702" s="19">
        <f>IF($E702="","",IF($L702&lt;=0.005,"Pago",IF($D702="","Sem vencimento",IF($D702&lt;Hoje,IF(N($G702)&gt;0,"Vencido (parcial)","Vencido"),IF($D702=Hoje,"Vence hoje","A vencer")))))</f>
        <v>0</v>
      </c>
      <c r="J702" s="20">
        <f>IF(OR($E702="",$D702=""),"",IF(AND($L702&gt;0.005,$D702&lt;Hoje),Hoje-$D702,0))</f>
        <v>0</v>
      </c>
      <c r="K702" s="20">
        <f>IF($J702="","",IF($L702&lt;=0.005,"Pago",IF($J702&lt;=0,"A vencer",IF($J702&lt;=15,"1-15 dias",IF($J702&lt;=30,"16-30 dias",IF($J702&lt;=60,"31-60 dias","Mais de 60 dias"))))))</f>
        <v>0</v>
      </c>
      <c r="L702" s="21">
        <f>IF($E702="","",MAX(0,$E702-N($G702)))</f>
        <v>0</v>
      </c>
      <c r="M702" s="21">
        <f>IF(OR($L702="",$J702=""),"",IF($J702&gt;0,ROUND($L702*Multa+$L702*Juros/30*$J702,2),0))</f>
        <v>0</v>
      </c>
      <c r="N702" s="22">
        <f>IF($L702="","",IF($L702&lt;=0.005,0,$L702+N($M702)))</f>
        <v>0</v>
      </c>
      <c r="O702" s="23">
        <f>IF(OR($I702="Vencido",$I702="Vencido (parcial)"),"Olá, "&amp;$A702&amp;"! Consta em aberto '"&amp;$B702&amp;"' com vencimento em "&amp;DAY($D702)&amp;"/"&amp;MONTH($D702)&amp;"/"&amp;YEAR($D702)&amp;", no valor de R$ "&amp;FIXED($N702,2)&amp;" (com multa e juros). Podemos ajudar a regularizar hoje? Obrigado!",IF($I702="Vence hoje","Olá, "&amp;$A702&amp;"! Lembrete: '"&amp;$B702&amp;"' vence hoje, no valor de R$ "&amp;FIXED($L702,2)&amp;". Obrigado!",""))</f>
        <v>0</v>
      </c>
    </row>
    <row r="703" spans="1:15">
      <c r="A703" s="13"/>
      <c r="B703" s="13"/>
      <c r="C703" s="17"/>
      <c r="D703" s="17"/>
      <c r="E703" s="18"/>
      <c r="F703" s="17"/>
      <c r="G703" s="18"/>
      <c r="H703" s="13"/>
      <c r="I703" s="19">
        <f>IF($E703="","",IF($L703&lt;=0.005,"Pago",IF($D703="","Sem vencimento",IF($D703&lt;Hoje,IF(N($G703)&gt;0,"Vencido (parcial)","Vencido"),IF($D703=Hoje,"Vence hoje","A vencer")))))</f>
        <v>0</v>
      </c>
      <c r="J703" s="20">
        <f>IF(OR($E703="",$D703=""),"",IF(AND($L703&gt;0.005,$D703&lt;Hoje),Hoje-$D703,0))</f>
        <v>0</v>
      </c>
      <c r="K703" s="20">
        <f>IF($J703="","",IF($L703&lt;=0.005,"Pago",IF($J703&lt;=0,"A vencer",IF($J703&lt;=15,"1-15 dias",IF($J703&lt;=30,"16-30 dias",IF($J703&lt;=60,"31-60 dias","Mais de 60 dias"))))))</f>
        <v>0</v>
      </c>
      <c r="L703" s="21">
        <f>IF($E703="","",MAX(0,$E703-N($G703)))</f>
        <v>0</v>
      </c>
      <c r="M703" s="21">
        <f>IF(OR($L703="",$J703=""),"",IF($J703&gt;0,ROUND($L703*Multa+$L703*Juros/30*$J703,2),0))</f>
        <v>0</v>
      </c>
      <c r="N703" s="22">
        <f>IF($L703="","",IF($L703&lt;=0.005,0,$L703+N($M703)))</f>
        <v>0</v>
      </c>
      <c r="O703" s="23">
        <f>IF(OR($I703="Vencido",$I703="Vencido (parcial)"),"Olá, "&amp;$A703&amp;"! Consta em aberto '"&amp;$B703&amp;"' com vencimento em "&amp;DAY($D703)&amp;"/"&amp;MONTH($D703)&amp;"/"&amp;YEAR($D703)&amp;", no valor de R$ "&amp;FIXED($N703,2)&amp;" (com multa e juros). Podemos ajudar a regularizar hoje? Obrigado!",IF($I703="Vence hoje","Olá, "&amp;$A703&amp;"! Lembrete: '"&amp;$B703&amp;"' vence hoje, no valor de R$ "&amp;FIXED($L703,2)&amp;". Obrigado!",""))</f>
        <v>0</v>
      </c>
    </row>
    <row r="704" spans="1:15">
      <c r="A704" s="13"/>
      <c r="B704" s="13"/>
      <c r="C704" s="17"/>
      <c r="D704" s="17"/>
      <c r="E704" s="18"/>
      <c r="F704" s="17"/>
      <c r="G704" s="18"/>
      <c r="H704" s="13"/>
      <c r="I704" s="19">
        <f>IF($E704="","",IF($L704&lt;=0.005,"Pago",IF($D704="","Sem vencimento",IF($D704&lt;Hoje,IF(N($G704)&gt;0,"Vencido (parcial)","Vencido"),IF($D704=Hoje,"Vence hoje","A vencer")))))</f>
        <v>0</v>
      </c>
      <c r="J704" s="20">
        <f>IF(OR($E704="",$D704=""),"",IF(AND($L704&gt;0.005,$D704&lt;Hoje),Hoje-$D704,0))</f>
        <v>0</v>
      </c>
      <c r="K704" s="20">
        <f>IF($J704="","",IF($L704&lt;=0.005,"Pago",IF($J704&lt;=0,"A vencer",IF($J704&lt;=15,"1-15 dias",IF($J704&lt;=30,"16-30 dias",IF($J704&lt;=60,"31-60 dias","Mais de 60 dias"))))))</f>
        <v>0</v>
      </c>
      <c r="L704" s="21">
        <f>IF($E704="","",MAX(0,$E704-N($G704)))</f>
        <v>0</v>
      </c>
      <c r="M704" s="21">
        <f>IF(OR($L704="",$J704=""),"",IF($J704&gt;0,ROUND($L704*Multa+$L704*Juros/30*$J704,2),0))</f>
        <v>0</v>
      </c>
      <c r="N704" s="22">
        <f>IF($L704="","",IF($L704&lt;=0.005,0,$L704+N($M704)))</f>
        <v>0</v>
      </c>
      <c r="O704" s="23">
        <f>IF(OR($I704="Vencido",$I704="Vencido (parcial)"),"Olá, "&amp;$A704&amp;"! Consta em aberto '"&amp;$B704&amp;"' com vencimento em "&amp;DAY($D704)&amp;"/"&amp;MONTH($D704)&amp;"/"&amp;YEAR($D704)&amp;", no valor de R$ "&amp;FIXED($N704,2)&amp;" (com multa e juros). Podemos ajudar a regularizar hoje? Obrigado!",IF($I704="Vence hoje","Olá, "&amp;$A704&amp;"! Lembrete: '"&amp;$B704&amp;"' vence hoje, no valor de R$ "&amp;FIXED($L704,2)&amp;". Obrigado!",""))</f>
        <v>0</v>
      </c>
    </row>
    <row r="705" spans="1:15">
      <c r="A705" s="13"/>
      <c r="B705" s="13"/>
      <c r="C705" s="17"/>
      <c r="D705" s="17"/>
      <c r="E705" s="18"/>
      <c r="F705" s="17"/>
      <c r="G705" s="18"/>
      <c r="H705" s="13"/>
      <c r="I705" s="19">
        <f>IF($E705="","",IF($L705&lt;=0.005,"Pago",IF($D705="","Sem vencimento",IF($D705&lt;Hoje,IF(N($G705)&gt;0,"Vencido (parcial)","Vencido"),IF($D705=Hoje,"Vence hoje","A vencer")))))</f>
        <v>0</v>
      </c>
      <c r="J705" s="20">
        <f>IF(OR($E705="",$D705=""),"",IF(AND($L705&gt;0.005,$D705&lt;Hoje),Hoje-$D705,0))</f>
        <v>0</v>
      </c>
      <c r="K705" s="20">
        <f>IF($J705="","",IF($L705&lt;=0.005,"Pago",IF($J705&lt;=0,"A vencer",IF($J705&lt;=15,"1-15 dias",IF($J705&lt;=30,"16-30 dias",IF($J705&lt;=60,"31-60 dias","Mais de 60 dias"))))))</f>
        <v>0</v>
      </c>
      <c r="L705" s="21">
        <f>IF($E705="","",MAX(0,$E705-N($G705)))</f>
        <v>0</v>
      </c>
      <c r="M705" s="21">
        <f>IF(OR($L705="",$J705=""),"",IF($J705&gt;0,ROUND($L705*Multa+$L705*Juros/30*$J705,2),0))</f>
        <v>0</v>
      </c>
      <c r="N705" s="22">
        <f>IF($L705="","",IF($L705&lt;=0.005,0,$L705+N($M705)))</f>
        <v>0</v>
      </c>
      <c r="O705" s="23">
        <f>IF(OR($I705="Vencido",$I705="Vencido (parcial)"),"Olá, "&amp;$A705&amp;"! Consta em aberto '"&amp;$B705&amp;"' com vencimento em "&amp;DAY($D705)&amp;"/"&amp;MONTH($D705)&amp;"/"&amp;YEAR($D705)&amp;", no valor de R$ "&amp;FIXED($N705,2)&amp;" (com multa e juros). Podemos ajudar a regularizar hoje? Obrigado!",IF($I705="Vence hoje","Olá, "&amp;$A705&amp;"! Lembrete: '"&amp;$B705&amp;"' vence hoje, no valor de R$ "&amp;FIXED($L705,2)&amp;". Obrigado!",""))</f>
        <v>0</v>
      </c>
    </row>
    <row r="706" spans="1:15">
      <c r="A706" s="13"/>
      <c r="B706" s="13"/>
      <c r="C706" s="17"/>
      <c r="D706" s="17"/>
      <c r="E706" s="18"/>
      <c r="F706" s="17"/>
      <c r="G706" s="18"/>
      <c r="H706" s="13"/>
      <c r="I706" s="19">
        <f>IF($E706="","",IF($L706&lt;=0.005,"Pago",IF($D706="","Sem vencimento",IF($D706&lt;Hoje,IF(N($G706)&gt;0,"Vencido (parcial)","Vencido"),IF($D706=Hoje,"Vence hoje","A vencer")))))</f>
        <v>0</v>
      </c>
      <c r="J706" s="20">
        <f>IF(OR($E706="",$D706=""),"",IF(AND($L706&gt;0.005,$D706&lt;Hoje),Hoje-$D706,0))</f>
        <v>0</v>
      </c>
      <c r="K706" s="20">
        <f>IF($J706="","",IF($L706&lt;=0.005,"Pago",IF($J706&lt;=0,"A vencer",IF($J706&lt;=15,"1-15 dias",IF($J706&lt;=30,"16-30 dias",IF($J706&lt;=60,"31-60 dias","Mais de 60 dias"))))))</f>
        <v>0</v>
      </c>
      <c r="L706" s="21">
        <f>IF($E706="","",MAX(0,$E706-N($G706)))</f>
        <v>0</v>
      </c>
      <c r="M706" s="21">
        <f>IF(OR($L706="",$J706=""),"",IF($J706&gt;0,ROUND($L706*Multa+$L706*Juros/30*$J706,2),0))</f>
        <v>0</v>
      </c>
      <c r="N706" s="22">
        <f>IF($L706="","",IF($L706&lt;=0.005,0,$L706+N($M706)))</f>
        <v>0</v>
      </c>
      <c r="O706" s="23">
        <f>IF(OR($I706="Vencido",$I706="Vencido (parcial)"),"Olá, "&amp;$A706&amp;"! Consta em aberto '"&amp;$B706&amp;"' com vencimento em "&amp;DAY($D706)&amp;"/"&amp;MONTH($D706)&amp;"/"&amp;YEAR($D706)&amp;", no valor de R$ "&amp;FIXED($N706,2)&amp;" (com multa e juros). Podemos ajudar a regularizar hoje? Obrigado!",IF($I706="Vence hoje","Olá, "&amp;$A706&amp;"! Lembrete: '"&amp;$B706&amp;"' vence hoje, no valor de R$ "&amp;FIXED($L706,2)&amp;". Obrigado!",""))</f>
        <v>0</v>
      </c>
    </row>
    <row r="707" spans="1:15">
      <c r="A707" s="13"/>
      <c r="B707" s="13"/>
      <c r="C707" s="17"/>
      <c r="D707" s="17"/>
      <c r="E707" s="18"/>
      <c r="F707" s="17"/>
      <c r="G707" s="18"/>
      <c r="H707" s="13"/>
      <c r="I707" s="19">
        <f>IF($E707="","",IF($L707&lt;=0.005,"Pago",IF($D707="","Sem vencimento",IF($D707&lt;Hoje,IF(N($G707)&gt;0,"Vencido (parcial)","Vencido"),IF($D707=Hoje,"Vence hoje","A vencer")))))</f>
        <v>0</v>
      </c>
      <c r="J707" s="20">
        <f>IF(OR($E707="",$D707=""),"",IF(AND($L707&gt;0.005,$D707&lt;Hoje),Hoje-$D707,0))</f>
        <v>0</v>
      </c>
      <c r="K707" s="20">
        <f>IF($J707="","",IF($L707&lt;=0.005,"Pago",IF($J707&lt;=0,"A vencer",IF($J707&lt;=15,"1-15 dias",IF($J707&lt;=30,"16-30 dias",IF($J707&lt;=60,"31-60 dias","Mais de 60 dias"))))))</f>
        <v>0</v>
      </c>
      <c r="L707" s="21">
        <f>IF($E707="","",MAX(0,$E707-N($G707)))</f>
        <v>0</v>
      </c>
      <c r="M707" s="21">
        <f>IF(OR($L707="",$J707=""),"",IF($J707&gt;0,ROUND($L707*Multa+$L707*Juros/30*$J707,2),0))</f>
        <v>0</v>
      </c>
      <c r="N707" s="22">
        <f>IF($L707="","",IF($L707&lt;=0.005,0,$L707+N($M707)))</f>
        <v>0</v>
      </c>
      <c r="O707" s="23">
        <f>IF(OR($I707="Vencido",$I707="Vencido (parcial)"),"Olá, "&amp;$A707&amp;"! Consta em aberto '"&amp;$B707&amp;"' com vencimento em "&amp;DAY($D707)&amp;"/"&amp;MONTH($D707)&amp;"/"&amp;YEAR($D707)&amp;", no valor de R$ "&amp;FIXED($N707,2)&amp;" (com multa e juros). Podemos ajudar a regularizar hoje? Obrigado!",IF($I707="Vence hoje","Olá, "&amp;$A707&amp;"! Lembrete: '"&amp;$B707&amp;"' vence hoje, no valor de R$ "&amp;FIXED($L707,2)&amp;". Obrigado!",""))</f>
        <v>0</v>
      </c>
    </row>
    <row r="708" spans="1:15">
      <c r="A708" s="13"/>
      <c r="B708" s="13"/>
      <c r="C708" s="17"/>
      <c r="D708" s="17"/>
      <c r="E708" s="18"/>
      <c r="F708" s="17"/>
      <c r="G708" s="18"/>
      <c r="H708" s="13"/>
      <c r="I708" s="19">
        <f>IF($E708="","",IF($L708&lt;=0.005,"Pago",IF($D708="","Sem vencimento",IF($D708&lt;Hoje,IF(N($G708)&gt;0,"Vencido (parcial)","Vencido"),IF($D708=Hoje,"Vence hoje","A vencer")))))</f>
        <v>0</v>
      </c>
      <c r="J708" s="20">
        <f>IF(OR($E708="",$D708=""),"",IF(AND($L708&gt;0.005,$D708&lt;Hoje),Hoje-$D708,0))</f>
        <v>0</v>
      </c>
      <c r="K708" s="20">
        <f>IF($J708="","",IF($L708&lt;=0.005,"Pago",IF($J708&lt;=0,"A vencer",IF($J708&lt;=15,"1-15 dias",IF($J708&lt;=30,"16-30 dias",IF($J708&lt;=60,"31-60 dias","Mais de 60 dias"))))))</f>
        <v>0</v>
      </c>
      <c r="L708" s="21">
        <f>IF($E708="","",MAX(0,$E708-N($G708)))</f>
        <v>0</v>
      </c>
      <c r="M708" s="21">
        <f>IF(OR($L708="",$J708=""),"",IF($J708&gt;0,ROUND($L708*Multa+$L708*Juros/30*$J708,2),0))</f>
        <v>0</v>
      </c>
      <c r="N708" s="22">
        <f>IF($L708="","",IF($L708&lt;=0.005,0,$L708+N($M708)))</f>
        <v>0</v>
      </c>
      <c r="O708" s="23">
        <f>IF(OR($I708="Vencido",$I708="Vencido (parcial)"),"Olá, "&amp;$A708&amp;"! Consta em aberto '"&amp;$B708&amp;"' com vencimento em "&amp;DAY($D708)&amp;"/"&amp;MONTH($D708)&amp;"/"&amp;YEAR($D708)&amp;", no valor de R$ "&amp;FIXED($N708,2)&amp;" (com multa e juros). Podemos ajudar a regularizar hoje? Obrigado!",IF($I708="Vence hoje","Olá, "&amp;$A708&amp;"! Lembrete: '"&amp;$B708&amp;"' vence hoje, no valor de R$ "&amp;FIXED($L708,2)&amp;". Obrigado!",""))</f>
        <v>0</v>
      </c>
    </row>
    <row r="709" spans="1:15">
      <c r="A709" s="13"/>
      <c r="B709" s="13"/>
      <c r="C709" s="17"/>
      <c r="D709" s="17"/>
      <c r="E709" s="18"/>
      <c r="F709" s="17"/>
      <c r="G709" s="18"/>
      <c r="H709" s="13"/>
      <c r="I709" s="19">
        <f>IF($E709="","",IF($L709&lt;=0.005,"Pago",IF($D709="","Sem vencimento",IF($D709&lt;Hoje,IF(N($G709)&gt;0,"Vencido (parcial)","Vencido"),IF($D709=Hoje,"Vence hoje","A vencer")))))</f>
        <v>0</v>
      </c>
      <c r="J709" s="20">
        <f>IF(OR($E709="",$D709=""),"",IF(AND($L709&gt;0.005,$D709&lt;Hoje),Hoje-$D709,0))</f>
        <v>0</v>
      </c>
      <c r="K709" s="20">
        <f>IF($J709="","",IF($L709&lt;=0.005,"Pago",IF($J709&lt;=0,"A vencer",IF($J709&lt;=15,"1-15 dias",IF($J709&lt;=30,"16-30 dias",IF($J709&lt;=60,"31-60 dias","Mais de 60 dias"))))))</f>
        <v>0</v>
      </c>
      <c r="L709" s="21">
        <f>IF($E709="","",MAX(0,$E709-N($G709)))</f>
        <v>0</v>
      </c>
      <c r="M709" s="21">
        <f>IF(OR($L709="",$J709=""),"",IF($J709&gt;0,ROUND($L709*Multa+$L709*Juros/30*$J709,2),0))</f>
        <v>0</v>
      </c>
      <c r="N709" s="22">
        <f>IF($L709="","",IF($L709&lt;=0.005,0,$L709+N($M709)))</f>
        <v>0</v>
      </c>
      <c r="O709" s="23">
        <f>IF(OR($I709="Vencido",$I709="Vencido (parcial)"),"Olá, "&amp;$A709&amp;"! Consta em aberto '"&amp;$B709&amp;"' com vencimento em "&amp;DAY($D709)&amp;"/"&amp;MONTH($D709)&amp;"/"&amp;YEAR($D709)&amp;", no valor de R$ "&amp;FIXED($N709,2)&amp;" (com multa e juros). Podemos ajudar a regularizar hoje? Obrigado!",IF($I709="Vence hoje","Olá, "&amp;$A709&amp;"! Lembrete: '"&amp;$B709&amp;"' vence hoje, no valor de R$ "&amp;FIXED($L709,2)&amp;". Obrigado!",""))</f>
        <v>0</v>
      </c>
    </row>
    <row r="710" spans="1:15">
      <c r="A710" s="13"/>
      <c r="B710" s="13"/>
      <c r="C710" s="17"/>
      <c r="D710" s="17"/>
      <c r="E710" s="18"/>
      <c r="F710" s="17"/>
      <c r="G710" s="18"/>
      <c r="H710" s="13"/>
      <c r="I710" s="19">
        <f>IF($E710="","",IF($L710&lt;=0.005,"Pago",IF($D710="","Sem vencimento",IF($D710&lt;Hoje,IF(N($G710)&gt;0,"Vencido (parcial)","Vencido"),IF($D710=Hoje,"Vence hoje","A vencer")))))</f>
        <v>0</v>
      </c>
      <c r="J710" s="20">
        <f>IF(OR($E710="",$D710=""),"",IF(AND($L710&gt;0.005,$D710&lt;Hoje),Hoje-$D710,0))</f>
        <v>0</v>
      </c>
      <c r="K710" s="20">
        <f>IF($J710="","",IF($L710&lt;=0.005,"Pago",IF($J710&lt;=0,"A vencer",IF($J710&lt;=15,"1-15 dias",IF($J710&lt;=30,"16-30 dias",IF($J710&lt;=60,"31-60 dias","Mais de 60 dias"))))))</f>
        <v>0</v>
      </c>
      <c r="L710" s="21">
        <f>IF($E710="","",MAX(0,$E710-N($G710)))</f>
        <v>0</v>
      </c>
      <c r="M710" s="21">
        <f>IF(OR($L710="",$J710=""),"",IF($J710&gt;0,ROUND($L710*Multa+$L710*Juros/30*$J710,2),0))</f>
        <v>0</v>
      </c>
      <c r="N710" s="22">
        <f>IF($L710="","",IF($L710&lt;=0.005,0,$L710+N($M710)))</f>
        <v>0</v>
      </c>
      <c r="O710" s="23">
        <f>IF(OR($I710="Vencido",$I710="Vencido (parcial)"),"Olá, "&amp;$A710&amp;"! Consta em aberto '"&amp;$B710&amp;"' com vencimento em "&amp;DAY($D710)&amp;"/"&amp;MONTH($D710)&amp;"/"&amp;YEAR($D710)&amp;", no valor de R$ "&amp;FIXED($N710,2)&amp;" (com multa e juros). Podemos ajudar a regularizar hoje? Obrigado!",IF($I710="Vence hoje","Olá, "&amp;$A710&amp;"! Lembrete: '"&amp;$B710&amp;"' vence hoje, no valor de R$ "&amp;FIXED($L710,2)&amp;". Obrigado!",""))</f>
        <v>0</v>
      </c>
    </row>
    <row r="711" spans="1:15">
      <c r="A711" s="13"/>
      <c r="B711" s="13"/>
      <c r="C711" s="17"/>
      <c r="D711" s="17"/>
      <c r="E711" s="18"/>
      <c r="F711" s="17"/>
      <c r="G711" s="18"/>
      <c r="H711" s="13"/>
      <c r="I711" s="19">
        <f>IF($E711="","",IF($L711&lt;=0.005,"Pago",IF($D711="","Sem vencimento",IF($D711&lt;Hoje,IF(N($G711)&gt;0,"Vencido (parcial)","Vencido"),IF($D711=Hoje,"Vence hoje","A vencer")))))</f>
        <v>0</v>
      </c>
      <c r="J711" s="20">
        <f>IF(OR($E711="",$D711=""),"",IF(AND($L711&gt;0.005,$D711&lt;Hoje),Hoje-$D711,0))</f>
        <v>0</v>
      </c>
      <c r="K711" s="20">
        <f>IF($J711="","",IF($L711&lt;=0.005,"Pago",IF($J711&lt;=0,"A vencer",IF($J711&lt;=15,"1-15 dias",IF($J711&lt;=30,"16-30 dias",IF($J711&lt;=60,"31-60 dias","Mais de 60 dias"))))))</f>
        <v>0</v>
      </c>
      <c r="L711" s="21">
        <f>IF($E711="","",MAX(0,$E711-N($G711)))</f>
        <v>0</v>
      </c>
      <c r="M711" s="21">
        <f>IF(OR($L711="",$J711=""),"",IF($J711&gt;0,ROUND($L711*Multa+$L711*Juros/30*$J711,2),0))</f>
        <v>0</v>
      </c>
      <c r="N711" s="22">
        <f>IF($L711="","",IF($L711&lt;=0.005,0,$L711+N($M711)))</f>
        <v>0</v>
      </c>
      <c r="O711" s="23">
        <f>IF(OR($I711="Vencido",$I711="Vencido (parcial)"),"Olá, "&amp;$A711&amp;"! Consta em aberto '"&amp;$B711&amp;"' com vencimento em "&amp;DAY($D711)&amp;"/"&amp;MONTH($D711)&amp;"/"&amp;YEAR($D711)&amp;", no valor de R$ "&amp;FIXED($N711,2)&amp;" (com multa e juros). Podemos ajudar a regularizar hoje? Obrigado!",IF($I711="Vence hoje","Olá, "&amp;$A711&amp;"! Lembrete: '"&amp;$B711&amp;"' vence hoje, no valor de R$ "&amp;FIXED($L711,2)&amp;". Obrigado!",""))</f>
        <v>0</v>
      </c>
    </row>
    <row r="712" spans="1:15">
      <c r="A712" s="13"/>
      <c r="B712" s="13"/>
      <c r="C712" s="17"/>
      <c r="D712" s="17"/>
      <c r="E712" s="18"/>
      <c r="F712" s="17"/>
      <c r="G712" s="18"/>
      <c r="H712" s="13"/>
      <c r="I712" s="19">
        <f>IF($E712="","",IF($L712&lt;=0.005,"Pago",IF($D712="","Sem vencimento",IF($D712&lt;Hoje,IF(N($G712)&gt;0,"Vencido (parcial)","Vencido"),IF($D712=Hoje,"Vence hoje","A vencer")))))</f>
        <v>0</v>
      </c>
      <c r="J712" s="20">
        <f>IF(OR($E712="",$D712=""),"",IF(AND($L712&gt;0.005,$D712&lt;Hoje),Hoje-$D712,0))</f>
        <v>0</v>
      </c>
      <c r="K712" s="20">
        <f>IF($J712="","",IF($L712&lt;=0.005,"Pago",IF($J712&lt;=0,"A vencer",IF($J712&lt;=15,"1-15 dias",IF($J712&lt;=30,"16-30 dias",IF($J712&lt;=60,"31-60 dias","Mais de 60 dias"))))))</f>
        <v>0</v>
      </c>
      <c r="L712" s="21">
        <f>IF($E712="","",MAX(0,$E712-N($G712)))</f>
        <v>0</v>
      </c>
      <c r="M712" s="21">
        <f>IF(OR($L712="",$J712=""),"",IF($J712&gt;0,ROUND($L712*Multa+$L712*Juros/30*$J712,2),0))</f>
        <v>0</v>
      </c>
      <c r="N712" s="22">
        <f>IF($L712="","",IF($L712&lt;=0.005,0,$L712+N($M712)))</f>
        <v>0</v>
      </c>
      <c r="O712" s="23">
        <f>IF(OR($I712="Vencido",$I712="Vencido (parcial)"),"Olá, "&amp;$A712&amp;"! Consta em aberto '"&amp;$B712&amp;"' com vencimento em "&amp;DAY($D712)&amp;"/"&amp;MONTH($D712)&amp;"/"&amp;YEAR($D712)&amp;", no valor de R$ "&amp;FIXED($N712,2)&amp;" (com multa e juros). Podemos ajudar a regularizar hoje? Obrigado!",IF($I712="Vence hoje","Olá, "&amp;$A712&amp;"! Lembrete: '"&amp;$B712&amp;"' vence hoje, no valor de R$ "&amp;FIXED($L712,2)&amp;". Obrigado!",""))</f>
        <v>0</v>
      </c>
    </row>
    <row r="713" spans="1:15">
      <c r="A713" s="13"/>
      <c r="B713" s="13"/>
      <c r="C713" s="17"/>
      <c r="D713" s="17"/>
      <c r="E713" s="18"/>
      <c r="F713" s="17"/>
      <c r="G713" s="18"/>
      <c r="H713" s="13"/>
      <c r="I713" s="19">
        <f>IF($E713="","",IF($L713&lt;=0.005,"Pago",IF($D713="","Sem vencimento",IF($D713&lt;Hoje,IF(N($G713)&gt;0,"Vencido (parcial)","Vencido"),IF($D713=Hoje,"Vence hoje","A vencer")))))</f>
        <v>0</v>
      </c>
      <c r="J713" s="20">
        <f>IF(OR($E713="",$D713=""),"",IF(AND($L713&gt;0.005,$D713&lt;Hoje),Hoje-$D713,0))</f>
        <v>0</v>
      </c>
      <c r="K713" s="20">
        <f>IF($J713="","",IF($L713&lt;=0.005,"Pago",IF($J713&lt;=0,"A vencer",IF($J713&lt;=15,"1-15 dias",IF($J713&lt;=30,"16-30 dias",IF($J713&lt;=60,"31-60 dias","Mais de 60 dias"))))))</f>
        <v>0</v>
      </c>
      <c r="L713" s="21">
        <f>IF($E713="","",MAX(0,$E713-N($G713)))</f>
        <v>0</v>
      </c>
      <c r="M713" s="21">
        <f>IF(OR($L713="",$J713=""),"",IF($J713&gt;0,ROUND($L713*Multa+$L713*Juros/30*$J713,2),0))</f>
        <v>0</v>
      </c>
      <c r="N713" s="22">
        <f>IF($L713="","",IF($L713&lt;=0.005,0,$L713+N($M713)))</f>
        <v>0</v>
      </c>
      <c r="O713" s="23">
        <f>IF(OR($I713="Vencido",$I713="Vencido (parcial)"),"Olá, "&amp;$A713&amp;"! Consta em aberto '"&amp;$B713&amp;"' com vencimento em "&amp;DAY($D713)&amp;"/"&amp;MONTH($D713)&amp;"/"&amp;YEAR($D713)&amp;", no valor de R$ "&amp;FIXED($N713,2)&amp;" (com multa e juros). Podemos ajudar a regularizar hoje? Obrigado!",IF($I713="Vence hoje","Olá, "&amp;$A713&amp;"! Lembrete: '"&amp;$B713&amp;"' vence hoje, no valor de R$ "&amp;FIXED($L713,2)&amp;". Obrigado!",""))</f>
        <v>0</v>
      </c>
    </row>
    <row r="714" spans="1:15">
      <c r="A714" s="13"/>
      <c r="B714" s="13"/>
      <c r="C714" s="17"/>
      <c r="D714" s="17"/>
      <c r="E714" s="18"/>
      <c r="F714" s="17"/>
      <c r="G714" s="18"/>
      <c r="H714" s="13"/>
      <c r="I714" s="19">
        <f>IF($E714="","",IF($L714&lt;=0.005,"Pago",IF($D714="","Sem vencimento",IF($D714&lt;Hoje,IF(N($G714)&gt;0,"Vencido (parcial)","Vencido"),IF($D714=Hoje,"Vence hoje","A vencer")))))</f>
        <v>0</v>
      </c>
      <c r="J714" s="20">
        <f>IF(OR($E714="",$D714=""),"",IF(AND($L714&gt;0.005,$D714&lt;Hoje),Hoje-$D714,0))</f>
        <v>0</v>
      </c>
      <c r="K714" s="20">
        <f>IF($J714="","",IF($L714&lt;=0.005,"Pago",IF($J714&lt;=0,"A vencer",IF($J714&lt;=15,"1-15 dias",IF($J714&lt;=30,"16-30 dias",IF($J714&lt;=60,"31-60 dias","Mais de 60 dias"))))))</f>
        <v>0</v>
      </c>
      <c r="L714" s="21">
        <f>IF($E714="","",MAX(0,$E714-N($G714)))</f>
        <v>0</v>
      </c>
      <c r="M714" s="21">
        <f>IF(OR($L714="",$J714=""),"",IF($J714&gt;0,ROUND($L714*Multa+$L714*Juros/30*$J714,2),0))</f>
        <v>0</v>
      </c>
      <c r="N714" s="22">
        <f>IF($L714="","",IF($L714&lt;=0.005,0,$L714+N($M714)))</f>
        <v>0</v>
      </c>
      <c r="O714" s="23">
        <f>IF(OR($I714="Vencido",$I714="Vencido (parcial)"),"Olá, "&amp;$A714&amp;"! Consta em aberto '"&amp;$B714&amp;"' com vencimento em "&amp;DAY($D714)&amp;"/"&amp;MONTH($D714)&amp;"/"&amp;YEAR($D714)&amp;", no valor de R$ "&amp;FIXED($N714,2)&amp;" (com multa e juros). Podemos ajudar a regularizar hoje? Obrigado!",IF($I714="Vence hoje","Olá, "&amp;$A714&amp;"! Lembrete: '"&amp;$B714&amp;"' vence hoje, no valor de R$ "&amp;FIXED($L714,2)&amp;". Obrigado!",""))</f>
        <v>0</v>
      </c>
    </row>
    <row r="715" spans="1:15">
      <c r="A715" s="13"/>
      <c r="B715" s="13"/>
      <c r="C715" s="17"/>
      <c r="D715" s="17"/>
      <c r="E715" s="18"/>
      <c r="F715" s="17"/>
      <c r="G715" s="18"/>
      <c r="H715" s="13"/>
      <c r="I715" s="19">
        <f>IF($E715="","",IF($L715&lt;=0.005,"Pago",IF($D715="","Sem vencimento",IF($D715&lt;Hoje,IF(N($G715)&gt;0,"Vencido (parcial)","Vencido"),IF($D715=Hoje,"Vence hoje","A vencer")))))</f>
        <v>0</v>
      </c>
      <c r="J715" s="20">
        <f>IF(OR($E715="",$D715=""),"",IF(AND($L715&gt;0.005,$D715&lt;Hoje),Hoje-$D715,0))</f>
        <v>0</v>
      </c>
      <c r="K715" s="20">
        <f>IF($J715="","",IF($L715&lt;=0.005,"Pago",IF($J715&lt;=0,"A vencer",IF($J715&lt;=15,"1-15 dias",IF($J715&lt;=30,"16-30 dias",IF($J715&lt;=60,"31-60 dias","Mais de 60 dias"))))))</f>
        <v>0</v>
      </c>
      <c r="L715" s="21">
        <f>IF($E715="","",MAX(0,$E715-N($G715)))</f>
        <v>0</v>
      </c>
      <c r="M715" s="21">
        <f>IF(OR($L715="",$J715=""),"",IF($J715&gt;0,ROUND($L715*Multa+$L715*Juros/30*$J715,2),0))</f>
        <v>0</v>
      </c>
      <c r="N715" s="22">
        <f>IF($L715="","",IF($L715&lt;=0.005,0,$L715+N($M715)))</f>
        <v>0</v>
      </c>
      <c r="O715" s="23">
        <f>IF(OR($I715="Vencido",$I715="Vencido (parcial)"),"Olá, "&amp;$A715&amp;"! Consta em aberto '"&amp;$B715&amp;"' com vencimento em "&amp;DAY($D715)&amp;"/"&amp;MONTH($D715)&amp;"/"&amp;YEAR($D715)&amp;", no valor de R$ "&amp;FIXED($N715,2)&amp;" (com multa e juros). Podemos ajudar a regularizar hoje? Obrigado!",IF($I715="Vence hoje","Olá, "&amp;$A715&amp;"! Lembrete: '"&amp;$B715&amp;"' vence hoje, no valor de R$ "&amp;FIXED($L715,2)&amp;". Obrigado!",""))</f>
        <v>0</v>
      </c>
    </row>
    <row r="716" spans="1:15">
      <c r="A716" s="13"/>
      <c r="B716" s="13"/>
      <c r="C716" s="17"/>
      <c r="D716" s="17"/>
      <c r="E716" s="18"/>
      <c r="F716" s="17"/>
      <c r="G716" s="18"/>
      <c r="H716" s="13"/>
      <c r="I716" s="19">
        <f>IF($E716="","",IF($L716&lt;=0.005,"Pago",IF($D716="","Sem vencimento",IF($D716&lt;Hoje,IF(N($G716)&gt;0,"Vencido (parcial)","Vencido"),IF($D716=Hoje,"Vence hoje","A vencer")))))</f>
        <v>0</v>
      </c>
      <c r="J716" s="20">
        <f>IF(OR($E716="",$D716=""),"",IF(AND($L716&gt;0.005,$D716&lt;Hoje),Hoje-$D716,0))</f>
        <v>0</v>
      </c>
      <c r="K716" s="20">
        <f>IF($J716="","",IF($L716&lt;=0.005,"Pago",IF($J716&lt;=0,"A vencer",IF($J716&lt;=15,"1-15 dias",IF($J716&lt;=30,"16-30 dias",IF($J716&lt;=60,"31-60 dias","Mais de 60 dias"))))))</f>
        <v>0</v>
      </c>
      <c r="L716" s="21">
        <f>IF($E716="","",MAX(0,$E716-N($G716)))</f>
        <v>0</v>
      </c>
      <c r="M716" s="21">
        <f>IF(OR($L716="",$J716=""),"",IF($J716&gt;0,ROUND($L716*Multa+$L716*Juros/30*$J716,2),0))</f>
        <v>0</v>
      </c>
      <c r="N716" s="22">
        <f>IF($L716="","",IF($L716&lt;=0.005,0,$L716+N($M716)))</f>
        <v>0</v>
      </c>
      <c r="O716" s="23">
        <f>IF(OR($I716="Vencido",$I716="Vencido (parcial)"),"Olá, "&amp;$A716&amp;"! Consta em aberto '"&amp;$B716&amp;"' com vencimento em "&amp;DAY($D716)&amp;"/"&amp;MONTH($D716)&amp;"/"&amp;YEAR($D716)&amp;", no valor de R$ "&amp;FIXED($N716,2)&amp;" (com multa e juros). Podemos ajudar a regularizar hoje? Obrigado!",IF($I716="Vence hoje","Olá, "&amp;$A716&amp;"! Lembrete: '"&amp;$B716&amp;"' vence hoje, no valor de R$ "&amp;FIXED($L716,2)&amp;". Obrigado!",""))</f>
        <v>0</v>
      </c>
    </row>
    <row r="717" spans="1:15">
      <c r="A717" s="13"/>
      <c r="B717" s="13"/>
      <c r="C717" s="17"/>
      <c r="D717" s="17"/>
      <c r="E717" s="18"/>
      <c r="F717" s="17"/>
      <c r="G717" s="18"/>
      <c r="H717" s="13"/>
      <c r="I717" s="19">
        <f>IF($E717="","",IF($L717&lt;=0.005,"Pago",IF($D717="","Sem vencimento",IF($D717&lt;Hoje,IF(N($G717)&gt;0,"Vencido (parcial)","Vencido"),IF($D717=Hoje,"Vence hoje","A vencer")))))</f>
        <v>0</v>
      </c>
      <c r="J717" s="20">
        <f>IF(OR($E717="",$D717=""),"",IF(AND($L717&gt;0.005,$D717&lt;Hoje),Hoje-$D717,0))</f>
        <v>0</v>
      </c>
      <c r="K717" s="20">
        <f>IF($J717="","",IF($L717&lt;=0.005,"Pago",IF($J717&lt;=0,"A vencer",IF($J717&lt;=15,"1-15 dias",IF($J717&lt;=30,"16-30 dias",IF($J717&lt;=60,"31-60 dias","Mais de 60 dias"))))))</f>
        <v>0</v>
      </c>
      <c r="L717" s="21">
        <f>IF($E717="","",MAX(0,$E717-N($G717)))</f>
        <v>0</v>
      </c>
      <c r="M717" s="21">
        <f>IF(OR($L717="",$J717=""),"",IF($J717&gt;0,ROUND($L717*Multa+$L717*Juros/30*$J717,2),0))</f>
        <v>0</v>
      </c>
      <c r="N717" s="22">
        <f>IF($L717="","",IF($L717&lt;=0.005,0,$L717+N($M717)))</f>
        <v>0</v>
      </c>
      <c r="O717" s="23">
        <f>IF(OR($I717="Vencido",$I717="Vencido (parcial)"),"Olá, "&amp;$A717&amp;"! Consta em aberto '"&amp;$B717&amp;"' com vencimento em "&amp;DAY($D717)&amp;"/"&amp;MONTH($D717)&amp;"/"&amp;YEAR($D717)&amp;", no valor de R$ "&amp;FIXED($N717,2)&amp;" (com multa e juros). Podemos ajudar a regularizar hoje? Obrigado!",IF($I717="Vence hoje","Olá, "&amp;$A717&amp;"! Lembrete: '"&amp;$B717&amp;"' vence hoje, no valor de R$ "&amp;FIXED($L717,2)&amp;". Obrigado!",""))</f>
        <v>0</v>
      </c>
    </row>
    <row r="718" spans="1:15">
      <c r="A718" s="13"/>
      <c r="B718" s="13"/>
      <c r="C718" s="17"/>
      <c r="D718" s="17"/>
      <c r="E718" s="18"/>
      <c r="F718" s="17"/>
      <c r="G718" s="18"/>
      <c r="H718" s="13"/>
      <c r="I718" s="19">
        <f>IF($E718="","",IF($L718&lt;=0.005,"Pago",IF($D718="","Sem vencimento",IF($D718&lt;Hoje,IF(N($G718)&gt;0,"Vencido (parcial)","Vencido"),IF($D718=Hoje,"Vence hoje","A vencer")))))</f>
        <v>0</v>
      </c>
      <c r="J718" s="20">
        <f>IF(OR($E718="",$D718=""),"",IF(AND($L718&gt;0.005,$D718&lt;Hoje),Hoje-$D718,0))</f>
        <v>0</v>
      </c>
      <c r="K718" s="20">
        <f>IF($J718="","",IF($L718&lt;=0.005,"Pago",IF($J718&lt;=0,"A vencer",IF($J718&lt;=15,"1-15 dias",IF($J718&lt;=30,"16-30 dias",IF($J718&lt;=60,"31-60 dias","Mais de 60 dias"))))))</f>
        <v>0</v>
      </c>
      <c r="L718" s="21">
        <f>IF($E718="","",MAX(0,$E718-N($G718)))</f>
        <v>0</v>
      </c>
      <c r="M718" s="21">
        <f>IF(OR($L718="",$J718=""),"",IF($J718&gt;0,ROUND($L718*Multa+$L718*Juros/30*$J718,2),0))</f>
        <v>0</v>
      </c>
      <c r="N718" s="22">
        <f>IF($L718="","",IF($L718&lt;=0.005,0,$L718+N($M718)))</f>
        <v>0</v>
      </c>
      <c r="O718" s="23">
        <f>IF(OR($I718="Vencido",$I718="Vencido (parcial)"),"Olá, "&amp;$A718&amp;"! Consta em aberto '"&amp;$B718&amp;"' com vencimento em "&amp;DAY($D718)&amp;"/"&amp;MONTH($D718)&amp;"/"&amp;YEAR($D718)&amp;", no valor de R$ "&amp;FIXED($N718,2)&amp;" (com multa e juros). Podemos ajudar a regularizar hoje? Obrigado!",IF($I718="Vence hoje","Olá, "&amp;$A718&amp;"! Lembrete: '"&amp;$B718&amp;"' vence hoje, no valor de R$ "&amp;FIXED($L718,2)&amp;". Obrigado!",""))</f>
        <v>0</v>
      </c>
    </row>
    <row r="719" spans="1:15">
      <c r="A719" s="13"/>
      <c r="B719" s="13"/>
      <c r="C719" s="17"/>
      <c r="D719" s="17"/>
      <c r="E719" s="18"/>
      <c r="F719" s="17"/>
      <c r="G719" s="18"/>
      <c r="H719" s="13"/>
      <c r="I719" s="19">
        <f>IF($E719="","",IF($L719&lt;=0.005,"Pago",IF($D719="","Sem vencimento",IF($D719&lt;Hoje,IF(N($G719)&gt;0,"Vencido (parcial)","Vencido"),IF($D719=Hoje,"Vence hoje","A vencer")))))</f>
        <v>0</v>
      </c>
      <c r="J719" s="20">
        <f>IF(OR($E719="",$D719=""),"",IF(AND($L719&gt;0.005,$D719&lt;Hoje),Hoje-$D719,0))</f>
        <v>0</v>
      </c>
      <c r="K719" s="20">
        <f>IF($J719="","",IF($L719&lt;=0.005,"Pago",IF($J719&lt;=0,"A vencer",IF($J719&lt;=15,"1-15 dias",IF($J719&lt;=30,"16-30 dias",IF($J719&lt;=60,"31-60 dias","Mais de 60 dias"))))))</f>
        <v>0</v>
      </c>
      <c r="L719" s="21">
        <f>IF($E719="","",MAX(0,$E719-N($G719)))</f>
        <v>0</v>
      </c>
      <c r="M719" s="21">
        <f>IF(OR($L719="",$J719=""),"",IF($J719&gt;0,ROUND($L719*Multa+$L719*Juros/30*$J719,2),0))</f>
        <v>0</v>
      </c>
      <c r="N719" s="22">
        <f>IF($L719="","",IF($L719&lt;=0.005,0,$L719+N($M719)))</f>
        <v>0</v>
      </c>
      <c r="O719" s="23">
        <f>IF(OR($I719="Vencido",$I719="Vencido (parcial)"),"Olá, "&amp;$A719&amp;"! Consta em aberto '"&amp;$B719&amp;"' com vencimento em "&amp;DAY($D719)&amp;"/"&amp;MONTH($D719)&amp;"/"&amp;YEAR($D719)&amp;", no valor de R$ "&amp;FIXED($N719,2)&amp;" (com multa e juros). Podemos ajudar a regularizar hoje? Obrigado!",IF($I719="Vence hoje","Olá, "&amp;$A719&amp;"! Lembrete: '"&amp;$B719&amp;"' vence hoje, no valor de R$ "&amp;FIXED($L719,2)&amp;". Obrigado!",""))</f>
        <v>0</v>
      </c>
    </row>
    <row r="720" spans="1:15">
      <c r="A720" s="13"/>
      <c r="B720" s="13"/>
      <c r="C720" s="17"/>
      <c r="D720" s="17"/>
      <c r="E720" s="18"/>
      <c r="F720" s="17"/>
      <c r="G720" s="18"/>
      <c r="H720" s="13"/>
      <c r="I720" s="19">
        <f>IF($E720="","",IF($L720&lt;=0.005,"Pago",IF($D720="","Sem vencimento",IF($D720&lt;Hoje,IF(N($G720)&gt;0,"Vencido (parcial)","Vencido"),IF($D720=Hoje,"Vence hoje","A vencer")))))</f>
        <v>0</v>
      </c>
      <c r="J720" s="20">
        <f>IF(OR($E720="",$D720=""),"",IF(AND($L720&gt;0.005,$D720&lt;Hoje),Hoje-$D720,0))</f>
        <v>0</v>
      </c>
      <c r="K720" s="20">
        <f>IF($J720="","",IF($L720&lt;=0.005,"Pago",IF($J720&lt;=0,"A vencer",IF($J720&lt;=15,"1-15 dias",IF($J720&lt;=30,"16-30 dias",IF($J720&lt;=60,"31-60 dias","Mais de 60 dias"))))))</f>
        <v>0</v>
      </c>
      <c r="L720" s="21">
        <f>IF($E720="","",MAX(0,$E720-N($G720)))</f>
        <v>0</v>
      </c>
      <c r="M720" s="21">
        <f>IF(OR($L720="",$J720=""),"",IF($J720&gt;0,ROUND($L720*Multa+$L720*Juros/30*$J720,2),0))</f>
        <v>0</v>
      </c>
      <c r="N720" s="22">
        <f>IF($L720="","",IF($L720&lt;=0.005,0,$L720+N($M720)))</f>
        <v>0</v>
      </c>
      <c r="O720" s="23">
        <f>IF(OR($I720="Vencido",$I720="Vencido (parcial)"),"Olá, "&amp;$A720&amp;"! Consta em aberto '"&amp;$B720&amp;"' com vencimento em "&amp;DAY($D720)&amp;"/"&amp;MONTH($D720)&amp;"/"&amp;YEAR($D720)&amp;", no valor de R$ "&amp;FIXED($N720,2)&amp;" (com multa e juros). Podemos ajudar a regularizar hoje? Obrigado!",IF($I720="Vence hoje","Olá, "&amp;$A720&amp;"! Lembrete: '"&amp;$B720&amp;"' vence hoje, no valor de R$ "&amp;FIXED($L720,2)&amp;". Obrigado!",""))</f>
        <v>0</v>
      </c>
    </row>
    <row r="721" spans="1:15">
      <c r="A721" s="13"/>
      <c r="B721" s="13"/>
      <c r="C721" s="17"/>
      <c r="D721" s="17"/>
      <c r="E721" s="18"/>
      <c r="F721" s="17"/>
      <c r="G721" s="18"/>
      <c r="H721" s="13"/>
      <c r="I721" s="19">
        <f>IF($E721="","",IF($L721&lt;=0.005,"Pago",IF($D721="","Sem vencimento",IF($D721&lt;Hoje,IF(N($G721)&gt;0,"Vencido (parcial)","Vencido"),IF($D721=Hoje,"Vence hoje","A vencer")))))</f>
        <v>0</v>
      </c>
      <c r="J721" s="20">
        <f>IF(OR($E721="",$D721=""),"",IF(AND($L721&gt;0.005,$D721&lt;Hoje),Hoje-$D721,0))</f>
        <v>0</v>
      </c>
      <c r="K721" s="20">
        <f>IF($J721="","",IF($L721&lt;=0.005,"Pago",IF($J721&lt;=0,"A vencer",IF($J721&lt;=15,"1-15 dias",IF($J721&lt;=30,"16-30 dias",IF($J721&lt;=60,"31-60 dias","Mais de 60 dias"))))))</f>
        <v>0</v>
      </c>
      <c r="L721" s="21">
        <f>IF($E721="","",MAX(0,$E721-N($G721)))</f>
        <v>0</v>
      </c>
      <c r="M721" s="21">
        <f>IF(OR($L721="",$J721=""),"",IF($J721&gt;0,ROUND($L721*Multa+$L721*Juros/30*$J721,2),0))</f>
        <v>0</v>
      </c>
      <c r="N721" s="22">
        <f>IF($L721="","",IF($L721&lt;=0.005,0,$L721+N($M721)))</f>
        <v>0</v>
      </c>
      <c r="O721" s="23">
        <f>IF(OR($I721="Vencido",$I721="Vencido (parcial)"),"Olá, "&amp;$A721&amp;"! Consta em aberto '"&amp;$B721&amp;"' com vencimento em "&amp;DAY($D721)&amp;"/"&amp;MONTH($D721)&amp;"/"&amp;YEAR($D721)&amp;", no valor de R$ "&amp;FIXED($N721,2)&amp;" (com multa e juros). Podemos ajudar a regularizar hoje? Obrigado!",IF($I721="Vence hoje","Olá, "&amp;$A721&amp;"! Lembrete: '"&amp;$B721&amp;"' vence hoje, no valor de R$ "&amp;FIXED($L721,2)&amp;". Obrigado!",""))</f>
        <v>0</v>
      </c>
    </row>
    <row r="722" spans="1:15">
      <c r="A722" s="13"/>
      <c r="B722" s="13"/>
      <c r="C722" s="17"/>
      <c r="D722" s="17"/>
      <c r="E722" s="18"/>
      <c r="F722" s="17"/>
      <c r="G722" s="18"/>
      <c r="H722" s="13"/>
      <c r="I722" s="19">
        <f>IF($E722="","",IF($L722&lt;=0.005,"Pago",IF($D722="","Sem vencimento",IF($D722&lt;Hoje,IF(N($G722)&gt;0,"Vencido (parcial)","Vencido"),IF($D722=Hoje,"Vence hoje","A vencer")))))</f>
        <v>0</v>
      </c>
      <c r="J722" s="20">
        <f>IF(OR($E722="",$D722=""),"",IF(AND($L722&gt;0.005,$D722&lt;Hoje),Hoje-$D722,0))</f>
        <v>0</v>
      </c>
      <c r="K722" s="20">
        <f>IF($J722="","",IF($L722&lt;=0.005,"Pago",IF($J722&lt;=0,"A vencer",IF($J722&lt;=15,"1-15 dias",IF($J722&lt;=30,"16-30 dias",IF($J722&lt;=60,"31-60 dias","Mais de 60 dias"))))))</f>
        <v>0</v>
      </c>
      <c r="L722" s="21">
        <f>IF($E722="","",MAX(0,$E722-N($G722)))</f>
        <v>0</v>
      </c>
      <c r="M722" s="21">
        <f>IF(OR($L722="",$J722=""),"",IF($J722&gt;0,ROUND($L722*Multa+$L722*Juros/30*$J722,2),0))</f>
        <v>0</v>
      </c>
      <c r="N722" s="22">
        <f>IF($L722="","",IF($L722&lt;=0.005,0,$L722+N($M722)))</f>
        <v>0</v>
      </c>
      <c r="O722" s="23">
        <f>IF(OR($I722="Vencido",$I722="Vencido (parcial)"),"Olá, "&amp;$A722&amp;"! Consta em aberto '"&amp;$B722&amp;"' com vencimento em "&amp;DAY($D722)&amp;"/"&amp;MONTH($D722)&amp;"/"&amp;YEAR($D722)&amp;", no valor de R$ "&amp;FIXED($N722,2)&amp;" (com multa e juros). Podemos ajudar a regularizar hoje? Obrigado!",IF($I722="Vence hoje","Olá, "&amp;$A722&amp;"! Lembrete: '"&amp;$B722&amp;"' vence hoje, no valor de R$ "&amp;FIXED($L722,2)&amp;". Obrigado!",""))</f>
        <v>0</v>
      </c>
    </row>
    <row r="723" spans="1:15">
      <c r="A723" s="13"/>
      <c r="B723" s="13"/>
      <c r="C723" s="17"/>
      <c r="D723" s="17"/>
      <c r="E723" s="18"/>
      <c r="F723" s="17"/>
      <c r="G723" s="18"/>
      <c r="H723" s="13"/>
      <c r="I723" s="19">
        <f>IF($E723="","",IF($L723&lt;=0.005,"Pago",IF($D723="","Sem vencimento",IF($D723&lt;Hoje,IF(N($G723)&gt;0,"Vencido (parcial)","Vencido"),IF($D723=Hoje,"Vence hoje","A vencer")))))</f>
        <v>0</v>
      </c>
      <c r="J723" s="20">
        <f>IF(OR($E723="",$D723=""),"",IF(AND($L723&gt;0.005,$D723&lt;Hoje),Hoje-$D723,0))</f>
        <v>0</v>
      </c>
      <c r="K723" s="20">
        <f>IF($J723="","",IF($L723&lt;=0.005,"Pago",IF($J723&lt;=0,"A vencer",IF($J723&lt;=15,"1-15 dias",IF($J723&lt;=30,"16-30 dias",IF($J723&lt;=60,"31-60 dias","Mais de 60 dias"))))))</f>
        <v>0</v>
      </c>
      <c r="L723" s="21">
        <f>IF($E723="","",MAX(0,$E723-N($G723)))</f>
        <v>0</v>
      </c>
      <c r="M723" s="21">
        <f>IF(OR($L723="",$J723=""),"",IF($J723&gt;0,ROUND($L723*Multa+$L723*Juros/30*$J723,2),0))</f>
        <v>0</v>
      </c>
      <c r="N723" s="22">
        <f>IF($L723="","",IF($L723&lt;=0.005,0,$L723+N($M723)))</f>
        <v>0</v>
      </c>
      <c r="O723" s="23">
        <f>IF(OR($I723="Vencido",$I723="Vencido (parcial)"),"Olá, "&amp;$A723&amp;"! Consta em aberto '"&amp;$B723&amp;"' com vencimento em "&amp;DAY($D723)&amp;"/"&amp;MONTH($D723)&amp;"/"&amp;YEAR($D723)&amp;", no valor de R$ "&amp;FIXED($N723,2)&amp;" (com multa e juros). Podemos ajudar a regularizar hoje? Obrigado!",IF($I723="Vence hoje","Olá, "&amp;$A723&amp;"! Lembrete: '"&amp;$B723&amp;"' vence hoje, no valor de R$ "&amp;FIXED($L723,2)&amp;". Obrigado!",""))</f>
        <v>0</v>
      </c>
    </row>
    <row r="724" spans="1:15">
      <c r="A724" s="13"/>
      <c r="B724" s="13"/>
      <c r="C724" s="17"/>
      <c r="D724" s="17"/>
      <c r="E724" s="18"/>
      <c r="F724" s="17"/>
      <c r="G724" s="18"/>
      <c r="H724" s="13"/>
      <c r="I724" s="19">
        <f>IF($E724="","",IF($L724&lt;=0.005,"Pago",IF($D724="","Sem vencimento",IF($D724&lt;Hoje,IF(N($G724)&gt;0,"Vencido (parcial)","Vencido"),IF($D724=Hoje,"Vence hoje","A vencer")))))</f>
        <v>0</v>
      </c>
      <c r="J724" s="20">
        <f>IF(OR($E724="",$D724=""),"",IF(AND($L724&gt;0.005,$D724&lt;Hoje),Hoje-$D724,0))</f>
        <v>0</v>
      </c>
      <c r="K724" s="20">
        <f>IF($J724="","",IF($L724&lt;=0.005,"Pago",IF($J724&lt;=0,"A vencer",IF($J724&lt;=15,"1-15 dias",IF($J724&lt;=30,"16-30 dias",IF($J724&lt;=60,"31-60 dias","Mais de 60 dias"))))))</f>
        <v>0</v>
      </c>
      <c r="L724" s="21">
        <f>IF($E724="","",MAX(0,$E724-N($G724)))</f>
        <v>0</v>
      </c>
      <c r="M724" s="21">
        <f>IF(OR($L724="",$J724=""),"",IF($J724&gt;0,ROUND($L724*Multa+$L724*Juros/30*$J724,2),0))</f>
        <v>0</v>
      </c>
      <c r="N724" s="22">
        <f>IF($L724="","",IF($L724&lt;=0.005,0,$L724+N($M724)))</f>
        <v>0</v>
      </c>
      <c r="O724" s="23">
        <f>IF(OR($I724="Vencido",$I724="Vencido (parcial)"),"Olá, "&amp;$A724&amp;"! Consta em aberto '"&amp;$B724&amp;"' com vencimento em "&amp;DAY($D724)&amp;"/"&amp;MONTH($D724)&amp;"/"&amp;YEAR($D724)&amp;", no valor de R$ "&amp;FIXED($N724,2)&amp;" (com multa e juros). Podemos ajudar a regularizar hoje? Obrigado!",IF($I724="Vence hoje","Olá, "&amp;$A724&amp;"! Lembrete: '"&amp;$B724&amp;"' vence hoje, no valor de R$ "&amp;FIXED($L724,2)&amp;". Obrigado!",""))</f>
        <v>0</v>
      </c>
    </row>
    <row r="725" spans="1:15">
      <c r="A725" s="13"/>
      <c r="B725" s="13"/>
      <c r="C725" s="17"/>
      <c r="D725" s="17"/>
      <c r="E725" s="18"/>
      <c r="F725" s="17"/>
      <c r="G725" s="18"/>
      <c r="H725" s="13"/>
      <c r="I725" s="19">
        <f>IF($E725="","",IF($L725&lt;=0.005,"Pago",IF($D725="","Sem vencimento",IF($D725&lt;Hoje,IF(N($G725)&gt;0,"Vencido (parcial)","Vencido"),IF($D725=Hoje,"Vence hoje","A vencer")))))</f>
        <v>0</v>
      </c>
      <c r="J725" s="20">
        <f>IF(OR($E725="",$D725=""),"",IF(AND($L725&gt;0.005,$D725&lt;Hoje),Hoje-$D725,0))</f>
        <v>0</v>
      </c>
      <c r="K725" s="20">
        <f>IF($J725="","",IF($L725&lt;=0.005,"Pago",IF($J725&lt;=0,"A vencer",IF($J725&lt;=15,"1-15 dias",IF($J725&lt;=30,"16-30 dias",IF($J725&lt;=60,"31-60 dias","Mais de 60 dias"))))))</f>
        <v>0</v>
      </c>
      <c r="L725" s="21">
        <f>IF($E725="","",MAX(0,$E725-N($G725)))</f>
        <v>0</v>
      </c>
      <c r="M725" s="21">
        <f>IF(OR($L725="",$J725=""),"",IF($J725&gt;0,ROUND($L725*Multa+$L725*Juros/30*$J725,2),0))</f>
        <v>0</v>
      </c>
      <c r="N725" s="22">
        <f>IF($L725="","",IF($L725&lt;=0.005,0,$L725+N($M725)))</f>
        <v>0</v>
      </c>
      <c r="O725" s="23">
        <f>IF(OR($I725="Vencido",$I725="Vencido (parcial)"),"Olá, "&amp;$A725&amp;"! Consta em aberto '"&amp;$B725&amp;"' com vencimento em "&amp;DAY($D725)&amp;"/"&amp;MONTH($D725)&amp;"/"&amp;YEAR($D725)&amp;", no valor de R$ "&amp;FIXED($N725,2)&amp;" (com multa e juros). Podemos ajudar a regularizar hoje? Obrigado!",IF($I725="Vence hoje","Olá, "&amp;$A725&amp;"! Lembrete: '"&amp;$B725&amp;"' vence hoje, no valor de R$ "&amp;FIXED($L725,2)&amp;". Obrigado!",""))</f>
        <v>0</v>
      </c>
    </row>
    <row r="726" spans="1:15">
      <c r="A726" s="13"/>
      <c r="B726" s="13"/>
      <c r="C726" s="17"/>
      <c r="D726" s="17"/>
      <c r="E726" s="18"/>
      <c r="F726" s="17"/>
      <c r="G726" s="18"/>
      <c r="H726" s="13"/>
      <c r="I726" s="19">
        <f>IF($E726="","",IF($L726&lt;=0.005,"Pago",IF($D726="","Sem vencimento",IF($D726&lt;Hoje,IF(N($G726)&gt;0,"Vencido (parcial)","Vencido"),IF($D726=Hoje,"Vence hoje","A vencer")))))</f>
        <v>0</v>
      </c>
      <c r="J726" s="20">
        <f>IF(OR($E726="",$D726=""),"",IF(AND($L726&gt;0.005,$D726&lt;Hoje),Hoje-$D726,0))</f>
        <v>0</v>
      </c>
      <c r="K726" s="20">
        <f>IF($J726="","",IF($L726&lt;=0.005,"Pago",IF($J726&lt;=0,"A vencer",IF($J726&lt;=15,"1-15 dias",IF($J726&lt;=30,"16-30 dias",IF($J726&lt;=60,"31-60 dias","Mais de 60 dias"))))))</f>
        <v>0</v>
      </c>
      <c r="L726" s="21">
        <f>IF($E726="","",MAX(0,$E726-N($G726)))</f>
        <v>0</v>
      </c>
      <c r="M726" s="21">
        <f>IF(OR($L726="",$J726=""),"",IF($J726&gt;0,ROUND($L726*Multa+$L726*Juros/30*$J726,2),0))</f>
        <v>0</v>
      </c>
      <c r="N726" s="22">
        <f>IF($L726="","",IF($L726&lt;=0.005,0,$L726+N($M726)))</f>
        <v>0</v>
      </c>
      <c r="O726" s="23">
        <f>IF(OR($I726="Vencido",$I726="Vencido (parcial)"),"Olá, "&amp;$A726&amp;"! Consta em aberto '"&amp;$B726&amp;"' com vencimento em "&amp;DAY($D726)&amp;"/"&amp;MONTH($D726)&amp;"/"&amp;YEAR($D726)&amp;", no valor de R$ "&amp;FIXED($N726,2)&amp;" (com multa e juros). Podemos ajudar a regularizar hoje? Obrigado!",IF($I726="Vence hoje","Olá, "&amp;$A726&amp;"! Lembrete: '"&amp;$B726&amp;"' vence hoje, no valor de R$ "&amp;FIXED($L726,2)&amp;". Obrigado!",""))</f>
        <v>0</v>
      </c>
    </row>
    <row r="727" spans="1:15">
      <c r="A727" s="13"/>
      <c r="B727" s="13"/>
      <c r="C727" s="17"/>
      <c r="D727" s="17"/>
      <c r="E727" s="18"/>
      <c r="F727" s="17"/>
      <c r="G727" s="18"/>
      <c r="H727" s="13"/>
      <c r="I727" s="19">
        <f>IF($E727="","",IF($L727&lt;=0.005,"Pago",IF($D727="","Sem vencimento",IF($D727&lt;Hoje,IF(N($G727)&gt;0,"Vencido (parcial)","Vencido"),IF($D727=Hoje,"Vence hoje","A vencer")))))</f>
        <v>0</v>
      </c>
      <c r="J727" s="20">
        <f>IF(OR($E727="",$D727=""),"",IF(AND($L727&gt;0.005,$D727&lt;Hoje),Hoje-$D727,0))</f>
        <v>0</v>
      </c>
      <c r="K727" s="20">
        <f>IF($J727="","",IF($L727&lt;=0.005,"Pago",IF($J727&lt;=0,"A vencer",IF($J727&lt;=15,"1-15 dias",IF($J727&lt;=30,"16-30 dias",IF($J727&lt;=60,"31-60 dias","Mais de 60 dias"))))))</f>
        <v>0</v>
      </c>
      <c r="L727" s="21">
        <f>IF($E727="","",MAX(0,$E727-N($G727)))</f>
        <v>0</v>
      </c>
      <c r="M727" s="21">
        <f>IF(OR($L727="",$J727=""),"",IF($J727&gt;0,ROUND($L727*Multa+$L727*Juros/30*$J727,2),0))</f>
        <v>0</v>
      </c>
      <c r="N727" s="22">
        <f>IF($L727="","",IF($L727&lt;=0.005,0,$L727+N($M727)))</f>
        <v>0</v>
      </c>
      <c r="O727" s="23">
        <f>IF(OR($I727="Vencido",$I727="Vencido (parcial)"),"Olá, "&amp;$A727&amp;"! Consta em aberto '"&amp;$B727&amp;"' com vencimento em "&amp;DAY($D727)&amp;"/"&amp;MONTH($D727)&amp;"/"&amp;YEAR($D727)&amp;", no valor de R$ "&amp;FIXED($N727,2)&amp;" (com multa e juros). Podemos ajudar a regularizar hoje? Obrigado!",IF($I727="Vence hoje","Olá, "&amp;$A727&amp;"! Lembrete: '"&amp;$B727&amp;"' vence hoje, no valor de R$ "&amp;FIXED($L727,2)&amp;". Obrigado!",""))</f>
        <v>0</v>
      </c>
    </row>
    <row r="728" spans="1:15">
      <c r="A728" s="13"/>
      <c r="B728" s="13"/>
      <c r="C728" s="17"/>
      <c r="D728" s="17"/>
      <c r="E728" s="18"/>
      <c r="F728" s="17"/>
      <c r="G728" s="18"/>
      <c r="H728" s="13"/>
      <c r="I728" s="19">
        <f>IF($E728="","",IF($L728&lt;=0.005,"Pago",IF($D728="","Sem vencimento",IF($D728&lt;Hoje,IF(N($G728)&gt;0,"Vencido (parcial)","Vencido"),IF($D728=Hoje,"Vence hoje","A vencer")))))</f>
        <v>0</v>
      </c>
      <c r="J728" s="20">
        <f>IF(OR($E728="",$D728=""),"",IF(AND($L728&gt;0.005,$D728&lt;Hoje),Hoje-$D728,0))</f>
        <v>0</v>
      </c>
      <c r="K728" s="20">
        <f>IF($J728="","",IF($L728&lt;=0.005,"Pago",IF($J728&lt;=0,"A vencer",IF($J728&lt;=15,"1-15 dias",IF($J728&lt;=30,"16-30 dias",IF($J728&lt;=60,"31-60 dias","Mais de 60 dias"))))))</f>
        <v>0</v>
      </c>
      <c r="L728" s="21">
        <f>IF($E728="","",MAX(0,$E728-N($G728)))</f>
        <v>0</v>
      </c>
      <c r="M728" s="21">
        <f>IF(OR($L728="",$J728=""),"",IF($J728&gt;0,ROUND($L728*Multa+$L728*Juros/30*$J728,2),0))</f>
        <v>0</v>
      </c>
      <c r="N728" s="22">
        <f>IF($L728="","",IF($L728&lt;=0.005,0,$L728+N($M728)))</f>
        <v>0</v>
      </c>
      <c r="O728" s="23">
        <f>IF(OR($I728="Vencido",$I728="Vencido (parcial)"),"Olá, "&amp;$A728&amp;"! Consta em aberto '"&amp;$B728&amp;"' com vencimento em "&amp;DAY($D728)&amp;"/"&amp;MONTH($D728)&amp;"/"&amp;YEAR($D728)&amp;", no valor de R$ "&amp;FIXED($N728,2)&amp;" (com multa e juros). Podemos ajudar a regularizar hoje? Obrigado!",IF($I728="Vence hoje","Olá, "&amp;$A728&amp;"! Lembrete: '"&amp;$B728&amp;"' vence hoje, no valor de R$ "&amp;FIXED($L728,2)&amp;". Obrigado!",""))</f>
        <v>0</v>
      </c>
    </row>
    <row r="729" spans="1:15">
      <c r="A729" s="13"/>
      <c r="B729" s="13"/>
      <c r="C729" s="17"/>
      <c r="D729" s="17"/>
      <c r="E729" s="18"/>
      <c r="F729" s="17"/>
      <c r="G729" s="18"/>
      <c r="H729" s="13"/>
      <c r="I729" s="19">
        <f>IF($E729="","",IF($L729&lt;=0.005,"Pago",IF($D729="","Sem vencimento",IF($D729&lt;Hoje,IF(N($G729)&gt;0,"Vencido (parcial)","Vencido"),IF($D729=Hoje,"Vence hoje","A vencer")))))</f>
        <v>0</v>
      </c>
      <c r="J729" s="20">
        <f>IF(OR($E729="",$D729=""),"",IF(AND($L729&gt;0.005,$D729&lt;Hoje),Hoje-$D729,0))</f>
        <v>0</v>
      </c>
      <c r="K729" s="20">
        <f>IF($J729="","",IF($L729&lt;=0.005,"Pago",IF($J729&lt;=0,"A vencer",IF($J729&lt;=15,"1-15 dias",IF($J729&lt;=30,"16-30 dias",IF($J729&lt;=60,"31-60 dias","Mais de 60 dias"))))))</f>
        <v>0</v>
      </c>
      <c r="L729" s="21">
        <f>IF($E729="","",MAX(0,$E729-N($G729)))</f>
        <v>0</v>
      </c>
      <c r="M729" s="21">
        <f>IF(OR($L729="",$J729=""),"",IF($J729&gt;0,ROUND($L729*Multa+$L729*Juros/30*$J729,2),0))</f>
        <v>0</v>
      </c>
      <c r="N729" s="22">
        <f>IF($L729="","",IF($L729&lt;=0.005,0,$L729+N($M729)))</f>
        <v>0</v>
      </c>
      <c r="O729" s="23">
        <f>IF(OR($I729="Vencido",$I729="Vencido (parcial)"),"Olá, "&amp;$A729&amp;"! Consta em aberto '"&amp;$B729&amp;"' com vencimento em "&amp;DAY($D729)&amp;"/"&amp;MONTH($D729)&amp;"/"&amp;YEAR($D729)&amp;", no valor de R$ "&amp;FIXED($N729,2)&amp;" (com multa e juros). Podemos ajudar a regularizar hoje? Obrigado!",IF($I729="Vence hoje","Olá, "&amp;$A729&amp;"! Lembrete: '"&amp;$B729&amp;"' vence hoje, no valor de R$ "&amp;FIXED($L729,2)&amp;". Obrigado!",""))</f>
        <v>0</v>
      </c>
    </row>
    <row r="730" spans="1:15">
      <c r="A730" s="13"/>
      <c r="B730" s="13"/>
      <c r="C730" s="17"/>
      <c r="D730" s="17"/>
      <c r="E730" s="18"/>
      <c r="F730" s="17"/>
      <c r="G730" s="18"/>
      <c r="H730" s="13"/>
      <c r="I730" s="19">
        <f>IF($E730="","",IF($L730&lt;=0.005,"Pago",IF($D730="","Sem vencimento",IF($D730&lt;Hoje,IF(N($G730)&gt;0,"Vencido (parcial)","Vencido"),IF($D730=Hoje,"Vence hoje","A vencer")))))</f>
        <v>0</v>
      </c>
      <c r="J730" s="20">
        <f>IF(OR($E730="",$D730=""),"",IF(AND($L730&gt;0.005,$D730&lt;Hoje),Hoje-$D730,0))</f>
        <v>0</v>
      </c>
      <c r="K730" s="20">
        <f>IF($J730="","",IF($L730&lt;=0.005,"Pago",IF($J730&lt;=0,"A vencer",IF($J730&lt;=15,"1-15 dias",IF($J730&lt;=30,"16-30 dias",IF($J730&lt;=60,"31-60 dias","Mais de 60 dias"))))))</f>
        <v>0</v>
      </c>
      <c r="L730" s="21">
        <f>IF($E730="","",MAX(0,$E730-N($G730)))</f>
        <v>0</v>
      </c>
      <c r="M730" s="21">
        <f>IF(OR($L730="",$J730=""),"",IF($J730&gt;0,ROUND($L730*Multa+$L730*Juros/30*$J730,2),0))</f>
        <v>0</v>
      </c>
      <c r="N730" s="22">
        <f>IF($L730="","",IF($L730&lt;=0.005,0,$L730+N($M730)))</f>
        <v>0</v>
      </c>
      <c r="O730" s="23">
        <f>IF(OR($I730="Vencido",$I730="Vencido (parcial)"),"Olá, "&amp;$A730&amp;"! Consta em aberto '"&amp;$B730&amp;"' com vencimento em "&amp;DAY($D730)&amp;"/"&amp;MONTH($D730)&amp;"/"&amp;YEAR($D730)&amp;", no valor de R$ "&amp;FIXED($N730,2)&amp;" (com multa e juros). Podemos ajudar a regularizar hoje? Obrigado!",IF($I730="Vence hoje","Olá, "&amp;$A730&amp;"! Lembrete: '"&amp;$B730&amp;"' vence hoje, no valor de R$ "&amp;FIXED($L730,2)&amp;". Obrigado!",""))</f>
        <v>0</v>
      </c>
    </row>
    <row r="731" spans="1:15">
      <c r="A731" s="13"/>
      <c r="B731" s="13"/>
      <c r="C731" s="17"/>
      <c r="D731" s="17"/>
      <c r="E731" s="18"/>
      <c r="F731" s="17"/>
      <c r="G731" s="18"/>
      <c r="H731" s="13"/>
      <c r="I731" s="19">
        <f>IF($E731="","",IF($L731&lt;=0.005,"Pago",IF($D731="","Sem vencimento",IF($D731&lt;Hoje,IF(N($G731)&gt;0,"Vencido (parcial)","Vencido"),IF($D731=Hoje,"Vence hoje","A vencer")))))</f>
        <v>0</v>
      </c>
      <c r="J731" s="20">
        <f>IF(OR($E731="",$D731=""),"",IF(AND($L731&gt;0.005,$D731&lt;Hoje),Hoje-$D731,0))</f>
        <v>0</v>
      </c>
      <c r="K731" s="20">
        <f>IF($J731="","",IF($L731&lt;=0.005,"Pago",IF($J731&lt;=0,"A vencer",IF($J731&lt;=15,"1-15 dias",IF($J731&lt;=30,"16-30 dias",IF($J731&lt;=60,"31-60 dias","Mais de 60 dias"))))))</f>
        <v>0</v>
      </c>
      <c r="L731" s="21">
        <f>IF($E731="","",MAX(0,$E731-N($G731)))</f>
        <v>0</v>
      </c>
      <c r="M731" s="21">
        <f>IF(OR($L731="",$J731=""),"",IF($J731&gt;0,ROUND($L731*Multa+$L731*Juros/30*$J731,2),0))</f>
        <v>0</v>
      </c>
      <c r="N731" s="22">
        <f>IF($L731="","",IF($L731&lt;=0.005,0,$L731+N($M731)))</f>
        <v>0</v>
      </c>
      <c r="O731" s="23">
        <f>IF(OR($I731="Vencido",$I731="Vencido (parcial)"),"Olá, "&amp;$A731&amp;"! Consta em aberto '"&amp;$B731&amp;"' com vencimento em "&amp;DAY($D731)&amp;"/"&amp;MONTH($D731)&amp;"/"&amp;YEAR($D731)&amp;", no valor de R$ "&amp;FIXED($N731,2)&amp;" (com multa e juros). Podemos ajudar a regularizar hoje? Obrigado!",IF($I731="Vence hoje","Olá, "&amp;$A731&amp;"! Lembrete: '"&amp;$B731&amp;"' vence hoje, no valor de R$ "&amp;FIXED($L731,2)&amp;". Obrigado!",""))</f>
        <v>0</v>
      </c>
    </row>
    <row r="732" spans="1:15">
      <c r="A732" s="13"/>
      <c r="B732" s="13"/>
      <c r="C732" s="17"/>
      <c r="D732" s="17"/>
      <c r="E732" s="18"/>
      <c r="F732" s="17"/>
      <c r="G732" s="18"/>
      <c r="H732" s="13"/>
      <c r="I732" s="19">
        <f>IF($E732="","",IF($L732&lt;=0.005,"Pago",IF($D732="","Sem vencimento",IF($D732&lt;Hoje,IF(N($G732)&gt;0,"Vencido (parcial)","Vencido"),IF($D732=Hoje,"Vence hoje","A vencer")))))</f>
        <v>0</v>
      </c>
      <c r="J732" s="20">
        <f>IF(OR($E732="",$D732=""),"",IF(AND($L732&gt;0.005,$D732&lt;Hoje),Hoje-$D732,0))</f>
        <v>0</v>
      </c>
      <c r="K732" s="20">
        <f>IF($J732="","",IF($L732&lt;=0.005,"Pago",IF($J732&lt;=0,"A vencer",IF($J732&lt;=15,"1-15 dias",IF($J732&lt;=30,"16-30 dias",IF($J732&lt;=60,"31-60 dias","Mais de 60 dias"))))))</f>
        <v>0</v>
      </c>
      <c r="L732" s="21">
        <f>IF($E732="","",MAX(0,$E732-N($G732)))</f>
        <v>0</v>
      </c>
      <c r="M732" s="21">
        <f>IF(OR($L732="",$J732=""),"",IF($J732&gt;0,ROUND($L732*Multa+$L732*Juros/30*$J732,2),0))</f>
        <v>0</v>
      </c>
      <c r="N732" s="22">
        <f>IF($L732="","",IF($L732&lt;=0.005,0,$L732+N($M732)))</f>
        <v>0</v>
      </c>
      <c r="O732" s="23">
        <f>IF(OR($I732="Vencido",$I732="Vencido (parcial)"),"Olá, "&amp;$A732&amp;"! Consta em aberto '"&amp;$B732&amp;"' com vencimento em "&amp;DAY($D732)&amp;"/"&amp;MONTH($D732)&amp;"/"&amp;YEAR($D732)&amp;", no valor de R$ "&amp;FIXED($N732,2)&amp;" (com multa e juros). Podemos ajudar a regularizar hoje? Obrigado!",IF($I732="Vence hoje","Olá, "&amp;$A732&amp;"! Lembrete: '"&amp;$B732&amp;"' vence hoje, no valor de R$ "&amp;FIXED($L732,2)&amp;". Obrigado!",""))</f>
        <v>0</v>
      </c>
    </row>
    <row r="733" spans="1:15">
      <c r="A733" s="13"/>
      <c r="B733" s="13"/>
      <c r="C733" s="17"/>
      <c r="D733" s="17"/>
      <c r="E733" s="18"/>
      <c r="F733" s="17"/>
      <c r="G733" s="18"/>
      <c r="H733" s="13"/>
      <c r="I733" s="19">
        <f>IF($E733="","",IF($L733&lt;=0.005,"Pago",IF($D733="","Sem vencimento",IF($D733&lt;Hoje,IF(N($G733)&gt;0,"Vencido (parcial)","Vencido"),IF($D733=Hoje,"Vence hoje","A vencer")))))</f>
        <v>0</v>
      </c>
      <c r="J733" s="20">
        <f>IF(OR($E733="",$D733=""),"",IF(AND($L733&gt;0.005,$D733&lt;Hoje),Hoje-$D733,0))</f>
        <v>0</v>
      </c>
      <c r="K733" s="20">
        <f>IF($J733="","",IF($L733&lt;=0.005,"Pago",IF($J733&lt;=0,"A vencer",IF($J733&lt;=15,"1-15 dias",IF($J733&lt;=30,"16-30 dias",IF($J733&lt;=60,"31-60 dias","Mais de 60 dias"))))))</f>
        <v>0</v>
      </c>
      <c r="L733" s="21">
        <f>IF($E733="","",MAX(0,$E733-N($G733)))</f>
        <v>0</v>
      </c>
      <c r="M733" s="21">
        <f>IF(OR($L733="",$J733=""),"",IF($J733&gt;0,ROUND($L733*Multa+$L733*Juros/30*$J733,2),0))</f>
        <v>0</v>
      </c>
      <c r="N733" s="22">
        <f>IF($L733="","",IF($L733&lt;=0.005,0,$L733+N($M733)))</f>
        <v>0</v>
      </c>
      <c r="O733" s="23">
        <f>IF(OR($I733="Vencido",$I733="Vencido (parcial)"),"Olá, "&amp;$A733&amp;"! Consta em aberto '"&amp;$B733&amp;"' com vencimento em "&amp;DAY($D733)&amp;"/"&amp;MONTH($D733)&amp;"/"&amp;YEAR($D733)&amp;", no valor de R$ "&amp;FIXED($N733,2)&amp;" (com multa e juros). Podemos ajudar a regularizar hoje? Obrigado!",IF($I733="Vence hoje","Olá, "&amp;$A733&amp;"! Lembrete: '"&amp;$B733&amp;"' vence hoje, no valor de R$ "&amp;FIXED($L733,2)&amp;". Obrigado!",""))</f>
        <v>0</v>
      </c>
    </row>
    <row r="734" spans="1:15">
      <c r="A734" s="13"/>
      <c r="B734" s="13"/>
      <c r="C734" s="17"/>
      <c r="D734" s="17"/>
      <c r="E734" s="18"/>
      <c r="F734" s="17"/>
      <c r="G734" s="18"/>
      <c r="H734" s="13"/>
      <c r="I734" s="19">
        <f>IF($E734="","",IF($L734&lt;=0.005,"Pago",IF($D734="","Sem vencimento",IF($D734&lt;Hoje,IF(N($G734)&gt;0,"Vencido (parcial)","Vencido"),IF($D734=Hoje,"Vence hoje","A vencer")))))</f>
        <v>0</v>
      </c>
      <c r="J734" s="20">
        <f>IF(OR($E734="",$D734=""),"",IF(AND($L734&gt;0.005,$D734&lt;Hoje),Hoje-$D734,0))</f>
        <v>0</v>
      </c>
      <c r="K734" s="20">
        <f>IF($J734="","",IF($L734&lt;=0.005,"Pago",IF($J734&lt;=0,"A vencer",IF($J734&lt;=15,"1-15 dias",IF($J734&lt;=30,"16-30 dias",IF($J734&lt;=60,"31-60 dias","Mais de 60 dias"))))))</f>
        <v>0</v>
      </c>
      <c r="L734" s="21">
        <f>IF($E734="","",MAX(0,$E734-N($G734)))</f>
        <v>0</v>
      </c>
      <c r="M734" s="21">
        <f>IF(OR($L734="",$J734=""),"",IF($J734&gt;0,ROUND($L734*Multa+$L734*Juros/30*$J734,2),0))</f>
        <v>0</v>
      </c>
      <c r="N734" s="22">
        <f>IF($L734="","",IF($L734&lt;=0.005,0,$L734+N($M734)))</f>
        <v>0</v>
      </c>
      <c r="O734" s="23">
        <f>IF(OR($I734="Vencido",$I734="Vencido (parcial)"),"Olá, "&amp;$A734&amp;"! Consta em aberto '"&amp;$B734&amp;"' com vencimento em "&amp;DAY($D734)&amp;"/"&amp;MONTH($D734)&amp;"/"&amp;YEAR($D734)&amp;", no valor de R$ "&amp;FIXED($N734,2)&amp;" (com multa e juros). Podemos ajudar a regularizar hoje? Obrigado!",IF($I734="Vence hoje","Olá, "&amp;$A734&amp;"! Lembrete: '"&amp;$B734&amp;"' vence hoje, no valor de R$ "&amp;FIXED($L734,2)&amp;". Obrigado!",""))</f>
        <v>0</v>
      </c>
    </row>
    <row r="735" spans="1:15">
      <c r="A735" s="13"/>
      <c r="B735" s="13"/>
      <c r="C735" s="17"/>
      <c r="D735" s="17"/>
      <c r="E735" s="18"/>
      <c r="F735" s="17"/>
      <c r="G735" s="18"/>
      <c r="H735" s="13"/>
      <c r="I735" s="19">
        <f>IF($E735="","",IF($L735&lt;=0.005,"Pago",IF($D735="","Sem vencimento",IF($D735&lt;Hoje,IF(N($G735)&gt;0,"Vencido (parcial)","Vencido"),IF($D735=Hoje,"Vence hoje","A vencer")))))</f>
        <v>0</v>
      </c>
      <c r="J735" s="20">
        <f>IF(OR($E735="",$D735=""),"",IF(AND($L735&gt;0.005,$D735&lt;Hoje),Hoje-$D735,0))</f>
        <v>0</v>
      </c>
      <c r="K735" s="20">
        <f>IF($J735="","",IF($L735&lt;=0.005,"Pago",IF($J735&lt;=0,"A vencer",IF($J735&lt;=15,"1-15 dias",IF($J735&lt;=30,"16-30 dias",IF($J735&lt;=60,"31-60 dias","Mais de 60 dias"))))))</f>
        <v>0</v>
      </c>
      <c r="L735" s="21">
        <f>IF($E735="","",MAX(0,$E735-N($G735)))</f>
        <v>0</v>
      </c>
      <c r="M735" s="21">
        <f>IF(OR($L735="",$J735=""),"",IF($J735&gt;0,ROUND($L735*Multa+$L735*Juros/30*$J735,2),0))</f>
        <v>0</v>
      </c>
      <c r="N735" s="22">
        <f>IF($L735="","",IF($L735&lt;=0.005,0,$L735+N($M735)))</f>
        <v>0</v>
      </c>
      <c r="O735" s="23">
        <f>IF(OR($I735="Vencido",$I735="Vencido (parcial)"),"Olá, "&amp;$A735&amp;"! Consta em aberto '"&amp;$B735&amp;"' com vencimento em "&amp;DAY($D735)&amp;"/"&amp;MONTH($D735)&amp;"/"&amp;YEAR($D735)&amp;", no valor de R$ "&amp;FIXED($N735,2)&amp;" (com multa e juros). Podemos ajudar a regularizar hoje? Obrigado!",IF($I735="Vence hoje","Olá, "&amp;$A735&amp;"! Lembrete: '"&amp;$B735&amp;"' vence hoje, no valor de R$ "&amp;FIXED($L735,2)&amp;". Obrigado!",""))</f>
        <v>0</v>
      </c>
    </row>
    <row r="736" spans="1:15">
      <c r="A736" s="13"/>
      <c r="B736" s="13"/>
      <c r="C736" s="17"/>
      <c r="D736" s="17"/>
      <c r="E736" s="18"/>
      <c r="F736" s="17"/>
      <c r="G736" s="18"/>
      <c r="H736" s="13"/>
      <c r="I736" s="19">
        <f>IF($E736="","",IF($L736&lt;=0.005,"Pago",IF($D736="","Sem vencimento",IF($D736&lt;Hoje,IF(N($G736)&gt;0,"Vencido (parcial)","Vencido"),IF($D736=Hoje,"Vence hoje","A vencer")))))</f>
        <v>0</v>
      </c>
      <c r="J736" s="20">
        <f>IF(OR($E736="",$D736=""),"",IF(AND($L736&gt;0.005,$D736&lt;Hoje),Hoje-$D736,0))</f>
        <v>0</v>
      </c>
      <c r="K736" s="20">
        <f>IF($J736="","",IF($L736&lt;=0.005,"Pago",IF($J736&lt;=0,"A vencer",IF($J736&lt;=15,"1-15 dias",IF($J736&lt;=30,"16-30 dias",IF($J736&lt;=60,"31-60 dias","Mais de 60 dias"))))))</f>
        <v>0</v>
      </c>
      <c r="L736" s="21">
        <f>IF($E736="","",MAX(0,$E736-N($G736)))</f>
        <v>0</v>
      </c>
      <c r="M736" s="21">
        <f>IF(OR($L736="",$J736=""),"",IF($J736&gt;0,ROUND($L736*Multa+$L736*Juros/30*$J736,2),0))</f>
        <v>0</v>
      </c>
      <c r="N736" s="22">
        <f>IF($L736="","",IF($L736&lt;=0.005,0,$L736+N($M736)))</f>
        <v>0</v>
      </c>
      <c r="O736" s="23">
        <f>IF(OR($I736="Vencido",$I736="Vencido (parcial)"),"Olá, "&amp;$A736&amp;"! Consta em aberto '"&amp;$B736&amp;"' com vencimento em "&amp;DAY($D736)&amp;"/"&amp;MONTH($D736)&amp;"/"&amp;YEAR($D736)&amp;", no valor de R$ "&amp;FIXED($N736,2)&amp;" (com multa e juros). Podemos ajudar a regularizar hoje? Obrigado!",IF($I736="Vence hoje","Olá, "&amp;$A736&amp;"! Lembrete: '"&amp;$B736&amp;"' vence hoje, no valor de R$ "&amp;FIXED($L736,2)&amp;". Obrigado!",""))</f>
        <v>0</v>
      </c>
    </row>
    <row r="737" spans="1:15">
      <c r="A737" s="13"/>
      <c r="B737" s="13"/>
      <c r="C737" s="17"/>
      <c r="D737" s="17"/>
      <c r="E737" s="18"/>
      <c r="F737" s="17"/>
      <c r="G737" s="18"/>
      <c r="H737" s="13"/>
      <c r="I737" s="19">
        <f>IF($E737="","",IF($L737&lt;=0.005,"Pago",IF($D737="","Sem vencimento",IF($D737&lt;Hoje,IF(N($G737)&gt;0,"Vencido (parcial)","Vencido"),IF($D737=Hoje,"Vence hoje","A vencer")))))</f>
        <v>0</v>
      </c>
      <c r="J737" s="20">
        <f>IF(OR($E737="",$D737=""),"",IF(AND($L737&gt;0.005,$D737&lt;Hoje),Hoje-$D737,0))</f>
        <v>0</v>
      </c>
      <c r="K737" s="20">
        <f>IF($J737="","",IF($L737&lt;=0.005,"Pago",IF($J737&lt;=0,"A vencer",IF($J737&lt;=15,"1-15 dias",IF($J737&lt;=30,"16-30 dias",IF($J737&lt;=60,"31-60 dias","Mais de 60 dias"))))))</f>
        <v>0</v>
      </c>
      <c r="L737" s="21">
        <f>IF($E737="","",MAX(0,$E737-N($G737)))</f>
        <v>0</v>
      </c>
      <c r="M737" s="21">
        <f>IF(OR($L737="",$J737=""),"",IF($J737&gt;0,ROUND($L737*Multa+$L737*Juros/30*$J737,2),0))</f>
        <v>0</v>
      </c>
      <c r="N737" s="22">
        <f>IF($L737="","",IF($L737&lt;=0.005,0,$L737+N($M737)))</f>
        <v>0</v>
      </c>
      <c r="O737" s="23">
        <f>IF(OR($I737="Vencido",$I737="Vencido (parcial)"),"Olá, "&amp;$A737&amp;"! Consta em aberto '"&amp;$B737&amp;"' com vencimento em "&amp;DAY($D737)&amp;"/"&amp;MONTH($D737)&amp;"/"&amp;YEAR($D737)&amp;", no valor de R$ "&amp;FIXED($N737,2)&amp;" (com multa e juros). Podemos ajudar a regularizar hoje? Obrigado!",IF($I737="Vence hoje","Olá, "&amp;$A737&amp;"! Lembrete: '"&amp;$B737&amp;"' vence hoje, no valor de R$ "&amp;FIXED($L737,2)&amp;". Obrigado!",""))</f>
        <v>0</v>
      </c>
    </row>
    <row r="738" spans="1:15">
      <c r="A738" s="13"/>
      <c r="B738" s="13"/>
      <c r="C738" s="17"/>
      <c r="D738" s="17"/>
      <c r="E738" s="18"/>
      <c r="F738" s="17"/>
      <c r="G738" s="18"/>
      <c r="H738" s="13"/>
      <c r="I738" s="19">
        <f>IF($E738="","",IF($L738&lt;=0.005,"Pago",IF($D738="","Sem vencimento",IF($D738&lt;Hoje,IF(N($G738)&gt;0,"Vencido (parcial)","Vencido"),IF($D738=Hoje,"Vence hoje","A vencer")))))</f>
        <v>0</v>
      </c>
      <c r="J738" s="20">
        <f>IF(OR($E738="",$D738=""),"",IF(AND($L738&gt;0.005,$D738&lt;Hoje),Hoje-$D738,0))</f>
        <v>0</v>
      </c>
      <c r="K738" s="20">
        <f>IF($J738="","",IF($L738&lt;=0.005,"Pago",IF($J738&lt;=0,"A vencer",IF($J738&lt;=15,"1-15 dias",IF($J738&lt;=30,"16-30 dias",IF($J738&lt;=60,"31-60 dias","Mais de 60 dias"))))))</f>
        <v>0</v>
      </c>
      <c r="L738" s="21">
        <f>IF($E738="","",MAX(0,$E738-N($G738)))</f>
        <v>0</v>
      </c>
      <c r="M738" s="21">
        <f>IF(OR($L738="",$J738=""),"",IF($J738&gt;0,ROUND($L738*Multa+$L738*Juros/30*$J738,2),0))</f>
        <v>0</v>
      </c>
      <c r="N738" s="22">
        <f>IF($L738="","",IF($L738&lt;=0.005,0,$L738+N($M738)))</f>
        <v>0</v>
      </c>
      <c r="O738" s="23">
        <f>IF(OR($I738="Vencido",$I738="Vencido (parcial)"),"Olá, "&amp;$A738&amp;"! Consta em aberto '"&amp;$B738&amp;"' com vencimento em "&amp;DAY($D738)&amp;"/"&amp;MONTH($D738)&amp;"/"&amp;YEAR($D738)&amp;", no valor de R$ "&amp;FIXED($N738,2)&amp;" (com multa e juros). Podemos ajudar a regularizar hoje? Obrigado!",IF($I738="Vence hoje","Olá, "&amp;$A738&amp;"! Lembrete: '"&amp;$B738&amp;"' vence hoje, no valor de R$ "&amp;FIXED($L738,2)&amp;". Obrigado!",""))</f>
        <v>0</v>
      </c>
    </row>
    <row r="739" spans="1:15">
      <c r="A739" s="13"/>
      <c r="B739" s="13"/>
      <c r="C739" s="17"/>
      <c r="D739" s="17"/>
      <c r="E739" s="18"/>
      <c r="F739" s="17"/>
      <c r="G739" s="18"/>
      <c r="H739" s="13"/>
      <c r="I739" s="19">
        <f>IF($E739="","",IF($L739&lt;=0.005,"Pago",IF($D739="","Sem vencimento",IF($D739&lt;Hoje,IF(N($G739)&gt;0,"Vencido (parcial)","Vencido"),IF($D739=Hoje,"Vence hoje","A vencer")))))</f>
        <v>0</v>
      </c>
      <c r="J739" s="20">
        <f>IF(OR($E739="",$D739=""),"",IF(AND($L739&gt;0.005,$D739&lt;Hoje),Hoje-$D739,0))</f>
        <v>0</v>
      </c>
      <c r="K739" s="20">
        <f>IF($J739="","",IF($L739&lt;=0.005,"Pago",IF($J739&lt;=0,"A vencer",IF($J739&lt;=15,"1-15 dias",IF($J739&lt;=30,"16-30 dias",IF($J739&lt;=60,"31-60 dias","Mais de 60 dias"))))))</f>
        <v>0</v>
      </c>
      <c r="L739" s="21">
        <f>IF($E739="","",MAX(0,$E739-N($G739)))</f>
        <v>0</v>
      </c>
      <c r="M739" s="21">
        <f>IF(OR($L739="",$J739=""),"",IF($J739&gt;0,ROUND($L739*Multa+$L739*Juros/30*$J739,2),0))</f>
        <v>0</v>
      </c>
      <c r="N739" s="22">
        <f>IF($L739="","",IF($L739&lt;=0.005,0,$L739+N($M739)))</f>
        <v>0</v>
      </c>
      <c r="O739" s="23">
        <f>IF(OR($I739="Vencido",$I739="Vencido (parcial)"),"Olá, "&amp;$A739&amp;"! Consta em aberto '"&amp;$B739&amp;"' com vencimento em "&amp;DAY($D739)&amp;"/"&amp;MONTH($D739)&amp;"/"&amp;YEAR($D739)&amp;", no valor de R$ "&amp;FIXED($N739,2)&amp;" (com multa e juros). Podemos ajudar a regularizar hoje? Obrigado!",IF($I739="Vence hoje","Olá, "&amp;$A739&amp;"! Lembrete: '"&amp;$B739&amp;"' vence hoje, no valor de R$ "&amp;FIXED($L739,2)&amp;". Obrigado!",""))</f>
        <v>0</v>
      </c>
    </row>
    <row r="740" spans="1:15">
      <c r="A740" s="13"/>
      <c r="B740" s="13"/>
      <c r="C740" s="17"/>
      <c r="D740" s="17"/>
      <c r="E740" s="18"/>
      <c r="F740" s="17"/>
      <c r="G740" s="18"/>
      <c r="H740" s="13"/>
      <c r="I740" s="19">
        <f>IF($E740="","",IF($L740&lt;=0.005,"Pago",IF($D740="","Sem vencimento",IF($D740&lt;Hoje,IF(N($G740)&gt;0,"Vencido (parcial)","Vencido"),IF($D740=Hoje,"Vence hoje","A vencer")))))</f>
        <v>0</v>
      </c>
      <c r="J740" s="20">
        <f>IF(OR($E740="",$D740=""),"",IF(AND($L740&gt;0.005,$D740&lt;Hoje),Hoje-$D740,0))</f>
        <v>0</v>
      </c>
      <c r="K740" s="20">
        <f>IF($J740="","",IF($L740&lt;=0.005,"Pago",IF($J740&lt;=0,"A vencer",IF($J740&lt;=15,"1-15 dias",IF($J740&lt;=30,"16-30 dias",IF($J740&lt;=60,"31-60 dias","Mais de 60 dias"))))))</f>
        <v>0</v>
      </c>
      <c r="L740" s="21">
        <f>IF($E740="","",MAX(0,$E740-N($G740)))</f>
        <v>0</v>
      </c>
      <c r="M740" s="21">
        <f>IF(OR($L740="",$J740=""),"",IF($J740&gt;0,ROUND($L740*Multa+$L740*Juros/30*$J740,2),0))</f>
        <v>0</v>
      </c>
      <c r="N740" s="22">
        <f>IF($L740="","",IF($L740&lt;=0.005,0,$L740+N($M740)))</f>
        <v>0</v>
      </c>
      <c r="O740" s="23">
        <f>IF(OR($I740="Vencido",$I740="Vencido (parcial)"),"Olá, "&amp;$A740&amp;"! Consta em aberto '"&amp;$B740&amp;"' com vencimento em "&amp;DAY($D740)&amp;"/"&amp;MONTH($D740)&amp;"/"&amp;YEAR($D740)&amp;", no valor de R$ "&amp;FIXED($N740,2)&amp;" (com multa e juros). Podemos ajudar a regularizar hoje? Obrigado!",IF($I740="Vence hoje","Olá, "&amp;$A740&amp;"! Lembrete: '"&amp;$B740&amp;"' vence hoje, no valor de R$ "&amp;FIXED($L740,2)&amp;". Obrigado!",""))</f>
        <v>0</v>
      </c>
    </row>
    <row r="741" spans="1:15">
      <c r="A741" s="13"/>
      <c r="B741" s="13"/>
      <c r="C741" s="17"/>
      <c r="D741" s="17"/>
      <c r="E741" s="18"/>
      <c r="F741" s="17"/>
      <c r="G741" s="18"/>
      <c r="H741" s="13"/>
      <c r="I741" s="19">
        <f>IF($E741="","",IF($L741&lt;=0.005,"Pago",IF($D741="","Sem vencimento",IF($D741&lt;Hoje,IF(N($G741)&gt;0,"Vencido (parcial)","Vencido"),IF($D741=Hoje,"Vence hoje","A vencer")))))</f>
        <v>0</v>
      </c>
      <c r="J741" s="20">
        <f>IF(OR($E741="",$D741=""),"",IF(AND($L741&gt;0.005,$D741&lt;Hoje),Hoje-$D741,0))</f>
        <v>0</v>
      </c>
      <c r="K741" s="20">
        <f>IF($J741="","",IF($L741&lt;=0.005,"Pago",IF($J741&lt;=0,"A vencer",IF($J741&lt;=15,"1-15 dias",IF($J741&lt;=30,"16-30 dias",IF($J741&lt;=60,"31-60 dias","Mais de 60 dias"))))))</f>
        <v>0</v>
      </c>
      <c r="L741" s="21">
        <f>IF($E741="","",MAX(0,$E741-N($G741)))</f>
        <v>0</v>
      </c>
      <c r="M741" s="21">
        <f>IF(OR($L741="",$J741=""),"",IF($J741&gt;0,ROUND($L741*Multa+$L741*Juros/30*$J741,2),0))</f>
        <v>0</v>
      </c>
      <c r="N741" s="22">
        <f>IF($L741="","",IF($L741&lt;=0.005,0,$L741+N($M741)))</f>
        <v>0</v>
      </c>
      <c r="O741" s="23">
        <f>IF(OR($I741="Vencido",$I741="Vencido (parcial)"),"Olá, "&amp;$A741&amp;"! Consta em aberto '"&amp;$B741&amp;"' com vencimento em "&amp;DAY($D741)&amp;"/"&amp;MONTH($D741)&amp;"/"&amp;YEAR($D741)&amp;", no valor de R$ "&amp;FIXED($N741,2)&amp;" (com multa e juros). Podemos ajudar a regularizar hoje? Obrigado!",IF($I741="Vence hoje","Olá, "&amp;$A741&amp;"! Lembrete: '"&amp;$B741&amp;"' vence hoje, no valor de R$ "&amp;FIXED($L741,2)&amp;". Obrigado!",""))</f>
        <v>0</v>
      </c>
    </row>
    <row r="742" spans="1:15">
      <c r="A742" s="13"/>
      <c r="B742" s="13"/>
      <c r="C742" s="17"/>
      <c r="D742" s="17"/>
      <c r="E742" s="18"/>
      <c r="F742" s="17"/>
      <c r="G742" s="18"/>
      <c r="H742" s="13"/>
      <c r="I742" s="19">
        <f>IF($E742="","",IF($L742&lt;=0.005,"Pago",IF($D742="","Sem vencimento",IF($D742&lt;Hoje,IF(N($G742)&gt;0,"Vencido (parcial)","Vencido"),IF($D742=Hoje,"Vence hoje","A vencer")))))</f>
        <v>0</v>
      </c>
      <c r="J742" s="20">
        <f>IF(OR($E742="",$D742=""),"",IF(AND($L742&gt;0.005,$D742&lt;Hoje),Hoje-$D742,0))</f>
        <v>0</v>
      </c>
      <c r="K742" s="20">
        <f>IF($J742="","",IF($L742&lt;=0.005,"Pago",IF($J742&lt;=0,"A vencer",IF($J742&lt;=15,"1-15 dias",IF($J742&lt;=30,"16-30 dias",IF($J742&lt;=60,"31-60 dias","Mais de 60 dias"))))))</f>
        <v>0</v>
      </c>
      <c r="L742" s="21">
        <f>IF($E742="","",MAX(0,$E742-N($G742)))</f>
        <v>0</v>
      </c>
      <c r="M742" s="21">
        <f>IF(OR($L742="",$J742=""),"",IF($J742&gt;0,ROUND($L742*Multa+$L742*Juros/30*$J742,2),0))</f>
        <v>0</v>
      </c>
      <c r="N742" s="22">
        <f>IF($L742="","",IF($L742&lt;=0.005,0,$L742+N($M742)))</f>
        <v>0</v>
      </c>
      <c r="O742" s="23">
        <f>IF(OR($I742="Vencido",$I742="Vencido (parcial)"),"Olá, "&amp;$A742&amp;"! Consta em aberto '"&amp;$B742&amp;"' com vencimento em "&amp;DAY($D742)&amp;"/"&amp;MONTH($D742)&amp;"/"&amp;YEAR($D742)&amp;", no valor de R$ "&amp;FIXED($N742,2)&amp;" (com multa e juros). Podemos ajudar a regularizar hoje? Obrigado!",IF($I742="Vence hoje","Olá, "&amp;$A742&amp;"! Lembrete: '"&amp;$B742&amp;"' vence hoje, no valor de R$ "&amp;FIXED($L742,2)&amp;". Obrigado!",""))</f>
        <v>0</v>
      </c>
    </row>
    <row r="743" spans="1:15">
      <c r="A743" s="13"/>
      <c r="B743" s="13"/>
      <c r="C743" s="17"/>
      <c r="D743" s="17"/>
      <c r="E743" s="18"/>
      <c r="F743" s="17"/>
      <c r="G743" s="18"/>
      <c r="H743" s="13"/>
      <c r="I743" s="19">
        <f>IF($E743="","",IF($L743&lt;=0.005,"Pago",IF($D743="","Sem vencimento",IF($D743&lt;Hoje,IF(N($G743)&gt;0,"Vencido (parcial)","Vencido"),IF($D743=Hoje,"Vence hoje","A vencer")))))</f>
        <v>0</v>
      </c>
      <c r="J743" s="20">
        <f>IF(OR($E743="",$D743=""),"",IF(AND($L743&gt;0.005,$D743&lt;Hoje),Hoje-$D743,0))</f>
        <v>0</v>
      </c>
      <c r="K743" s="20">
        <f>IF($J743="","",IF($L743&lt;=0.005,"Pago",IF($J743&lt;=0,"A vencer",IF($J743&lt;=15,"1-15 dias",IF($J743&lt;=30,"16-30 dias",IF($J743&lt;=60,"31-60 dias","Mais de 60 dias"))))))</f>
        <v>0</v>
      </c>
      <c r="L743" s="21">
        <f>IF($E743="","",MAX(0,$E743-N($G743)))</f>
        <v>0</v>
      </c>
      <c r="M743" s="21">
        <f>IF(OR($L743="",$J743=""),"",IF($J743&gt;0,ROUND($L743*Multa+$L743*Juros/30*$J743,2),0))</f>
        <v>0</v>
      </c>
      <c r="N743" s="22">
        <f>IF($L743="","",IF($L743&lt;=0.005,0,$L743+N($M743)))</f>
        <v>0</v>
      </c>
      <c r="O743" s="23">
        <f>IF(OR($I743="Vencido",$I743="Vencido (parcial)"),"Olá, "&amp;$A743&amp;"! Consta em aberto '"&amp;$B743&amp;"' com vencimento em "&amp;DAY($D743)&amp;"/"&amp;MONTH($D743)&amp;"/"&amp;YEAR($D743)&amp;", no valor de R$ "&amp;FIXED($N743,2)&amp;" (com multa e juros). Podemos ajudar a regularizar hoje? Obrigado!",IF($I743="Vence hoje","Olá, "&amp;$A743&amp;"! Lembrete: '"&amp;$B743&amp;"' vence hoje, no valor de R$ "&amp;FIXED($L743,2)&amp;". Obrigado!",""))</f>
        <v>0</v>
      </c>
    </row>
    <row r="744" spans="1:15">
      <c r="A744" s="13"/>
      <c r="B744" s="13"/>
      <c r="C744" s="17"/>
      <c r="D744" s="17"/>
      <c r="E744" s="18"/>
      <c r="F744" s="17"/>
      <c r="G744" s="18"/>
      <c r="H744" s="13"/>
      <c r="I744" s="19">
        <f>IF($E744="","",IF($L744&lt;=0.005,"Pago",IF($D744="","Sem vencimento",IF($D744&lt;Hoje,IF(N($G744)&gt;0,"Vencido (parcial)","Vencido"),IF($D744=Hoje,"Vence hoje","A vencer")))))</f>
        <v>0</v>
      </c>
      <c r="J744" s="20">
        <f>IF(OR($E744="",$D744=""),"",IF(AND($L744&gt;0.005,$D744&lt;Hoje),Hoje-$D744,0))</f>
        <v>0</v>
      </c>
      <c r="K744" s="20">
        <f>IF($J744="","",IF($L744&lt;=0.005,"Pago",IF($J744&lt;=0,"A vencer",IF($J744&lt;=15,"1-15 dias",IF($J744&lt;=30,"16-30 dias",IF($J744&lt;=60,"31-60 dias","Mais de 60 dias"))))))</f>
        <v>0</v>
      </c>
      <c r="L744" s="21">
        <f>IF($E744="","",MAX(0,$E744-N($G744)))</f>
        <v>0</v>
      </c>
      <c r="M744" s="21">
        <f>IF(OR($L744="",$J744=""),"",IF($J744&gt;0,ROUND($L744*Multa+$L744*Juros/30*$J744,2),0))</f>
        <v>0</v>
      </c>
      <c r="N744" s="22">
        <f>IF($L744="","",IF($L744&lt;=0.005,0,$L744+N($M744)))</f>
        <v>0</v>
      </c>
      <c r="O744" s="23">
        <f>IF(OR($I744="Vencido",$I744="Vencido (parcial)"),"Olá, "&amp;$A744&amp;"! Consta em aberto '"&amp;$B744&amp;"' com vencimento em "&amp;DAY($D744)&amp;"/"&amp;MONTH($D744)&amp;"/"&amp;YEAR($D744)&amp;", no valor de R$ "&amp;FIXED($N744,2)&amp;" (com multa e juros). Podemos ajudar a regularizar hoje? Obrigado!",IF($I744="Vence hoje","Olá, "&amp;$A744&amp;"! Lembrete: '"&amp;$B744&amp;"' vence hoje, no valor de R$ "&amp;FIXED($L744,2)&amp;". Obrigado!",""))</f>
        <v>0</v>
      </c>
    </row>
    <row r="745" spans="1:15">
      <c r="A745" s="13"/>
      <c r="B745" s="13"/>
      <c r="C745" s="17"/>
      <c r="D745" s="17"/>
      <c r="E745" s="18"/>
      <c r="F745" s="17"/>
      <c r="G745" s="18"/>
      <c r="H745" s="13"/>
      <c r="I745" s="19">
        <f>IF($E745="","",IF($L745&lt;=0.005,"Pago",IF($D745="","Sem vencimento",IF($D745&lt;Hoje,IF(N($G745)&gt;0,"Vencido (parcial)","Vencido"),IF($D745=Hoje,"Vence hoje","A vencer")))))</f>
        <v>0</v>
      </c>
      <c r="J745" s="20">
        <f>IF(OR($E745="",$D745=""),"",IF(AND($L745&gt;0.005,$D745&lt;Hoje),Hoje-$D745,0))</f>
        <v>0</v>
      </c>
      <c r="K745" s="20">
        <f>IF($J745="","",IF($L745&lt;=0.005,"Pago",IF($J745&lt;=0,"A vencer",IF($J745&lt;=15,"1-15 dias",IF($J745&lt;=30,"16-30 dias",IF($J745&lt;=60,"31-60 dias","Mais de 60 dias"))))))</f>
        <v>0</v>
      </c>
      <c r="L745" s="21">
        <f>IF($E745="","",MAX(0,$E745-N($G745)))</f>
        <v>0</v>
      </c>
      <c r="M745" s="21">
        <f>IF(OR($L745="",$J745=""),"",IF($J745&gt;0,ROUND($L745*Multa+$L745*Juros/30*$J745,2),0))</f>
        <v>0</v>
      </c>
      <c r="N745" s="22">
        <f>IF($L745="","",IF($L745&lt;=0.005,0,$L745+N($M745)))</f>
        <v>0</v>
      </c>
      <c r="O745" s="23">
        <f>IF(OR($I745="Vencido",$I745="Vencido (parcial)"),"Olá, "&amp;$A745&amp;"! Consta em aberto '"&amp;$B745&amp;"' com vencimento em "&amp;DAY($D745)&amp;"/"&amp;MONTH($D745)&amp;"/"&amp;YEAR($D745)&amp;", no valor de R$ "&amp;FIXED($N745,2)&amp;" (com multa e juros). Podemos ajudar a regularizar hoje? Obrigado!",IF($I745="Vence hoje","Olá, "&amp;$A745&amp;"! Lembrete: '"&amp;$B745&amp;"' vence hoje, no valor de R$ "&amp;FIXED($L745,2)&amp;". Obrigado!",""))</f>
        <v>0</v>
      </c>
    </row>
    <row r="746" spans="1:15">
      <c r="A746" s="13"/>
      <c r="B746" s="13"/>
      <c r="C746" s="17"/>
      <c r="D746" s="17"/>
      <c r="E746" s="18"/>
      <c r="F746" s="17"/>
      <c r="G746" s="18"/>
      <c r="H746" s="13"/>
      <c r="I746" s="19">
        <f>IF($E746="","",IF($L746&lt;=0.005,"Pago",IF($D746="","Sem vencimento",IF($D746&lt;Hoje,IF(N($G746)&gt;0,"Vencido (parcial)","Vencido"),IF($D746=Hoje,"Vence hoje","A vencer")))))</f>
        <v>0</v>
      </c>
      <c r="J746" s="20">
        <f>IF(OR($E746="",$D746=""),"",IF(AND($L746&gt;0.005,$D746&lt;Hoje),Hoje-$D746,0))</f>
        <v>0</v>
      </c>
      <c r="K746" s="20">
        <f>IF($J746="","",IF($L746&lt;=0.005,"Pago",IF($J746&lt;=0,"A vencer",IF($J746&lt;=15,"1-15 dias",IF($J746&lt;=30,"16-30 dias",IF($J746&lt;=60,"31-60 dias","Mais de 60 dias"))))))</f>
        <v>0</v>
      </c>
      <c r="L746" s="21">
        <f>IF($E746="","",MAX(0,$E746-N($G746)))</f>
        <v>0</v>
      </c>
      <c r="M746" s="21">
        <f>IF(OR($L746="",$J746=""),"",IF($J746&gt;0,ROUND($L746*Multa+$L746*Juros/30*$J746,2),0))</f>
        <v>0</v>
      </c>
      <c r="N746" s="22">
        <f>IF($L746="","",IF($L746&lt;=0.005,0,$L746+N($M746)))</f>
        <v>0</v>
      </c>
      <c r="O746" s="23">
        <f>IF(OR($I746="Vencido",$I746="Vencido (parcial)"),"Olá, "&amp;$A746&amp;"! Consta em aberto '"&amp;$B746&amp;"' com vencimento em "&amp;DAY($D746)&amp;"/"&amp;MONTH($D746)&amp;"/"&amp;YEAR($D746)&amp;", no valor de R$ "&amp;FIXED($N746,2)&amp;" (com multa e juros). Podemos ajudar a regularizar hoje? Obrigado!",IF($I746="Vence hoje","Olá, "&amp;$A746&amp;"! Lembrete: '"&amp;$B746&amp;"' vence hoje, no valor de R$ "&amp;FIXED($L746,2)&amp;". Obrigado!",""))</f>
        <v>0</v>
      </c>
    </row>
    <row r="747" spans="1:15">
      <c r="A747" s="13"/>
      <c r="B747" s="13"/>
      <c r="C747" s="17"/>
      <c r="D747" s="17"/>
      <c r="E747" s="18"/>
      <c r="F747" s="17"/>
      <c r="G747" s="18"/>
      <c r="H747" s="13"/>
      <c r="I747" s="19">
        <f>IF($E747="","",IF($L747&lt;=0.005,"Pago",IF($D747="","Sem vencimento",IF($D747&lt;Hoje,IF(N($G747)&gt;0,"Vencido (parcial)","Vencido"),IF($D747=Hoje,"Vence hoje","A vencer")))))</f>
        <v>0</v>
      </c>
      <c r="J747" s="20">
        <f>IF(OR($E747="",$D747=""),"",IF(AND($L747&gt;0.005,$D747&lt;Hoje),Hoje-$D747,0))</f>
        <v>0</v>
      </c>
      <c r="K747" s="20">
        <f>IF($J747="","",IF($L747&lt;=0.005,"Pago",IF($J747&lt;=0,"A vencer",IF($J747&lt;=15,"1-15 dias",IF($J747&lt;=30,"16-30 dias",IF($J747&lt;=60,"31-60 dias","Mais de 60 dias"))))))</f>
        <v>0</v>
      </c>
      <c r="L747" s="21">
        <f>IF($E747="","",MAX(0,$E747-N($G747)))</f>
        <v>0</v>
      </c>
      <c r="M747" s="21">
        <f>IF(OR($L747="",$J747=""),"",IF($J747&gt;0,ROUND($L747*Multa+$L747*Juros/30*$J747,2),0))</f>
        <v>0</v>
      </c>
      <c r="N747" s="22">
        <f>IF($L747="","",IF($L747&lt;=0.005,0,$L747+N($M747)))</f>
        <v>0</v>
      </c>
      <c r="O747" s="23">
        <f>IF(OR($I747="Vencido",$I747="Vencido (parcial)"),"Olá, "&amp;$A747&amp;"! Consta em aberto '"&amp;$B747&amp;"' com vencimento em "&amp;DAY($D747)&amp;"/"&amp;MONTH($D747)&amp;"/"&amp;YEAR($D747)&amp;", no valor de R$ "&amp;FIXED($N747,2)&amp;" (com multa e juros). Podemos ajudar a regularizar hoje? Obrigado!",IF($I747="Vence hoje","Olá, "&amp;$A747&amp;"! Lembrete: '"&amp;$B747&amp;"' vence hoje, no valor de R$ "&amp;FIXED($L747,2)&amp;". Obrigado!",""))</f>
        <v>0</v>
      </c>
    </row>
    <row r="748" spans="1:15">
      <c r="A748" s="13"/>
      <c r="B748" s="13"/>
      <c r="C748" s="17"/>
      <c r="D748" s="17"/>
      <c r="E748" s="18"/>
      <c r="F748" s="17"/>
      <c r="G748" s="18"/>
      <c r="H748" s="13"/>
      <c r="I748" s="19">
        <f>IF($E748="","",IF($L748&lt;=0.005,"Pago",IF($D748="","Sem vencimento",IF($D748&lt;Hoje,IF(N($G748)&gt;0,"Vencido (parcial)","Vencido"),IF($D748=Hoje,"Vence hoje","A vencer")))))</f>
        <v>0</v>
      </c>
      <c r="J748" s="20">
        <f>IF(OR($E748="",$D748=""),"",IF(AND($L748&gt;0.005,$D748&lt;Hoje),Hoje-$D748,0))</f>
        <v>0</v>
      </c>
      <c r="K748" s="20">
        <f>IF($J748="","",IF($L748&lt;=0.005,"Pago",IF($J748&lt;=0,"A vencer",IF($J748&lt;=15,"1-15 dias",IF($J748&lt;=30,"16-30 dias",IF($J748&lt;=60,"31-60 dias","Mais de 60 dias"))))))</f>
        <v>0</v>
      </c>
      <c r="L748" s="21">
        <f>IF($E748="","",MAX(0,$E748-N($G748)))</f>
        <v>0</v>
      </c>
      <c r="M748" s="21">
        <f>IF(OR($L748="",$J748=""),"",IF($J748&gt;0,ROUND($L748*Multa+$L748*Juros/30*$J748,2),0))</f>
        <v>0</v>
      </c>
      <c r="N748" s="22">
        <f>IF($L748="","",IF($L748&lt;=0.005,0,$L748+N($M748)))</f>
        <v>0</v>
      </c>
      <c r="O748" s="23">
        <f>IF(OR($I748="Vencido",$I748="Vencido (parcial)"),"Olá, "&amp;$A748&amp;"! Consta em aberto '"&amp;$B748&amp;"' com vencimento em "&amp;DAY($D748)&amp;"/"&amp;MONTH($D748)&amp;"/"&amp;YEAR($D748)&amp;", no valor de R$ "&amp;FIXED($N748,2)&amp;" (com multa e juros). Podemos ajudar a regularizar hoje? Obrigado!",IF($I748="Vence hoje","Olá, "&amp;$A748&amp;"! Lembrete: '"&amp;$B748&amp;"' vence hoje, no valor de R$ "&amp;FIXED($L748,2)&amp;". Obrigado!",""))</f>
        <v>0</v>
      </c>
    </row>
    <row r="749" spans="1:15">
      <c r="A749" s="13"/>
      <c r="B749" s="13"/>
      <c r="C749" s="17"/>
      <c r="D749" s="17"/>
      <c r="E749" s="18"/>
      <c r="F749" s="17"/>
      <c r="G749" s="18"/>
      <c r="H749" s="13"/>
      <c r="I749" s="19">
        <f>IF($E749="","",IF($L749&lt;=0.005,"Pago",IF($D749="","Sem vencimento",IF($D749&lt;Hoje,IF(N($G749)&gt;0,"Vencido (parcial)","Vencido"),IF($D749=Hoje,"Vence hoje","A vencer")))))</f>
        <v>0</v>
      </c>
      <c r="J749" s="20">
        <f>IF(OR($E749="",$D749=""),"",IF(AND($L749&gt;0.005,$D749&lt;Hoje),Hoje-$D749,0))</f>
        <v>0</v>
      </c>
      <c r="K749" s="20">
        <f>IF($J749="","",IF($L749&lt;=0.005,"Pago",IF($J749&lt;=0,"A vencer",IF($J749&lt;=15,"1-15 dias",IF($J749&lt;=30,"16-30 dias",IF($J749&lt;=60,"31-60 dias","Mais de 60 dias"))))))</f>
        <v>0</v>
      </c>
      <c r="L749" s="21">
        <f>IF($E749="","",MAX(0,$E749-N($G749)))</f>
        <v>0</v>
      </c>
      <c r="M749" s="21">
        <f>IF(OR($L749="",$J749=""),"",IF($J749&gt;0,ROUND($L749*Multa+$L749*Juros/30*$J749,2),0))</f>
        <v>0</v>
      </c>
      <c r="N749" s="22">
        <f>IF($L749="","",IF($L749&lt;=0.005,0,$L749+N($M749)))</f>
        <v>0</v>
      </c>
      <c r="O749" s="23">
        <f>IF(OR($I749="Vencido",$I749="Vencido (parcial)"),"Olá, "&amp;$A749&amp;"! Consta em aberto '"&amp;$B749&amp;"' com vencimento em "&amp;DAY($D749)&amp;"/"&amp;MONTH($D749)&amp;"/"&amp;YEAR($D749)&amp;", no valor de R$ "&amp;FIXED($N749,2)&amp;" (com multa e juros). Podemos ajudar a regularizar hoje? Obrigado!",IF($I749="Vence hoje","Olá, "&amp;$A749&amp;"! Lembrete: '"&amp;$B749&amp;"' vence hoje, no valor de R$ "&amp;FIXED($L749,2)&amp;". Obrigado!",""))</f>
        <v>0</v>
      </c>
    </row>
    <row r="750" spans="1:15">
      <c r="A750" s="13"/>
      <c r="B750" s="13"/>
      <c r="C750" s="17"/>
      <c r="D750" s="17"/>
      <c r="E750" s="18"/>
      <c r="F750" s="17"/>
      <c r="G750" s="18"/>
      <c r="H750" s="13"/>
      <c r="I750" s="19">
        <f>IF($E750="","",IF($L750&lt;=0.005,"Pago",IF($D750="","Sem vencimento",IF($D750&lt;Hoje,IF(N($G750)&gt;0,"Vencido (parcial)","Vencido"),IF($D750=Hoje,"Vence hoje","A vencer")))))</f>
        <v>0</v>
      </c>
      <c r="J750" s="20">
        <f>IF(OR($E750="",$D750=""),"",IF(AND($L750&gt;0.005,$D750&lt;Hoje),Hoje-$D750,0))</f>
        <v>0</v>
      </c>
      <c r="K750" s="20">
        <f>IF($J750="","",IF($L750&lt;=0.005,"Pago",IF($J750&lt;=0,"A vencer",IF($J750&lt;=15,"1-15 dias",IF($J750&lt;=30,"16-30 dias",IF($J750&lt;=60,"31-60 dias","Mais de 60 dias"))))))</f>
        <v>0</v>
      </c>
      <c r="L750" s="21">
        <f>IF($E750="","",MAX(0,$E750-N($G750)))</f>
        <v>0</v>
      </c>
      <c r="M750" s="21">
        <f>IF(OR($L750="",$J750=""),"",IF($J750&gt;0,ROUND($L750*Multa+$L750*Juros/30*$J750,2),0))</f>
        <v>0</v>
      </c>
      <c r="N750" s="22">
        <f>IF($L750="","",IF($L750&lt;=0.005,0,$L750+N($M750)))</f>
        <v>0</v>
      </c>
      <c r="O750" s="23">
        <f>IF(OR($I750="Vencido",$I750="Vencido (parcial)"),"Olá, "&amp;$A750&amp;"! Consta em aberto '"&amp;$B750&amp;"' com vencimento em "&amp;DAY($D750)&amp;"/"&amp;MONTH($D750)&amp;"/"&amp;YEAR($D750)&amp;", no valor de R$ "&amp;FIXED($N750,2)&amp;" (com multa e juros). Podemos ajudar a regularizar hoje? Obrigado!",IF($I750="Vence hoje","Olá, "&amp;$A750&amp;"! Lembrete: '"&amp;$B750&amp;"' vence hoje, no valor de R$ "&amp;FIXED($L750,2)&amp;". Obrigado!",""))</f>
        <v>0</v>
      </c>
    </row>
    <row r="751" spans="1:15">
      <c r="A751" s="13"/>
      <c r="B751" s="13"/>
      <c r="C751" s="17"/>
      <c r="D751" s="17"/>
      <c r="E751" s="18"/>
      <c r="F751" s="17"/>
      <c r="G751" s="18"/>
      <c r="H751" s="13"/>
      <c r="I751" s="19">
        <f>IF($E751="","",IF($L751&lt;=0.005,"Pago",IF($D751="","Sem vencimento",IF($D751&lt;Hoje,IF(N($G751)&gt;0,"Vencido (parcial)","Vencido"),IF($D751=Hoje,"Vence hoje","A vencer")))))</f>
        <v>0</v>
      </c>
      <c r="J751" s="20">
        <f>IF(OR($E751="",$D751=""),"",IF(AND($L751&gt;0.005,$D751&lt;Hoje),Hoje-$D751,0))</f>
        <v>0</v>
      </c>
      <c r="K751" s="20">
        <f>IF($J751="","",IF($L751&lt;=0.005,"Pago",IF($J751&lt;=0,"A vencer",IF($J751&lt;=15,"1-15 dias",IF($J751&lt;=30,"16-30 dias",IF($J751&lt;=60,"31-60 dias","Mais de 60 dias"))))))</f>
        <v>0</v>
      </c>
      <c r="L751" s="21">
        <f>IF($E751="","",MAX(0,$E751-N($G751)))</f>
        <v>0</v>
      </c>
      <c r="M751" s="21">
        <f>IF(OR($L751="",$J751=""),"",IF($J751&gt;0,ROUND($L751*Multa+$L751*Juros/30*$J751,2),0))</f>
        <v>0</v>
      </c>
      <c r="N751" s="22">
        <f>IF($L751="","",IF($L751&lt;=0.005,0,$L751+N($M751)))</f>
        <v>0</v>
      </c>
      <c r="O751" s="23">
        <f>IF(OR($I751="Vencido",$I751="Vencido (parcial)"),"Olá, "&amp;$A751&amp;"! Consta em aberto '"&amp;$B751&amp;"' com vencimento em "&amp;DAY($D751)&amp;"/"&amp;MONTH($D751)&amp;"/"&amp;YEAR($D751)&amp;", no valor de R$ "&amp;FIXED($N751,2)&amp;" (com multa e juros). Podemos ajudar a regularizar hoje? Obrigado!",IF($I751="Vence hoje","Olá, "&amp;$A751&amp;"! Lembrete: '"&amp;$B751&amp;"' vence hoje, no valor de R$ "&amp;FIXED($L751,2)&amp;". Obrigado!",""))</f>
        <v>0</v>
      </c>
    </row>
    <row r="752" spans="1:15">
      <c r="A752" s="13"/>
      <c r="B752" s="13"/>
      <c r="C752" s="17"/>
      <c r="D752" s="17"/>
      <c r="E752" s="18"/>
      <c r="F752" s="17"/>
      <c r="G752" s="18"/>
      <c r="H752" s="13"/>
      <c r="I752" s="19">
        <f>IF($E752="","",IF($L752&lt;=0.005,"Pago",IF($D752="","Sem vencimento",IF($D752&lt;Hoje,IF(N($G752)&gt;0,"Vencido (parcial)","Vencido"),IF($D752=Hoje,"Vence hoje","A vencer")))))</f>
        <v>0</v>
      </c>
      <c r="J752" s="20">
        <f>IF(OR($E752="",$D752=""),"",IF(AND($L752&gt;0.005,$D752&lt;Hoje),Hoje-$D752,0))</f>
        <v>0</v>
      </c>
      <c r="K752" s="20">
        <f>IF($J752="","",IF($L752&lt;=0.005,"Pago",IF($J752&lt;=0,"A vencer",IF($J752&lt;=15,"1-15 dias",IF($J752&lt;=30,"16-30 dias",IF($J752&lt;=60,"31-60 dias","Mais de 60 dias"))))))</f>
        <v>0</v>
      </c>
      <c r="L752" s="21">
        <f>IF($E752="","",MAX(0,$E752-N($G752)))</f>
        <v>0</v>
      </c>
      <c r="M752" s="21">
        <f>IF(OR($L752="",$J752=""),"",IF($J752&gt;0,ROUND($L752*Multa+$L752*Juros/30*$J752,2),0))</f>
        <v>0</v>
      </c>
      <c r="N752" s="22">
        <f>IF($L752="","",IF($L752&lt;=0.005,0,$L752+N($M752)))</f>
        <v>0</v>
      </c>
      <c r="O752" s="23">
        <f>IF(OR($I752="Vencido",$I752="Vencido (parcial)"),"Olá, "&amp;$A752&amp;"! Consta em aberto '"&amp;$B752&amp;"' com vencimento em "&amp;DAY($D752)&amp;"/"&amp;MONTH($D752)&amp;"/"&amp;YEAR($D752)&amp;", no valor de R$ "&amp;FIXED($N752,2)&amp;" (com multa e juros). Podemos ajudar a regularizar hoje? Obrigado!",IF($I752="Vence hoje","Olá, "&amp;$A752&amp;"! Lembrete: '"&amp;$B752&amp;"' vence hoje, no valor de R$ "&amp;FIXED($L752,2)&amp;". Obrigado!",""))</f>
        <v>0</v>
      </c>
    </row>
    <row r="753" spans="1:15">
      <c r="A753" s="13"/>
      <c r="B753" s="13"/>
      <c r="C753" s="17"/>
      <c r="D753" s="17"/>
      <c r="E753" s="18"/>
      <c r="F753" s="17"/>
      <c r="G753" s="18"/>
      <c r="H753" s="13"/>
      <c r="I753" s="19">
        <f>IF($E753="","",IF($L753&lt;=0.005,"Pago",IF($D753="","Sem vencimento",IF($D753&lt;Hoje,IF(N($G753)&gt;0,"Vencido (parcial)","Vencido"),IF($D753=Hoje,"Vence hoje","A vencer")))))</f>
        <v>0</v>
      </c>
      <c r="J753" s="20">
        <f>IF(OR($E753="",$D753=""),"",IF(AND($L753&gt;0.005,$D753&lt;Hoje),Hoje-$D753,0))</f>
        <v>0</v>
      </c>
      <c r="K753" s="20">
        <f>IF($J753="","",IF($L753&lt;=0.005,"Pago",IF($J753&lt;=0,"A vencer",IF($J753&lt;=15,"1-15 dias",IF($J753&lt;=30,"16-30 dias",IF($J753&lt;=60,"31-60 dias","Mais de 60 dias"))))))</f>
        <v>0</v>
      </c>
      <c r="L753" s="21">
        <f>IF($E753="","",MAX(0,$E753-N($G753)))</f>
        <v>0</v>
      </c>
      <c r="M753" s="21">
        <f>IF(OR($L753="",$J753=""),"",IF($J753&gt;0,ROUND($L753*Multa+$L753*Juros/30*$J753,2),0))</f>
        <v>0</v>
      </c>
      <c r="N753" s="22">
        <f>IF($L753="","",IF($L753&lt;=0.005,0,$L753+N($M753)))</f>
        <v>0</v>
      </c>
      <c r="O753" s="23">
        <f>IF(OR($I753="Vencido",$I753="Vencido (parcial)"),"Olá, "&amp;$A753&amp;"! Consta em aberto '"&amp;$B753&amp;"' com vencimento em "&amp;DAY($D753)&amp;"/"&amp;MONTH($D753)&amp;"/"&amp;YEAR($D753)&amp;", no valor de R$ "&amp;FIXED($N753,2)&amp;" (com multa e juros). Podemos ajudar a regularizar hoje? Obrigado!",IF($I753="Vence hoje","Olá, "&amp;$A753&amp;"! Lembrete: '"&amp;$B753&amp;"' vence hoje, no valor de R$ "&amp;FIXED($L753,2)&amp;". Obrigado!",""))</f>
        <v>0</v>
      </c>
    </row>
    <row r="754" spans="1:15">
      <c r="A754" s="13"/>
      <c r="B754" s="13"/>
      <c r="C754" s="17"/>
      <c r="D754" s="17"/>
      <c r="E754" s="18"/>
      <c r="F754" s="17"/>
      <c r="G754" s="18"/>
      <c r="H754" s="13"/>
      <c r="I754" s="19">
        <f>IF($E754="","",IF($L754&lt;=0.005,"Pago",IF($D754="","Sem vencimento",IF($D754&lt;Hoje,IF(N($G754)&gt;0,"Vencido (parcial)","Vencido"),IF($D754=Hoje,"Vence hoje","A vencer")))))</f>
        <v>0</v>
      </c>
      <c r="J754" s="20">
        <f>IF(OR($E754="",$D754=""),"",IF(AND($L754&gt;0.005,$D754&lt;Hoje),Hoje-$D754,0))</f>
        <v>0</v>
      </c>
      <c r="K754" s="20">
        <f>IF($J754="","",IF($L754&lt;=0.005,"Pago",IF($J754&lt;=0,"A vencer",IF($J754&lt;=15,"1-15 dias",IF($J754&lt;=30,"16-30 dias",IF($J754&lt;=60,"31-60 dias","Mais de 60 dias"))))))</f>
        <v>0</v>
      </c>
      <c r="L754" s="21">
        <f>IF($E754="","",MAX(0,$E754-N($G754)))</f>
        <v>0</v>
      </c>
      <c r="M754" s="21">
        <f>IF(OR($L754="",$J754=""),"",IF($J754&gt;0,ROUND($L754*Multa+$L754*Juros/30*$J754,2),0))</f>
        <v>0</v>
      </c>
      <c r="N754" s="22">
        <f>IF($L754="","",IF($L754&lt;=0.005,0,$L754+N($M754)))</f>
        <v>0</v>
      </c>
      <c r="O754" s="23">
        <f>IF(OR($I754="Vencido",$I754="Vencido (parcial)"),"Olá, "&amp;$A754&amp;"! Consta em aberto '"&amp;$B754&amp;"' com vencimento em "&amp;DAY($D754)&amp;"/"&amp;MONTH($D754)&amp;"/"&amp;YEAR($D754)&amp;", no valor de R$ "&amp;FIXED($N754,2)&amp;" (com multa e juros). Podemos ajudar a regularizar hoje? Obrigado!",IF($I754="Vence hoje","Olá, "&amp;$A754&amp;"! Lembrete: '"&amp;$B754&amp;"' vence hoje, no valor de R$ "&amp;FIXED($L754,2)&amp;". Obrigado!",""))</f>
        <v>0</v>
      </c>
    </row>
    <row r="755" spans="1:15">
      <c r="A755" s="13"/>
      <c r="B755" s="13"/>
      <c r="C755" s="17"/>
      <c r="D755" s="17"/>
      <c r="E755" s="18"/>
      <c r="F755" s="17"/>
      <c r="G755" s="18"/>
      <c r="H755" s="13"/>
      <c r="I755" s="19">
        <f>IF($E755="","",IF($L755&lt;=0.005,"Pago",IF($D755="","Sem vencimento",IF($D755&lt;Hoje,IF(N($G755)&gt;0,"Vencido (parcial)","Vencido"),IF($D755=Hoje,"Vence hoje","A vencer")))))</f>
        <v>0</v>
      </c>
      <c r="J755" s="20">
        <f>IF(OR($E755="",$D755=""),"",IF(AND($L755&gt;0.005,$D755&lt;Hoje),Hoje-$D755,0))</f>
        <v>0</v>
      </c>
      <c r="K755" s="20">
        <f>IF($J755="","",IF($L755&lt;=0.005,"Pago",IF($J755&lt;=0,"A vencer",IF($J755&lt;=15,"1-15 dias",IF($J755&lt;=30,"16-30 dias",IF($J755&lt;=60,"31-60 dias","Mais de 60 dias"))))))</f>
        <v>0</v>
      </c>
      <c r="L755" s="21">
        <f>IF($E755="","",MAX(0,$E755-N($G755)))</f>
        <v>0</v>
      </c>
      <c r="M755" s="21">
        <f>IF(OR($L755="",$J755=""),"",IF($J755&gt;0,ROUND($L755*Multa+$L755*Juros/30*$J755,2),0))</f>
        <v>0</v>
      </c>
      <c r="N755" s="22">
        <f>IF($L755="","",IF($L755&lt;=0.005,0,$L755+N($M755)))</f>
        <v>0</v>
      </c>
      <c r="O755" s="23">
        <f>IF(OR($I755="Vencido",$I755="Vencido (parcial)"),"Olá, "&amp;$A755&amp;"! Consta em aberto '"&amp;$B755&amp;"' com vencimento em "&amp;DAY($D755)&amp;"/"&amp;MONTH($D755)&amp;"/"&amp;YEAR($D755)&amp;", no valor de R$ "&amp;FIXED($N755,2)&amp;" (com multa e juros). Podemos ajudar a regularizar hoje? Obrigado!",IF($I755="Vence hoje","Olá, "&amp;$A755&amp;"! Lembrete: '"&amp;$B755&amp;"' vence hoje, no valor de R$ "&amp;FIXED($L755,2)&amp;". Obrigado!",""))</f>
        <v>0</v>
      </c>
    </row>
    <row r="756" spans="1:15">
      <c r="A756" s="13"/>
      <c r="B756" s="13"/>
      <c r="C756" s="17"/>
      <c r="D756" s="17"/>
      <c r="E756" s="18"/>
      <c r="F756" s="17"/>
      <c r="G756" s="18"/>
      <c r="H756" s="13"/>
      <c r="I756" s="19">
        <f>IF($E756="","",IF($L756&lt;=0.005,"Pago",IF($D756="","Sem vencimento",IF($D756&lt;Hoje,IF(N($G756)&gt;0,"Vencido (parcial)","Vencido"),IF($D756=Hoje,"Vence hoje","A vencer")))))</f>
        <v>0</v>
      </c>
      <c r="J756" s="20">
        <f>IF(OR($E756="",$D756=""),"",IF(AND($L756&gt;0.005,$D756&lt;Hoje),Hoje-$D756,0))</f>
        <v>0</v>
      </c>
      <c r="K756" s="20">
        <f>IF($J756="","",IF($L756&lt;=0.005,"Pago",IF($J756&lt;=0,"A vencer",IF($J756&lt;=15,"1-15 dias",IF($J756&lt;=30,"16-30 dias",IF($J756&lt;=60,"31-60 dias","Mais de 60 dias"))))))</f>
        <v>0</v>
      </c>
      <c r="L756" s="21">
        <f>IF($E756="","",MAX(0,$E756-N($G756)))</f>
        <v>0</v>
      </c>
      <c r="M756" s="21">
        <f>IF(OR($L756="",$J756=""),"",IF($J756&gt;0,ROUND($L756*Multa+$L756*Juros/30*$J756,2),0))</f>
        <v>0</v>
      </c>
      <c r="N756" s="22">
        <f>IF($L756="","",IF($L756&lt;=0.005,0,$L756+N($M756)))</f>
        <v>0</v>
      </c>
      <c r="O756" s="23">
        <f>IF(OR($I756="Vencido",$I756="Vencido (parcial)"),"Olá, "&amp;$A756&amp;"! Consta em aberto '"&amp;$B756&amp;"' com vencimento em "&amp;DAY($D756)&amp;"/"&amp;MONTH($D756)&amp;"/"&amp;YEAR($D756)&amp;", no valor de R$ "&amp;FIXED($N756,2)&amp;" (com multa e juros). Podemos ajudar a regularizar hoje? Obrigado!",IF($I756="Vence hoje","Olá, "&amp;$A756&amp;"! Lembrete: '"&amp;$B756&amp;"' vence hoje, no valor de R$ "&amp;FIXED($L756,2)&amp;". Obrigado!",""))</f>
        <v>0</v>
      </c>
    </row>
    <row r="757" spans="1:15">
      <c r="A757" s="13"/>
      <c r="B757" s="13"/>
      <c r="C757" s="17"/>
      <c r="D757" s="17"/>
      <c r="E757" s="18"/>
      <c r="F757" s="17"/>
      <c r="G757" s="18"/>
      <c r="H757" s="13"/>
      <c r="I757" s="19">
        <f>IF($E757="","",IF($L757&lt;=0.005,"Pago",IF($D757="","Sem vencimento",IF($D757&lt;Hoje,IF(N($G757)&gt;0,"Vencido (parcial)","Vencido"),IF($D757=Hoje,"Vence hoje","A vencer")))))</f>
        <v>0</v>
      </c>
      <c r="J757" s="20">
        <f>IF(OR($E757="",$D757=""),"",IF(AND($L757&gt;0.005,$D757&lt;Hoje),Hoje-$D757,0))</f>
        <v>0</v>
      </c>
      <c r="K757" s="20">
        <f>IF($J757="","",IF($L757&lt;=0.005,"Pago",IF($J757&lt;=0,"A vencer",IF($J757&lt;=15,"1-15 dias",IF($J757&lt;=30,"16-30 dias",IF($J757&lt;=60,"31-60 dias","Mais de 60 dias"))))))</f>
        <v>0</v>
      </c>
      <c r="L757" s="21">
        <f>IF($E757="","",MAX(0,$E757-N($G757)))</f>
        <v>0</v>
      </c>
      <c r="M757" s="21">
        <f>IF(OR($L757="",$J757=""),"",IF($J757&gt;0,ROUND($L757*Multa+$L757*Juros/30*$J757,2),0))</f>
        <v>0</v>
      </c>
      <c r="N757" s="22">
        <f>IF($L757="","",IF($L757&lt;=0.005,0,$L757+N($M757)))</f>
        <v>0</v>
      </c>
      <c r="O757" s="23">
        <f>IF(OR($I757="Vencido",$I757="Vencido (parcial)"),"Olá, "&amp;$A757&amp;"! Consta em aberto '"&amp;$B757&amp;"' com vencimento em "&amp;DAY($D757)&amp;"/"&amp;MONTH($D757)&amp;"/"&amp;YEAR($D757)&amp;", no valor de R$ "&amp;FIXED($N757,2)&amp;" (com multa e juros). Podemos ajudar a regularizar hoje? Obrigado!",IF($I757="Vence hoje","Olá, "&amp;$A757&amp;"! Lembrete: '"&amp;$B757&amp;"' vence hoje, no valor de R$ "&amp;FIXED($L757,2)&amp;". Obrigado!",""))</f>
        <v>0</v>
      </c>
    </row>
    <row r="758" spans="1:15">
      <c r="A758" s="13"/>
      <c r="B758" s="13"/>
      <c r="C758" s="17"/>
      <c r="D758" s="17"/>
      <c r="E758" s="18"/>
      <c r="F758" s="17"/>
      <c r="G758" s="18"/>
      <c r="H758" s="13"/>
      <c r="I758" s="19">
        <f>IF($E758="","",IF($L758&lt;=0.005,"Pago",IF($D758="","Sem vencimento",IF($D758&lt;Hoje,IF(N($G758)&gt;0,"Vencido (parcial)","Vencido"),IF($D758=Hoje,"Vence hoje","A vencer")))))</f>
        <v>0</v>
      </c>
      <c r="J758" s="20">
        <f>IF(OR($E758="",$D758=""),"",IF(AND($L758&gt;0.005,$D758&lt;Hoje),Hoje-$D758,0))</f>
        <v>0</v>
      </c>
      <c r="K758" s="20">
        <f>IF($J758="","",IF($L758&lt;=0.005,"Pago",IF($J758&lt;=0,"A vencer",IF($J758&lt;=15,"1-15 dias",IF($J758&lt;=30,"16-30 dias",IF($J758&lt;=60,"31-60 dias","Mais de 60 dias"))))))</f>
        <v>0</v>
      </c>
      <c r="L758" s="21">
        <f>IF($E758="","",MAX(0,$E758-N($G758)))</f>
        <v>0</v>
      </c>
      <c r="M758" s="21">
        <f>IF(OR($L758="",$J758=""),"",IF($J758&gt;0,ROUND($L758*Multa+$L758*Juros/30*$J758,2),0))</f>
        <v>0</v>
      </c>
      <c r="N758" s="22">
        <f>IF($L758="","",IF($L758&lt;=0.005,0,$L758+N($M758)))</f>
        <v>0</v>
      </c>
      <c r="O758" s="23">
        <f>IF(OR($I758="Vencido",$I758="Vencido (parcial)"),"Olá, "&amp;$A758&amp;"! Consta em aberto '"&amp;$B758&amp;"' com vencimento em "&amp;DAY($D758)&amp;"/"&amp;MONTH($D758)&amp;"/"&amp;YEAR($D758)&amp;", no valor de R$ "&amp;FIXED($N758,2)&amp;" (com multa e juros). Podemos ajudar a regularizar hoje? Obrigado!",IF($I758="Vence hoje","Olá, "&amp;$A758&amp;"! Lembrete: '"&amp;$B758&amp;"' vence hoje, no valor de R$ "&amp;FIXED($L758,2)&amp;". Obrigado!",""))</f>
        <v>0</v>
      </c>
    </row>
    <row r="759" spans="1:15">
      <c r="A759" s="13"/>
      <c r="B759" s="13"/>
      <c r="C759" s="17"/>
      <c r="D759" s="17"/>
      <c r="E759" s="18"/>
      <c r="F759" s="17"/>
      <c r="G759" s="18"/>
      <c r="H759" s="13"/>
      <c r="I759" s="19">
        <f>IF($E759="","",IF($L759&lt;=0.005,"Pago",IF($D759="","Sem vencimento",IF($D759&lt;Hoje,IF(N($G759)&gt;0,"Vencido (parcial)","Vencido"),IF($D759=Hoje,"Vence hoje","A vencer")))))</f>
        <v>0</v>
      </c>
      <c r="J759" s="20">
        <f>IF(OR($E759="",$D759=""),"",IF(AND($L759&gt;0.005,$D759&lt;Hoje),Hoje-$D759,0))</f>
        <v>0</v>
      </c>
      <c r="K759" s="20">
        <f>IF($J759="","",IF($L759&lt;=0.005,"Pago",IF($J759&lt;=0,"A vencer",IF($J759&lt;=15,"1-15 dias",IF($J759&lt;=30,"16-30 dias",IF($J759&lt;=60,"31-60 dias","Mais de 60 dias"))))))</f>
        <v>0</v>
      </c>
      <c r="L759" s="21">
        <f>IF($E759="","",MAX(0,$E759-N($G759)))</f>
        <v>0</v>
      </c>
      <c r="M759" s="21">
        <f>IF(OR($L759="",$J759=""),"",IF($J759&gt;0,ROUND($L759*Multa+$L759*Juros/30*$J759,2),0))</f>
        <v>0</v>
      </c>
      <c r="N759" s="22">
        <f>IF($L759="","",IF($L759&lt;=0.005,0,$L759+N($M759)))</f>
        <v>0</v>
      </c>
      <c r="O759" s="23">
        <f>IF(OR($I759="Vencido",$I759="Vencido (parcial)"),"Olá, "&amp;$A759&amp;"! Consta em aberto '"&amp;$B759&amp;"' com vencimento em "&amp;DAY($D759)&amp;"/"&amp;MONTH($D759)&amp;"/"&amp;YEAR($D759)&amp;", no valor de R$ "&amp;FIXED($N759,2)&amp;" (com multa e juros). Podemos ajudar a regularizar hoje? Obrigado!",IF($I759="Vence hoje","Olá, "&amp;$A759&amp;"! Lembrete: '"&amp;$B759&amp;"' vence hoje, no valor de R$ "&amp;FIXED($L759,2)&amp;". Obrigado!",""))</f>
        <v>0</v>
      </c>
    </row>
    <row r="760" spans="1:15">
      <c r="A760" s="13"/>
      <c r="B760" s="13"/>
      <c r="C760" s="17"/>
      <c r="D760" s="17"/>
      <c r="E760" s="18"/>
      <c r="F760" s="17"/>
      <c r="G760" s="18"/>
      <c r="H760" s="13"/>
      <c r="I760" s="19">
        <f>IF($E760="","",IF($L760&lt;=0.005,"Pago",IF($D760="","Sem vencimento",IF($D760&lt;Hoje,IF(N($G760)&gt;0,"Vencido (parcial)","Vencido"),IF($D760=Hoje,"Vence hoje","A vencer")))))</f>
        <v>0</v>
      </c>
      <c r="J760" s="20">
        <f>IF(OR($E760="",$D760=""),"",IF(AND($L760&gt;0.005,$D760&lt;Hoje),Hoje-$D760,0))</f>
        <v>0</v>
      </c>
      <c r="K760" s="20">
        <f>IF($J760="","",IF($L760&lt;=0.005,"Pago",IF($J760&lt;=0,"A vencer",IF($J760&lt;=15,"1-15 dias",IF($J760&lt;=30,"16-30 dias",IF($J760&lt;=60,"31-60 dias","Mais de 60 dias"))))))</f>
        <v>0</v>
      </c>
      <c r="L760" s="21">
        <f>IF($E760="","",MAX(0,$E760-N($G760)))</f>
        <v>0</v>
      </c>
      <c r="M760" s="21">
        <f>IF(OR($L760="",$J760=""),"",IF($J760&gt;0,ROUND($L760*Multa+$L760*Juros/30*$J760,2),0))</f>
        <v>0</v>
      </c>
      <c r="N760" s="22">
        <f>IF($L760="","",IF($L760&lt;=0.005,0,$L760+N($M760)))</f>
        <v>0</v>
      </c>
      <c r="O760" s="23">
        <f>IF(OR($I760="Vencido",$I760="Vencido (parcial)"),"Olá, "&amp;$A760&amp;"! Consta em aberto '"&amp;$B760&amp;"' com vencimento em "&amp;DAY($D760)&amp;"/"&amp;MONTH($D760)&amp;"/"&amp;YEAR($D760)&amp;", no valor de R$ "&amp;FIXED($N760,2)&amp;" (com multa e juros). Podemos ajudar a regularizar hoje? Obrigado!",IF($I760="Vence hoje","Olá, "&amp;$A760&amp;"! Lembrete: '"&amp;$B760&amp;"' vence hoje, no valor de R$ "&amp;FIXED($L760,2)&amp;". Obrigado!",""))</f>
        <v>0</v>
      </c>
    </row>
    <row r="761" spans="1:15">
      <c r="A761" s="13"/>
      <c r="B761" s="13"/>
      <c r="C761" s="17"/>
      <c r="D761" s="17"/>
      <c r="E761" s="18"/>
      <c r="F761" s="17"/>
      <c r="G761" s="18"/>
      <c r="H761" s="13"/>
      <c r="I761" s="19">
        <f>IF($E761="","",IF($L761&lt;=0.005,"Pago",IF($D761="","Sem vencimento",IF($D761&lt;Hoje,IF(N($G761)&gt;0,"Vencido (parcial)","Vencido"),IF($D761=Hoje,"Vence hoje","A vencer")))))</f>
        <v>0</v>
      </c>
      <c r="J761" s="20">
        <f>IF(OR($E761="",$D761=""),"",IF(AND($L761&gt;0.005,$D761&lt;Hoje),Hoje-$D761,0))</f>
        <v>0</v>
      </c>
      <c r="K761" s="20">
        <f>IF($J761="","",IF($L761&lt;=0.005,"Pago",IF($J761&lt;=0,"A vencer",IF($J761&lt;=15,"1-15 dias",IF($J761&lt;=30,"16-30 dias",IF($J761&lt;=60,"31-60 dias","Mais de 60 dias"))))))</f>
        <v>0</v>
      </c>
      <c r="L761" s="21">
        <f>IF($E761="","",MAX(0,$E761-N($G761)))</f>
        <v>0</v>
      </c>
      <c r="M761" s="21">
        <f>IF(OR($L761="",$J761=""),"",IF($J761&gt;0,ROUND($L761*Multa+$L761*Juros/30*$J761,2),0))</f>
        <v>0</v>
      </c>
      <c r="N761" s="22">
        <f>IF($L761="","",IF($L761&lt;=0.005,0,$L761+N($M761)))</f>
        <v>0</v>
      </c>
      <c r="O761" s="23">
        <f>IF(OR($I761="Vencido",$I761="Vencido (parcial)"),"Olá, "&amp;$A761&amp;"! Consta em aberto '"&amp;$B761&amp;"' com vencimento em "&amp;DAY($D761)&amp;"/"&amp;MONTH($D761)&amp;"/"&amp;YEAR($D761)&amp;", no valor de R$ "&amp;FIXED($N761,2)&amp;" (com multa e juros). Podemos ajudar a regularizar hoje? Obrigado!",IF($I761="Vence hoje","Olá, "&amp;$A761&amp;"! Lembrete: '"&amp;$B761&amp;"' vence hoje, no valor de R$ "&amp;FIXED($L761,2)&amp;". Obrigado!",""))</f>
        <v>0</v>
      </c>
    </row>
    <row r="762" spans="1:15">
      <c r="A762" s="13"/>
      <c r="B762" s="13"/>
      <c r="C762" s="17"/>
      <c r="D762" s="17"/>
      <c r="E762" s="18"/>
      <c r="F762" s="17"/>
      <c r="G762" s="18"/>
      <c r="H762" s="13"/>
      <c r="I762" s="19">
        <f>IF($E762="","",IF($L762&lt;=0.005,"Pago",IF($D762="","Sem vencimento",IF($D762&lt;Hoje,IF(N($G762)&gt;0,"Vencido (parcial)","Vencido"),IF($D762=Hoje,"Vence hoje","A vencer")))))</f>
        <v>0</v>
      </c>
      <c r="J762" s="20">
        <f>IF(OR($E762="",$D762=""),"",IF(AND($L762&gt;0.005,$D762&lt;Hoje),Hoje-$D762,0))</f>
        <v>0</v>
      </c>
      <c r="K762" s="20">
        <f>IF($J762="","",IF($L762&lt;=0.005,"Pago",IF($J762&lt;=0,"A vencer",IF($J762&lt;=15,"1-15 dias",IF($J762&lt;=30,"16-30 dias",IF($J762&lt;=60,"31-60 dias","Mais de 60 dias"))))))</f>
        <v>0</v>
      </c>
      <c r="L762" s="21">
        <f>IF($E762="","",MAX(0,$E762-N($G762)))</f>
        <v>0</v>
      </c>
      <c r="M762" s="21">
        <f>IF(OR($L762="",$J762=""),"",IF($J762&gt;0,ROUND($L762*Multa+$L762*Juros/30*$J762,2),0))</f>
        <v>0</v>
      </c>
      <c r="N762" s="22">
        <f>IF($L762="","",IF($L762&lt;=0.005,0,$L762+N($M762)))</f>
        <v>0</v>
      </c>
      <c r="O762" s="23">
        <f>IF(OR($I762="Vencido",$I762="Vencido (parcial)"),"Olá, "&amp;$A762&amp;"! Consta em aberto '"&amp;$B762&amp;"' com vencimento em "&amp;DAY($D762)&amp;"/"&amp;MONTH($D762)&amp;"/"&amp;YEAR($D762)&amp;", no valor de R$ "&amp;FIXED($N762,2)&amp;" (com multa e juros). Podemos ajudar a regularizar hoje? Obrigado!",IF($I762="Vence hoje","Olá, "&amp;$A762&amp;"! Lembrete: '"&amp;$B762&amp;"' vence hoje, no valor de R$ "&amp;FIXED($L762,2)&amp;". Obrigado!",""))</f>
        <v>0</v>
      </c>
    </row>
    <row r="763" spans="1:15">
      <c r="A763" s="13"/>
      <c r="B763" s="13"/>
      <c r="C763" s="17"/>
      <c r="D763" s="17"/>
      <c r="E763" s="18"/>
      <c r="F763" s="17"/>
      <c r="G763" s="18"/>
      <c r="H763" s="13"/>
      <c r="I763" s="19">
        <f>IF($E763="","",IF($L763&lt;=0.005,"Pago",IF($D763="","Sem vencimento",IF($D763&lt;Hoje,IF(N($G763)&gt;0,"Vencido (parcial)","Vencido"),IF($D763=Hoje,"Vence hoje","A vencer")))))</f>
        <v>0</v>
      </c>
      <c r="J763" s="20">
        <f>IF(OR($E763="",$D763=""),"",IF(AND($L763&gt;0.005,$D763&lt;Hoje),Hoje-$D763,0))</f>
        <v>0</v>
      </c>
      <c r="K763" s="20">
        <f>IF($J763="","",IF($L763&lt;=0.005,"Pago",IF($J763&lt;=0,"A vencer",IF($J763&lt;=15,"1-15 dias",IF($J763&lt;=30,"16-30 dias",IF($J763&lt;=60,"31-60 dias","Mais de 60 dias"))))))</f>
        <v>0</v>
      </c>
      <c r="L763" s="21">
        <f>IF($E763="","",MAX(0,$E763-N($G763)))</f>
        <v>0</v>
      </c>
      <c r="M763" s="21">
        <f>IF(OR($L763="",$J763=""),"",IF($J763&gt;0,ROUND($L763*Multa+$L763*Juros/30*$J763,2),0))</f>
        <v>0</v>
      </c>
      <c r="N763" s="22">
        <f>IF($L763="","",IF($L763&lt;=0.005,0,$L763+N($M763)))</f>
        <v>0</v>
      </c>
      <c r="O763" s="23">
        <f>IF(OR($I763="Vencido",$I763="Vencido (parcial)"),"Olá, "&amp;$A763&amp;"! Consta em aberto '"&amp;$B763&amp;"' com vencimento em "&amp;DAY($D763)&amp;"/"&amp;MONTH($D763)&amp;"/"&amp;YEAR($D763)&amp;", no valor de R$ "&amp;FIXED($N763,2)&amp;" (com multa e juros). Podemos ajudar a regularizar hoje? Obrigado!",IF($I763="Vence hoje","Olá, "&amp;$A763&amp;"! Lembrete: '"&amp;$B763&amp;"' vence hoje, no valor de R$ "&amp;FIXED($L763,2)&amp;". Obrigado!",""))</f>
        <v>0</v>
      </c>
    </row>
    <row r="764" spans="1:15">
      <c r="A764" s="13"/>
      <c r="B764" s="13"/>
      <c r="C764" s="17"/>
      <c r="D764" s="17"/>
      <c r="E764" s="18"/>
      <c r="F764" s="17"/>
      <c r="G764" s="18"/>
      <c r="H764" s="13"/>
      <c r="I764" s="19">
        <f>IF($E764="","",IF($L764&lt;=0.005,"Pago",IF($D764="","Sem vencimento",IF($D764&lt;Hoje,IF(N($G764)&gt;0,"Vencido (parcial)","Vencido"),IF($D764=Hoje,"Vence hoje","A vencer")))))</f>
        <v>0</v>
      </c>
      <c r="J764" s="20">
        <f>IF(OR($E764="",$D764=""),"",IF(AND($L764&gt;0.005,$D764&lt;Hoje),Hoje-$D764,0))</f>
        <v>0</v>
      </c>
      <c r="K764" s="20">
        <f>IF($J764="","",IF($L764&lt;=0.005,"Pago",IF($J764&lt;=0,"A vencer",IF($J764&lt;=15,"1-15 dias",IF($J764&lt;=30,"16-30 dias",IF($J764&lt;=60,"31-60 dias","Mais de 60 dias"))))))</f>
        <v>0</v>
      </c>
      <c r="L764" s="21">
        <f>IF($E764="","",MAX(0,$E764-N($G764)))</f>
        <v>0</v>
      </c>
      <c r="M764" s="21">
        <f>IF(OR($L764="",$J764=""),"",IF($J764&gt;0,ROUND($L764*Multa+$L764*Juros/30*$J764,2),0))</f>
        <v>0</v>
      </c>
      <c r="N764" s="22">
        <f>IF($L764="","",IF($L764&lt;=0.005,0,$L764+N($M764)))</f>
        <v>0</v>
      </c>
      <c r="O764" s="23">
        <f>IF(OR($I764="Vencido",$I764="Vencido (parcial)"),"Olá, "&amp;$A764&amp;"! Consta em aberto '"&amp;$B764&amp;"' com vencimento em "&amp;DAY($D764)&amp;"/"&amp;MONTH($D764)&amp;"/"&amp;YEAR($D764)&amp;", no valor de R$ "&amp;FIXED($N764,2)&amp;" (com multa e juros). Podemos ajudar a regularizar hoje? Obrigado!",IF($I764="Vence hoje","Olá, "&amp;$A764&amp;"! Lembrete: '"&amp;$B764&amp;"' vence hoje, no valor de R$ "&amp;FIXED($L764,2)&amp;". Obrigado!",""))</f>
        <v>0</v>
      </c>
    </row>
    <row r="765" spans="1:15">
      <c r="A765" s="13"/>
      <c r="B765" s="13"/>
      <c r="C765" s="17"/>
      <c r="D765" s="17"/>
      <c r="E765" s="18"/>
      <c r="F765" s="17"/>
      <c r="G765" s="18"/>
      <c r="H765" s="13"/>
      <c r="I765" s="19">
        <f>IF($E765="","",IF($L765&lt;=0.005,"Pago",IF($D765="","Sem vencimento",IF($D765&lt;Hoje,IF(N($G765)&gt;0,"Vencido (parcial)","Vencido"),IF($D765=Hoje,"Vence hoje","A vencer")))))</f>
        <v>0</v>
      </c>
      <c r="J765" s="20">
        <f>IF(OR($E765="",$D765=""),"",IF(AND($L765&gt;0.005,$D765&lt;Hoje),Hoje-$D765,0))</f>
        <v>0</v>
      </c>
      <c r="K765" s="20">
        <f>IF($J765="","",IF($L765&lt;=0.005,"Pago",IF($J765&lt;=0,"A vencer",IF($J765&lt;=15,"1-15 dias",IF($J765&lt;=30,"16-30 dias",IF($J765&lt;=60,"31-60 dias","Mais de 60 dias"))))))</f>
        <v>0</v>
      </c>
      <c r="L765" s="21">
        <f>IF($E765="","",MAX(0,$E765-N($G765)))</f>
        <v>0</v>
      </c>
      <c r="M765" s="21">
        <f>IF(OR($L765="",$J765=""),"",IF($J765&gt;0,ROUND($L765*Multa+$L765*Juros/30*$J765,2),0))</f>
        <v>0</v>
      </c>
      <c r="N765" s="22">
        <f>IF($L765="","",IF($L765&lt;=0.005,0,$L765+N($M765)))</f>
        <v>0</v>
      </c>
      <c r="O765" s="23">
        <f>IF(OR($I765="Vencido",$I765="Vencido (parcial)"),"Olá, "&amp;$A765&amp;"! Consta em aberto '"&amp;$B765&amp;"' com vencimento em "&amp;DAY($D765)&amp;"/"&amp;MONTH($D765)&amp;"/"&amp;YEAR($D765)&amp;", no valor de R$ "&amp;FIXED($N765,2)&amp;" (com multa e juros). Podemos ajudar a regularizar hoje? Obrigado!",IF($I765="Vence hoje","Olá, "&amp;$A765&amp;"! Lembrete: '"&amp;$B765&amp;"' vence hoje, no valor de R$ "&amp;FIXED($L765,2)&amp;". Obrigado!",""))</f>
        <v>0</v>
      </c>
    </row>
    <row r="766" spans="1:15">
      <c r="A766" s="13"/>
      <c r="B766" s="13"/>
      <c r="C766" s="17"/>
      <c r="D766" s="17"/>
      <c r="E766" s="18"/>
      <c r="F766" s="17"/>
      <c r="G766" s="18"/>
      <c r="H766" s="13"/>
      <c r="I766" s="19">
        <f>IF($E766="","",IF($L766&lt;=0.005,"Pago",IF($D766="","Sem vencimento",IF($D766&lt;Hoje,IF(N($G766)&gt;0,"Vencido (parcial)","Vencido"),IF($D766=Hoje,"Vence hoje","A vencer")))))</f>
        <v>0</v>
      </c>
      <c r="J766" s="20">
        <f>IF(OR($E766="",$D766=""),"",IF(AND($L766&gt;0.005,$D766&lt;Hoje),Hoje-$D766,0))</f>
        <v>0</v>
      </c>
      <c r="K766" s="20">
        <f>IF($J766="","",IF($L766&lt;=0.005,"Pago",IF($J766&lt;=0,"A vencer",IF($J766&lt;=15,"1-15 dias",IF($J766&lt;=30,"16-30 dias",IF($J766&lt;=60,"31-60 dias","Mais de 60 dias"))))))</f>
        <v>0</v>
      </c>
      <c r="L766" s="21">
        <f>IF($E766="","",MAX(0,$E766-N($G766)))</f>
        <v>0</v>
      </c>
      <c r="M766" s="21">
        <f>IF(OR($L766="",$J766=""),"",IF($J766&gt;0,ROUND($L766*Multa+$L766*Juros/30*$J766,2),0))</f>
        <v>0</v>
      </c>
      <c r="N766" s="22">
        <f>IF($L766="","",IF($L766&lt;=0.005,0,$L766+N($M766)))</f>
        <v>0</v>
      </c>
      <c r="O766" s="23">
        <f>IF(OR($I766="Vencido",$I766="Vencido (parcial)"),"Olá, "&amp;$A766&amp;"! Consta em aberto '"&amp;$B766&amp;"' com vencimento em "&amp;DAY($D766)&amp;"/"&amp;MONTH($D766)&amp;"/"&amp;YEAR($D766)&amp;", no valor de R$ "&amp;FIXED($N766,2)&amp;" (com multa e juros). Podemos ajudar a regularizar hoje? Obrigado!",IF($I766="Vence hoje","Olá, "&amp;$A766&amp;"! Lembrete: '"&amp;$B766&amp;"' vence hoje, no valor de R$ "&amp;FIXED($L766,2)&amp;". Obrigado!",""))</f>
        <v>0</v>
      </c>
    </row>
    <row r="767" spans="1:15">
      <c r="A767" s="13"/>
      <c r="B767" s="13"/>
      <c r="C767" s="17"/>
      <c r="D767" s="17"/>
      <c r="E767" s="18"/>
      <c r="F767" s="17"/>
      <c r="G767" s="18"/>
      <c r="H767" s="13"/>
      <c r="I767" s="19">
        <f>IF($E767="","",IF($L767&lt;=0.005,"Pago",IF($D767="","Sem vencimento",IF($D767&lt;Hoje,IF(N($G767)&gt;0,"Vencido (parcial)","Vencido"),IF($D767=Hoje,"Vence hoje","A vencer")))))</f>
        <v>0</v>
      </c>
      <c r="J767" s="20">
        <f>IF(OR($E767="",$D767=""),"",IF(AND($L767&gt;0.005,$D767&lt;Hoje),Hoje-$D767,0))</f>
        <v>0</v>
      </c>
      <c r="K767" s="20">
        <f>IF($J767="","",IF($L767&lt;=0.005,"Pago",IF($J767&lt;=0,"A vencer",IF($J767&lt;=15,"1-15 dias",IF($J767&lt;=30,"16-30 dias",IF($J767&lt;=60,"31-60 dias","Mais de 60 dias"))))))</f>
        <v>0</v>
      </c>
      <c r="L767" s="21">
        <f>IF($E767="","",MAX(0,$E767-N($G767)))</f>
        <v>0</v>
      </c>
      <c r="M767" s="21">
        <f>IF(OR($L767="",$J767=""),"",IF($J767&gt;0,ROUND($L767*Multa+$L767*Juros/30*$J767,2),0))</f>
        <v>0</v>
      </c>
      <c r="N767" s="22">
        <f>IF($L767="","",IF($L767&lt;=0.005,0,$L767+N($M767)))</f>
        <v>0</v>
      </c>
      <c r="O767" s="23">
        <f>IF(OR($I767="Vencido",$I767="Vencido (parcial)"),"Olá, "&amp;$A767&amp;"! Consta em aberto '"&amp;$B767&amp;"' com vencimento em "&amp;DAY($D767)&amp;"/"&amp;MONTH($D767)&amp;"/"&amp;YEAR($D767)&amp;", no valor de R$ "&amp;FIXED($N767,2)&amp;" (com multa e juros). Podemos ajudar a regularizar hoje? Obrigado!",IF($I767="Vence hoje","Olá, "&amp;$A767&amp;"! Lembrete: '"&amp;$B767&amp;"' vence hoje, no valor de R$ "&amp;FIXED($L767,2)&amp;". Obrigado!",""))</f>
        <v>0</v>
      </c>
    </row>
    <row r="768" spans="1:15">
      <c r="A768" s="13"/>
      <c r="B768" s="13"/>
      <c r="C768" s="17"/>
      <c r="D768" s="17"/>
      <c r="E768" s="18"/>
      <c r="F768" s="17"/>
      <c r="G768" s="18"/>
      <c r="H768" s="13"/>
      <c r="I768" s="19">
        <f>IF($E768="","",IF($L768&lt;=0.005,"Pago",IF($D768="","Sem vencimento",IF($D768&lt;Hoje,IF(N($G768)&gt;0,"Vencido (parcial)","Vencido"),IF($D768=Hoje,"Vence hoje","A vencer")))))</f>
        <v>0</v>
      </c>
      <c r="J768" s="20">
        <f>IF(OR($E768="",$D768=""),"",IF(AND($L768&gt;0.005,$D768&lt;Hoje),Hoje-$D768,0))</f>
        <v>0</v>
      </c>
      <c r="K768" s="20">
        <f>IF($J768="","",IF($L768&lt;=0.005,"Pago",IF($J768&lt;=0,"A vencer",IF($J768&lt;=15,"1-15 dias",IF($J768&lt;=30,"16-30 dias",IF($J768&lt;=60,"31-60 dias","Mais de 60 dias"))))))</f>
        <v>0</v>
      </c>
      <c r="L768" s="21">
        <f>IF($E768="","",MAX(0,$E768-N($G768)))</f>
        <v>0</v>
      </c>
      <c r="M768" s="21">
        <f>IF(OR($L768="",$J768=""),"",IF($J768&gt;0,ROUND($L768*Multa+$L768*Juros/30*$J768,2),0))</f>
        <v>0</v>
      </c>
      <c r="N768" s="22">
        <f>IF($L768="","",IF($L768&lt;=0.005,0,$L768+N($M768)))</f>
        <v>0</v>
      </c>
      <c r="O768" s="23">
        <f>IF(OR($I768="Vencido",$I768="Vencido (parcial)"),"Olá, "&amp;$A768&amp;"! Consta em aberto '"&amp;$B768&amp;"' com vencimento em "&amp;DAY($D768)&amp;"/"&amp;MONTH($D768)&amp;"/"&amp;YEAR($D768)&amp;", no valor de R$ "&amp;FIXED($N768,2)&amp;" (com multa e juros). Podemos ajudar a regularizar hoje? Obrigado!",IF($I768="Vence hoje","Olá, "&amp;$A768&amp;"! Lembrete: '"&amp;$B768&amp;"' vence hoje, no valor de R$ "&amp;FIXED($L768,2)&amp;". Obrigado!",""))</f>
        <v>0</v>
      </c>
    </row>
    <row r="769" spans="1:15">
      <c r="A769" s="13"/>
      <c r="B769" s="13"/>
      <c r="C769" s="17"/>
      <c r="D769" s="17"/>
      <c r="E769" s="18"/>
      <c r="F769" s="17"/>
      <c r="G769" s="18"/>
      <c r="H769" s="13"/>
      <c r="I769" s="19">
        <f>IF($E769="","",IF($L769&lt;=0.005,"Pago",IF($D769="","Sem vencimento",IF($D769&lt;Hoje,IF(N($G769)&gt;0,"Vencido (parcial)","Vencido"),IF($D769=Hoje,"Vence hoje","A vencer")))))</f>
        <v>0</v>
      </c>
      <c r="J769" s="20">
        <f>IF(OR($E769="",$D769=""),"",IF(AND($L769&gt;0.005,$D769&lt;Hoje),Hoje-$D769,0))</f>
        <v>0</v>
      </c>
      <c r="K769" s="20">
        <f>IF($J769="","",IF($L769&lt;=0.005,"Pago",IF($J769&lt;=0,"A vencer",IF($J769&lt;=15,"1-15 dias",IF($J769&lt;=30,"16-30 dias",IF($J769&lt;=60,"31-60 dias","Mais de 60 dias"))))))</f>
        <v>0</v>
      </c>
      <c r="L769" s="21">
        <f>IF($E769="","",MAX(0,$E769-N($G769)))</f>
        <v>0</v>
      </c>
      <c r="M769" s="21">
        <f>IF(OR($L769="",$J769=""),"",IF($J769&gt;0,ROUND($L769*Multa+$L769*Juros/30*$J769,2),0))</f>
        <v>0</v>
      </c>
      <c r="N769" s="22">
        <f>IF($L769="","",IF($L769&lt;=0.005,0,$L769+N($M769)))</f>
        <v>0</v>
      </c>
      <c r="O769" s="23">
        <f>IF(OR($I769="Vencido",$I769="Vencido (parcial)"),"Olá, "&amp;$A769&amp;"! Consta em aberto '"&amp;$B769&amp;"' com vencimento em "&amp;DAY($D769)&amp;"/"&amp;MONTH($D769)&amp;"/"&amp;YEAR($D769)&amp;", no valor de R$ "&amp;FIXED($N769,2)&amp;" (com multa e juros). Podemos ajudar a regularizar hoje? Obrigado!",IF($I769="Vence hoje","Olá, "&amp;$A769&amp;"! Lembrete: '"&amp;$B769&amp;"' vence hoje, no valor de R$ "&amp;FIXED($L769,2)&amp;". Obrigado!",""))</f>
        <v>0</v>
      </c>
    </row>
    <row r="770" spans="1:15">
      <c r="A770" s="13"/>
      <c r="B770" s="13"/>
      <c r="C770" s="17"/>
      <c r="D770" s="17"/>
      <c r="E770" s="18"/>
      <c r="F770" s="17"/>
      <c r="G770" s="18"/>
      <c r="H770" s="13"/>
      <c r="I770" s="19">
        <f>IF($E770="","",IF($L770&lt;=0.005,"Pago",IF($D770="","Sem vencimento",IF($D770&lt;Hoje,IF(N($G770)&gt;0,"Vencido (parcial)","Vencido"),IF($D770=Hoje,"Vence hoje","A vencer")))))</f>
        <v>0</v>
      </c>
      <c r="J770" s="20">
        <f>IF(OR($E770="",$D770=""),"",IF(AND($L770&gt;0.005,$D770&lt;Hoje),Hoje-$D770,0))</f>
        <v>0</v>
      </c>
      <c r="K770" s="20">
        <f>IF($J770="","",IF($L770&lt;=0.005,"Pago",IF($J770&lt;=0,"A vencer",IF($J770&lt;=15,"1-15 dias",IF($J770&lt;=30,"16-30 dias",IF($J770&lt;=60,"31-60 dias","Mais de 60 dias"))))))</f>
        <v>0</v>
      </c>
      <c r="L770" s="21">
        <f>IF($E770="","",MAX(0,$E770-N($G770)))</f>
        <v>0</v>
      </c>
      <c r="M770" s="21">
        <f>IF(OR($L770="",$J770=""),"",IF($J770&gt;0,ROUND($L770*Multa+$L770*Juros/30*$J770,2),0))</f>
        <v>0</v>
      </c>
      <c r="N770" s="22">
        <f>IF($L770="","",IF($L770&lt;=0.005,0,$L770+N($M770)))</f>
        <v>0</v>
      </c>
      <c r="O770" s="23">
        <f>IF(OR($I770="Vencido",$I770="Vencido (parcial)"),"Olá, "&amp;$A770&amp;"! Consta em aberto '"&amp;$B770&amp;"' com vencimento em "&amp;DAY($D770)&amp;"/"&amp;MONTH($D770)&amp;"/"&amp;YEAR($D770)&amp;", no valor de R$ "&amp;FIXED($N770,2)&amp;" (com multa e juros). Podemos ajudar a regularizar hoje? Obrigado!",IF($I770="Vence hoje","Olá, "&amp;$A770&amp;"! Lembrete: '"&amp;$B770&amp;"' vence hoje, no valor de R$ "&amp;FIXED($L770,2)&amp;". Obrigado!",""))</f>
        <v>0</v>
      </c>
    </row>
    <row r="771" spans="1:15">
      <c r="A771" s="13"/>
      <c r="B771" s="13"/>
      <c r="C771" s="17"/>
      <c r="D771" s="17"/>
      <c r="E771" s="18"/>
      <c r="F771" s="17"/>
      <c r="G771" s="18"/>
      <c r="H771" s="13"/>
      <c r="I771" s="19">
        <f>IF($E771="","",IF($L771&lt;=0.005,"Pago",IF($D771="","Sem vencimento",IF($D771&lt;Hoje,IF(N($G771)&gt;0,"Vencido (parcial)","Vencido"),IF($D771=Hoje,"Vence hoje","A vencer")))))</f>
        <v>0</v>
      </c>
      <c r="J771" s="20">
        <f>IF(OR($E771="",$D771=""),"",IF(AND($L771&gt;0.005,$D771&lt;Hoje),Hoje-$D771,0))</f>
        <v>0</v>
      </c>
      <c r="K771" s="20">
        <f>IF($J771="","",IF($L771&lt;=0.005,"Pago",IF($J771&lt;=0,"A vencer",IF($J771&lt;=15,"1-15 dias",IF($J771&lt;=30,"16-30 dias",IF($J771&lt;=60,"31-60 dias","Mais de 60 dias"))))))</f>
        <v>0</v>
      </c>
      <c r="L771" s="21">
        <f>IF($E771="","",MAX(0,$E771-N($G771)))</f>
        <v>0</v>
      </c>
      <c r="M771" s="21">
        <f>IF(OR($L771="",$J771=""),"",IF($J771&gt;0,ROUND($L771*Multa+$L771*Juros/30*$J771,2),0))</f>
        <v>0</v>
      </c>
      <c r="N771" s="22">
        <f>IF($L771="","",IF($L771&lt;=0.005,0,$L771+N($M771)))</f>
        <v>0</v>
      </c>
      <c r="O771" s="23">
        <f>IF(OR($I771="Vencido",$I771="Vencido (parcial)"),"Olá, "&amp;$A771&amp;"! Consta em aberto '"&amp;$B771&amp;"' com vencimento em "&amp;DAY($D771)&amp;"/"&amp;MONTH($D771)&amp;"/"&amp;YEAR($D771)&amp;", no valor de R$ "&amp;FIXED($N771,2)&amp;" (com multa e juros). Podemos ajudar a regularizar hoje? Obrigado!",IF($I771="Vence hoje","Olá, "&amp;$A771&amp;"! Lembrete: '"&amp;$B771&amp;"' vence hoje, no valor de R$ "&amp;FIXED($L771,2)&amp;". Obrigado!",""))</f>
        <v>0</v>
      </c>
    </row>
    <row r="772" spans="1:15">
      <c r="A772" s="13"/>
      <c r="B772" s="13"/>
      <c r="C772" s="17"/>
      <c r="D772" s="17"/>
      <c r="E772" s="18"/>
      <c r="F772" s="17"/>
      <c r="G772" s="18"/>
      <c r="H772" s="13"/>
      <c r="I772" s="19">
        <f>IF($E772="","",IF($L772&lt;=0.005,"Pago",IF($D772="","Sem vencimento",IF($D772&lt;Hoje,IF(N($G772)&gt;0,"Vencido (parcial)","Vencido"),IF($D772=Hoje,"Vence hoje","A vencer")))))</f>
        <v>0</v>
      </c>
      <c r="J772" s="20">
        <f>IF(OR($E772="",$D772=""),"",IF(AND($L772&gt;0.005,$D772&lt;Hoje),Hoje-$D772,0))</f>
        <v>0</v>
      </c>
      <c r="K772" s="20">
        <f>IF($J772="","",IF($L772&lt;=0.005,"Pago",IF($J772&lt;=0,"A vencer",IF($J772&lt;=15,"1-15 dias",IF($J772&lt;=30,"16-30 dias",IF($J772&lt;=60,"31-60 dias","Mais de 60 dias"))))))</f>
        <v>0</v>
      </c>
      <c r="L772" s="21">
        <f>IF($E772="","",MAX(0,$E772-N($G772)))</f>
        <v>0</v>
      </c>
      <c r="M772" s="21">
        <f>IF(OR($L772="",$J772=""),"",IF($J772&gt;0,ROUND($L772*Multa+$L772*Juros/30*$J772,2),0))</f>
        <v>0</v>
      </c>
      <c r="N772" s="22">
        <f>IF($L772="","",IF($L772&lt;=0.005,0,$L772+N($M772)))</f>
        <v>0</v>
      </c>
      <c r="O772" s="23">
        <f>IF(OR($I772="Vencido",$I772="Vencido (parcial)"),"Olá, "&amp;$A772&amp;"! Consta em aberto '"&amp;$B772&amp;"' com vencimento em "&amp;DAY($D772)&amp;"/"&amp;MONTH($D772)&amp;"/"&amp;YEAR($D772)&amp;", no valor de R$ "&amp;FIXED($N772,2)&amp;" (com multa e juros). Podemos ajudar a regularizar hoje? Obrigado!",IF($I772="Vence hoje","Olá, "&amp;$A772&amp;"! Lembrete: '"&amp;$B772&amp;"' vence hoje, no valor de R$ "&amp;FIXED($L772,2)&amp;". Obrigado!",""))</f>
        <v>0</v>
      </c>
    </row>
    <row r="773" spans="1:15">
      <c r="A773" s="13"/>
      <c r="B773" s="13"/>
      <c r="C773" s="17"/>
      <c r="D773" s="17"/>
      <c r="E773" s="18"/>
      <c r="F773" s="17"/>
      <c r="G773" s="18"/>
      <c r="H773" s="13"/>
      <c r="I773" s="19">
        <f>IF($E773="","",IF($L773&lt;=0.005,"Pago",IF($D773="","Sem vencimento",IF($D773&lt;Hoje,IF(N($G773)&gt;0,"Vencido (parcial)","Vencido"),IF($D773=Hoje,"Vence hoje","A vencer")))))</f>
        <v>0</v>
      </c>
      <c r="J773" s="20">
        <f>IF(OR($E773="",$D773=""),"",IF(AND($L773&gt;0.005,$D773&lt;Hoje),Hoje-$D773,0))</f>
        <v>0</v>
      </c>
      <c r="K773" s="20">
        <f>IF($J773="","",IF($L773&lt;=0.005,"Pago",IF($J773&lt;=0,"A vencer",IF($J773&lt;=15,"1-15 dias",IF($J773&lt;=30,"16-30 dias",IF($J773&lt;=60,"31-60 dias","Mais de 60 dias"))))))</f>
        <v>0</v>
      </c>
      <c r="L773" s="21">
        <f>IF($E773="","",MAX(0,$E773-N($G773)))</f>
        <v>0</v>
      </c>
      <c r="M773" s="21">
        <f>IF(OR($L773="",$J773=""),"",IF($J773&gt;0,ROUND($L773*Multa+$L773*Juros/30*$J773,2),0))</f>
        <v>0</v>
      </c>
      <c r="N773" s="22">
        <f>IF($L773="","",IF($L773&lt;=0.005,0,$L773+N($M773)))</f>
        <v>0</v>
      </c>
      <c r="O773" s="23">
        <f>IF(OR($I773="Vencido",$I773="Vencido (parcial)"),"Olá, "&amp;$A773&amp;"! Consta em aberto '"&amp;$B773&amp;"' com vencimento em "&amp;DAY($D773)&amp;"/"&amp;MONTH($D773)&amp;"/"&amp;YEAR($D773)&amp;", no valor de R$ "&amp;FIXED($N773,2)&amp;" (com multa e juros). Podemos ajudar a regularizar hoje? Obrigado!",IF($I773="Vence hoje","Olá, "&amp;$A773&amp;"! Lembrete: '"&amp;$B773&amp;"' vence hoje, no valor de R$ "&amp;FIXED($L773,2)&amp;". Obrigado!",""))</f>
        <v>0</v>
      </c>
    </row>
    <row r="774" spans="1:15">
      <c r="A774" s="13"/>
      <c r="B774" s="13"/>
      <c r="C774" s="17"/>
      <c r="D774" s="17"/>
      <c r="E774" s="18"/>
      <c r="F774" s="17"/>
      <c r="G774" s="18"/>
      <c r="H774" s="13"/>
      <c r="I774" s="19">
        <f>IF($E774="","",IF($L774&lt;=0.005,"Pago",IF($D774="","Sem vencimento",IF($D774&lt;Hoje,IF(N($G774)&gt;0,"Vencido (parcial)","Vencido"),IF($D774=Hoje,"Vence hoje","A vencer")))))</f>
        <v>0</v>
      </c>
      <c r="J774" s="20">
        <f>IF(OR($E774="",$D774=""),"",IF(AND($L774&gt;0.005,$D774&lt;Hoje),Hoje-$D774,0))</f>
        <v>0</v>
      </c>
      <c r="K774" s="20">
        <f>IF($J774="","",IF($L774&lt;=0.005,"Pago",IF($J774&lt;=0,"A vencer",IF($J774&lt;=15,"1-15 dias",IF($J774&lt;=30,"16-30 dias",IF($J774&lt;=60,"31-60 dias","Mais de 60 dias"))))))</f>
        <v>0</v>
      </c>
      <c r="L774" s="21">
        <f>IF($E774="","",MAX(0,$E774-N($G774)))</f>
        <v>0</v>
      </c>
      <c r="M774" s="21">
        <f>IF(OR($L774="",$J774=""),"",IF($J774&gt;0,ROUND($L774*Multa+$L774*Juros/30*$J774,2),0))</f>
        <v>0</v>
      </c>
      <c r="N774" s="22">
        <f>IF($L774="","",IF($L774&lt;=0.005,0,$L774+N($M774)))</f>
        <v>0</v>
      </c>
      <c r="O774" s="23">
        <f>IF(OR($I774="Vencido",$I774="Vencido (parcial)"),"Olá, "&amp;$A774&amp;"! Consta em aberto '"&amp;$B774&amp;"' com vencimento em "&amp;DAY($D774)&amp;"/"&amp;MONTH($D774)&amp;"/"&amp;YEAR($D774)&amp;", no valor de R$ "&amp;FIXED($N774,2)&amp;" (com multa e juros). Podemos ajudar a regularizar hoje? Obrigado!",IF($I774="Vence hoje","Olá, "&amp;$A774&amp;"! Lembrete: '"&amp;$B774&amp;"' vence hoje, no valor de R$ "&amp;FIXED($L774,2)&amp;". Obrigado!",""))</f>
        <v>0</v>
      </c>
    </row>
    <row r="775" spans="1:15">
      <c r="A775" s="13"/>
      <c r="B775" s="13"/>
      <c r="C775" s="17"/>
      <c r="D775" s="17"/>
      <c r="E775" s="18"/>
      <c r="F775" s="17"/>
      <c r="G775" s="18"/>
      <c r="H775" s="13"/>
      <c r="I775" s="19">
        <f>IF($E775="","",IF($L775&lt;=0.005,"Pago",IF($D775="","Sem vencimento",IF($D775&lt;Hoje,IF(N($G775)&gt;0,"Vencido (parcial)","Vencido"),IF($D775=Hoje,"Vence hoje","A vencer")))))</f>
        <v>0</v>
      </c>
      <c r="J775" s="20">
        <f>IF(OR($E775="",$D775=""),"",IF(AND($L775&gt;0.005,$D775&lt;Hoje),Hoje-$D775,0))</f>
        <v>0</v>
      </c>
      <c r="K775" s="20">
        <f>IF($J775="","",IF($L775&lt;=0.005,"Pago",IF($J775&lt;=0,"A vencer",IF($J775&lt;=15,"1-15 dias",IF($J775&lt;=30,"16-30 dias",IF($J775&lt;=60,"31-60 dias","Mais de 60 dias"))))))</f>
        <v>0</v>
      </c>
      <c r="L775" s="21">
        <f>IF($E775="","",MAX(0,$E775-N($G775)))</f>
        <v>0</v>
      </c>
      <c r="M775" s="21">
        <f>IF(OR($L775="",$J775=""),"",IF($J775&gt;0,ROUND($L775*Multa+$L775*Juros/30*$J775,2),0))</f>
        <v>0</v>
      </c>
      <c r="N775" s="22">
        <f>IF($L775="","",IF($L775&lt;=0.005,0,$L775+N($M775)))</f>
        <v>0</v>
      </c>
      <c r="O775" s="23">
        <f>IF(OR($I775="Vencido",$I775="Vencido (parcial)"),"Olá, "&amp;$A775&amp;"! Consta em aberto '"&amp;$B775&amp;"' com vencimento em "&amp;DAY($D775)&amp;"/"&amp;MONTH($D775)&amp;"/"&amp;YEAR($D775)&amp;", no valor de R$ "&amp;FIXED($N775,2)&amp;" (com multa e juros). Podemos ajudar a regularizar hoje? Obrigado!",IF($I775="Vence hoje","Olá, "&amp;$A775&amp;"! Lembrete: '"&amp;$B775&amp;"' vence hoje, no valor de R$ "&amp;FIXED($L775,2)&amp;". Obrigado!",""))</f>
        <v>0</v>
      </c>
    </row>
    <row r="776" spans="1:15">
      <c r="A776" s="13"/>
      <c r="B776" s="13"/>
      <c r="C776" s="17"/>
      <c r="D776" s="17"/>
      <c r="E776" s="18"/>
      <c r="F776" s="17"/>
      <c r="G776" s="18"/>
      <c r="H776" s="13"/>
      <c r="I776" s="19">
        <f>IF($E776="","",IF($L776&lt;=0.005,"Pago",IF($D776="","Sem vencimento",IF($D776&lt;Hoje,IF(N($G776)&gt;0,"Vencido (parcial)","Vencido"),IF($D776=Hoje,"Vence hoje","A vencer")))))</f>
        <v>0</v>
      </c>
      <c r="J776" s="20">
        <f>IF(OR($E776="",$D776=""),"",IF(AND($L776&gt;0.005,$D776&lt;Hoje),Hoje-$D776,0))</f>
        <v>0</v>
      </c>
      <c r="K776" s="20">
        <f>IF($J776="","",IF($L776&lt;=0.005,"Pago",IF($J776&lt;=0,"A vencer",IF($J776&lt;=15,"1-15 dias",IF($J776&lt;=30,"16-30 dias",IF($J776&lt;=60,"31-60 dias","Mais de 60 dias"))))))</f>
        <v>0</v>
      </c>
      <c r="L776" s="21">
        <f>IF($E776="","",MAX(0,$E776-N($G776)))</f>
        <v>0</v>
      </c>
      <c r="M776" s="21">
        <f>IF(OR($L776="",$J776=""),"",IF($J776&gt;0,ROUND($L776*Multa+$L776*Juros/30*$J776,2),0))</f>
        <v>0</v>
      </c>
      <c r="N776" s="22">
        <f>IF($L776="","",IF($L776&lt;=0.005,0,$L776+N($M776)))</f>
        <v>0</v>
      </c>
      <c r="O776" s="23">
        <f>IF(OR($I776="Vencido",$I776="Vencido (parcial)"),"Olá, "&amp;$A776&amp;"! Consta em aberto '"&amp;$B776&amp;"' com vencimento em "&amp;DAY($D776)&amp;"/"&amp;MONTH($D776)&amp;"/"&amp;YEAR($D776)&amp;", no valor de R$ "&amp;FIXED($N776,2)&amp;" (com multa e juros). Podemos ajudar a regularizar hoje? Obrigado!",IF($I776="Vence hoje","Olá, "&amp;$A776&amp;"! Lembrete: '"&amp;$B776&amp;"' vence hoje, no valor de R$ "&amp;FIXED($L776,2)&amp;". Obrigado!",""))</f>
        <v>0</v>
      </c>
    </row>
    <row r="777" spans="1:15">
      <c r="A777" s="13"/>
      <c r="B777" s="13"/>
      <c r="C777" s="17"/>
      <c r="D777" s="17"/>
      <c r="E777" s="18"/>
      <c r="F777" s="17"/>
      <c r="G777" s="18"/>
      <c r="H777" s="13"/>
      <c r="I777" s="19">
        <f>IF($E777="","",IF($L777&lt;=0.005,"Pago",IF($D777="","Sem vencimento",IF($D777&lt;Hoje,IF(N($G777)&gt;0,"Vencido (parcial)","Vencido"),IF($D777=Hoje,"Vence hoje","A vencer")))))</f>
        <v>0</v>
      </c>
      <c r="J777" s="20">
        <f>IF(OR($E777="",$D777=""),"",IF(AND($L777&gt;0.005,$D777&lt;Hoje),Hoje-$D777,0))</f>
        <v>0</v>
      </c>
      <c r="K777" s="20">
        <f>IF($J777="","",IF($L777&lt;=0.005,"Pago",IF($J777&lt;=0,"A vencer",IF($J777&lt;=15,"1-15 dias",IF($J777&lt;=30,"16-30 dias",IF($J777&lt;=60,"31-60 dias","Mais de 60 dias"))))))</f>
        <v>0</v>
      </c>
      <c r="L777" s="21">
        <f>IF($E777="","",MAX(0,$E777-N($G777)))</f>
        <v>0</v>
      </c>
      <c r="M777" s="21">
        <f>IF(OR($L777="",$J777=""),"",IF($J777&gt;0,ROUND($L777*Multa+$L777*Juros/30*$J777,2),0))</f>
        <v>0</v>
      </c>
      <c r="N777" s="22">
        <f>IF($L777="","",IF($L777&lt;=0.005,0,$L777+N($M777)))</f>
        <v>0</v>
      </c>
      <c r="O777" s="23">
        <f>IF(OR($I777="Vencido",$I777="Vencido (parcial)"),"Olá, "&amp;$A777&amp;"! Consta em aberto '"&amp;$B777&amp;"' com vencimento em "&amp;DAY($D777)&amp;"/"&amp;MONTH($D777)&amp;"/"&amp;YEAR($D777)&amp;", no valor de R$ "&amp;FIXED($N777,2)&amp;" (com multa e juros). Podemos ajudar a regularizar hoje? Obrigado!",IF($I777="Vence hoje","Olá, "&amp;$A777&amp;"! Lembrete: '"&amp;$B777&amp;"' vence hoje, no valor de R$ "&amp;FIXED($L777,2)&amp;". Obrigado!",""))</f>
        <v>0</v>
      </c>
    </row>
    <row r="778" spans="1:15">
      <c r="A778" s="13"/>
      <c r="B778" s="13"/>
      <c r="C778" s="17"/>
      <c r="D778" s="17"/>
      <c r="E778" s="18"/>
      <c r="F778" s="17"/>
      <c r="G778" s="18"/>
      <c r="H778" s="13"/>
      <c r="I778" s="19">
        <f>IF($E778="","",IF($L778&lt;=0.005,"Pago",IF($D778="","Sem vencimento",IF($D778&lt;Hoje,IF(N($G778)&gt;0,"Vencido (parcial)","Vencido"),IF($D778=Hoje,"Vence hoje","A vencer")))))</f>
        <v>0</v>
      </c>
      <c r="J778" s="20">
        <f>IF(OR($E778="",$D778=""),"",IF(AND($L778&gt;0.005,$D778&lt;Hoje),Hoje-$D778,0))</f>
        <v>0</v>
      </c>
      <c r="K778" s="20">
        <f>IF($J778="","",IF($L778&lt;=0.005,"Pago",IF($J778&lt;=0,"A vencer",IF($J778&lt;=15,"1-15 dias",IF($J778&lt;=30,"16-30 dias",IF($J778&lt;=60,"31-60 dias","Mais de 60 dias"))))))</f>
        <v>0</v>
      </c>
      <c r="L778" s="21">
        <f>IF($E778="","",MAX(0,$E778-N($G778)))</f>
        <v>0</v>
      </c>
      <c r="M778" s="21">
        <f>IF(OR($L778="",$J778=""),"",IF($J778&gt;0,ROUND($L778*Multa+$L778*Juros/30*$J778,2),0))</f>
        <v>0</v>
      </c>
      <c r="N778" s="22">
        <f>IF($L778="","",IF($L778&lt;=0.005,0,$L778+N($M778)))</f>
        <v>0</v>
      </c>
      <c r="O778" s="23">
        <f>IF(OR($I778="Vencido",$I778="Vencido (parcial)"),"Olá, "&amp;$A778&amp;"! Consta em aberto '"&amp;$B778&amp;"' com vencimento em "&amp;DAY($D778)&amp;"/"&amp;MONTH($D778)&amp;"/"&amp;YEAR($D778)&amp;", no valor de R$ "&amp;FIXED($N778,2)&amp;" (com multa e juros). Podemos ajudar a regularizar hoje? Obrigado!",IF($I778="Vence hoje","Olá, "&amp;$A778&amp;"! Lembrete: '"&amp;$B778&amp;"' vence hoje, no valor de R$ "&amp;FIXED($L778,2)&amp;". Obrigado!",""))</f>
        <v>0</v>
      </c>
    </row>
    <row r="779" spans="1:15">
      <c r="A779" s="13"/>
      <c r="B779" s="13"/>
      <c r="C779" s="17"/>
      <c r="D779" s="17"/>
      <c r="E779" s="18"/>
      <c r="F779" s="17"/>
      <c r="G779" s="18"/>
      <c r="H779" s="13"/>
      <c r="I779" s="19">
        <f>IF($E779="","",IF($L779&lt;=0.005,"Pago",IF($D779="","Sem vencimento",IF($D779&lt;Hoje,IF(N($G779)&gt;0,"Vencido (parcial)","Vencido"),IF($D779=Hoje,"Vence hoje","A vencer")))))</f>
        <v>0</v>
      </c>
      <c r="J779" s="20">
        <f>IF(OR($E779="",$D779=""),"",IF(AND($L779&gt;0.005,$D779&lt;Hoje),Hoje-$D779,0))</f>
        <v>0</v>
      </c>
      <c r="K779" s="20">
        <f>IF($J779="","",IF($L779&lt;=0.005,"Pago",IF($J779&lt;=0,"A vencer",IF($J779&lt;=15,"1-15 dias",IF($J779&lt;=30,"16-30 dias",IF($J779&lt;=60,"31-60 dias","Mais de 60 dias"))))))</f>
        <v>0</v>
      </c>
      <c r="L779" s="21">
        <f>IF($E779="","",MAX(0,$E779-N($G779)))</f>
        <v>0</v>
      </c>
      <c r="M779" s="21">
        <f>IF(OR($L779="",$J779=""),"",IF($J779&gt;0,ROUND($L779*Multa+$L779*Juros/30*$J779,2),0))</f>
        <v>0</v>
      </c>
      <c r="N779" s="22">
        <f>IF($L779="","",IF($L779&lt;=0.005,0,$L779+N($M779)))</f>
        <v>0</v>
      </c>
      <c r="O779" s="23">
        <f>IF(OR($I779="Vencido",$I779="Vencido (parcial)"),"Olá, "&amp;$A779&amp;"! Consta em aberto '"&amp;$B779&amp;"' com vencimento em "&amp;DAY($D779)&amp;"/"&amp;MONTH($D779)&amp;"/"&amp;YEAR($D779)&amp;", no valor de R$ "&amp;FIXED($N779,2)&amp;" (com multa e juros). Podemos ajudar a regularizar hoje? Obrigado!",IF($I779="Vence hoje","Olá, "&amp;$A779&amp;"! Lembrete: '"&amp;$B779&amp;"' vence hoje, no valor de R$ "&amp;FIXED($L779,2)&amp;". Obrigado!",""))</f>
        <v>0</v>
      </c>
    </row>
    <row r="780" spans="1:15">
      <c r="A780" s="13"/>
      <c r="B780" s="13"/>
      <c r="C780" s="17"/>
      <c r="D780" s="17"/>
      <c r="E780" s="18"/>
      <c r="F780" s="17"/>
      <c r="G780" s="18"/>
      <c r="H780" s="13"/>
      <c r="I780" s="19">
        <f>IF($E780="","",IF($L780&lt;=0.005,"Pago",IF($D780="","Sem vencimento",IF($D780&lt;Hoje,IF(N($G780)&gt;0,"Vencido (parcial)","Vencido"),IF($D780=Hoje,"Vence hoje","A vencer")))))</f>
        <v>0</v>
      </c>
      <c r="J780" s="20">
        <f>IF(OR($E780="",$D780=""),"",IF(AND($L780&gt;0.005,$D780&lt;Hoje),Hoje-$D780,0))</f>
        <v>0</v>
      </c>
      <c r="K780" s="20">
        <f>IF($J780="","",IF($L780&lt;=0.005,"Pago",IF($J780&lt;=0,"A vencer",IF($J780&lt;=15,"1-15 dias",IF($J780&lt;=30,"16-30 dias",IF($J780&lt;=60,"31-60 dias","Mais de 60 dias"))))))</f>
        <v>0</v>
      </c>
      <c r="L780" s="21">
        <f>IF($E780="","",MAX(0,$E780-N($G780)))</f>
        <v>0</v>
      </c>
      <c r="M780" s="21">
        <f>IF(OR($L780="",$J780=""),"",IF($J780&gt;0,ROUND($L780*Multa+$L780*Juros/30*$J780,2),0))</f>
        <v>0</v>
      </c>
      <c r="N780" s="22">
        <f>IF($L780="","",IF($L780&lt;=0.005,0,$L780+N($M780)))</f>
        <v>0</v>
      </c>
      <c r="O780" s="23">
        <f>IF(OR($I780="Vencido",$I780="Vencido (parcial)"),"Olá, "&amp;$A780&amp;"! Consta em aberto '"&amp;$B780&amp;"' com vencimento em "&amp;DAY($D780)&amp;"/"&amp;MONTH($D780)&amp;"/"&amp;YEAR($D780)&amp;", no valor de R$ "&amp;FIXED($N780,2)&amp;" (com multa e juros). Podemos ajudar a regularizar hoje? Obrigado!",IF($I780="Vence hoje","Olá, "&amp;$A780&amp;"! Lembrete: '"&amp;$B780&amp;"' vence hoje, no valor de R$ "&amp;FIXED($L780,2)&amp;". Obrigado!",""))</f>
        <v>0</v>
      </c>
    </row>
    <row r="781" spans="1:15">
      <c r="A781" s="13"/>
      <c r="B781" s="13"/>
      <c r="C781" s="17"/>
      <c r="D781" s="17"/>
      <c r="E781" s="18"/>
      <c r="F781" s="17"/>
      <c r="G781" s="18"/>
      <c r="H781" s="13"/>
      <c r="I781" s="19">
        <f>IF($E781="","",IF($L781&lt;=0.005,"Pago",IF($D781="","Sem vencimento",IF($D781&lt;Hoje,IF(N($G781)&gt;0,"Vencido (parcial)","Vencido"),IF($D781=Hoje,"Vence hoje","A vencer")))))</f>
        <v>0</v>
      </c>
      <c r="J781" s="20">
        <f>IF(OR($E781="",$D781=""),"",IF(AND($L781&gt;0.005,$D781&lt;Hoje),Hoje-$D781,0))</f>
        <v>0</v>
      </c>
      <c r="K781" s="20">
        <f>IF($J781="","",IF($L781&lt;=0.005,"Pago",IF($J781&lt;=0,"A vencer",IF($J781&lt;=15,"1-15 dias",IF($J781&lt;=30,"16-30 dias",IF($J781&lt;=60,"31-60 dias","Mais de 60 dias"))))))</f>
        <v>0</v>
      </c>
      <c r="L781" s="21">
        <f>IF($E781="","",MAX(0,$E781-N($G781)))</f>
        <v>0</v>
      </c>
      <c r="M781" s="21">
        <f>IF(OR($L781="",$J781=""),"",IF($J781&gt;0,ROUND($L781*Multa+$L781*Juros/30*$J781,2),0))</f>
        <v>0</v>
      </c>
      <c r="N781" s="22">
        <f>IF($L781="","",IF($L781&lt;=0.005,0,$L781+N($M781)))</f>
        <v>0</v>
      </c>
      <c r="O781" s="23">
        <f>IF(OR($I781="Vencido",$I781="Vencido (parcial)"),"Olá, "&amp;$A781&amp;"! Consta em aberto '"&amp;$B781&amp;"' com vencimento em "&amp;DAY($D781)&amp;"/"&amp;MONTH($D781)&amp;"/"&amp;YEAR($D781)&amp;", no valor de R$ "&amp;FIXED($N781,2)&amp;" (com multa e juros). Podemos ajudar a regularizar hoje? Obrigado!",IF($I781="Vence hoje","Olá, "&amp;$A781&amp;"! Lembrete: '"&amp;$B781&amp;"' vence hoje, no valor de R$ "&amp;FIXED($L781,2)&amp;". Obrigado!",""))</f>
        <v>0</v>
      </c>
    </row>
    <row r="782" spans="1:15">
      <c r="A782" s="13"/>
      <c r="B782" s="13"/>
      <c r="C782" s="17"/>
      <c r="D782" s="17"/>
      <c r="E782" s="18"/>
      <c r="F782" s="17"/>
      <c r="G782" s="18"/>
      <c r="H782" s="13"/>
      <c r="I782" s="19">
        <f>IF($E782="","",IF($L782&lt;=0.005,"Pago",IF($D782="","Sem vencimento",IF($D782&lt;Hoje,IF(N($G782)&gt;0,"Vencido (parcial)","Vencido"),IF($D782=Hoje,"Vence hoje","A vencer")))))</f>
        <v>0</v>
      </c>
      <c r="J782" s="20">
        <f>IF(OR($E782="",$D782=""),"",IF(AND($L782&gt;0.005,$D782&lt;Hoje),Hoje-$D782,0))</f>
        <v>0</v>
      </c>
      <c r="K782" s="20">
        <f>IF($J782="","",IF($L782&lt;=0.005,"Pago",IF($J782&lt;=0,"A vencer",IF($J782&lt;=15,"1-15 dias",IF($J782&lt;=30,"16-30 dias",IF($J782&lt;=60,"31-60 dias","Mais de 60 dias"))))))</f>
        <v>0</v>
      </c>
      <c r="L782" s="21">
        <f>IF($E782="","",MAX(0,$E782-N($G782)))</f>
        <v>0</v>
      </c>
      <c r="M782" s="21">
        <f>IF(OR($L782="",$J782=""),"",IF($J782&gt;0,ROUND($L782*Multa+$L782*Juros/30*$J782,2),0))</f>
        <v>0</v>
      </c>
      <c r="N782" s="22">
        <f>IF($L782="","",IF($L782&lt;=0.005,0,$L782+N($M782)))</f>
        <v>0</v>
      </c>
      <c r="O782" s="23">
        <f>IF(OR($I782="Vencido",$I782="Vencido (parcial)"),"Olá, "&amp;$A782&amp;"! Consta em aberto '"&amp;$B782&amp;"' com vencimento em "&amp;DAY($D782)&amp;"/"&amp;MONTH($D782)&amp;"/"&amp;YEAR($D782)&amp;", no valor de R$ "&amp;FIXED($N782,2)&amp;" (com multa e juros). Podemos ajudar a regularizar hoje? Obrigado!",IF($I782="Vence hoje","Olá, "&amp;$A782&amp;"! Lembrete: '"&amp;$B782&amp;"' vence hoje, no valor de R$ "&amp;FIXED($L782,2)&amp;". Obrigado!",""))</f>
        <v>0</v>
      </c>
    </row>
    <row r="783" spans="1:15">
      <c r="A783" s="13"/>
      <c r="B783" s="13"/>
      <c r="C783" s="17"/>
      <c r="D783" s="17"/>
      <c r="E783" s="18"/>
      <c r="F783" s="17"/>
      <c r="G783" s="18"/>
      <c r="H783" s="13"/>
      <c r="I783" s="19">
        <f>IF($E783="","",IF($L783&lt;=0.005,"Pago",IF($D783="","Sem vencimento",IF($D783&lt;Hoje,IF(N($G783)&gt;0,"Vencido (parcial)","Vencido"),IF($D783=Hoje,"Vence hoje","A vencer")))))</f>
        <v>0</v>
      </c>
      <c r="J783" s="20">
        <f>IF(OR($E783="",$D783=""),"",IF(AND($L783&gt;0.005,$D783&lt;Hoje),Hoje-$D783,0))</f>
        <v>0</v>
      </c>
      <c r="K783" s="20">
        <f>IF($J783="","",IF($L783&lt;=0.005,"Pago",IF($J783&lt;=0,"A vencer",IF($J783&lt;=15,"1-15 dias",IF($J783&lt;=30,"16-30 dias",IF($J783&lt;=60,"31-60 dias","Mais de 60 dias"))))))</f>
        <v>0</v>
      </c>
      <c r="L783" s="21">
        <f>IF($E783="","",MAX(0,$E783-N($G783)))</f>
        <v>0</v>
      </c>
      <c r="M783" s="21">
        <f>IF(OR($L783="",$J783=""),"",IF($J783&gt;0,ROUND($L783*Multa+$L783*Juros/30*$J783,2),0))</f>
        <v>0</v>
      </c>
      <c r="N783" s="22">
        <f>IF($L783="","",IF($L783&lt;=0.005,0,$L783+N($M783)))</f>
        <v>0</v>
      </c>
      <c r="O783" s="23">
        <f>IF(OR($I783="Vencido",$I783="Vencido (parcial)"),"Olá, "&amp;$A783&amp;"! Consta em aberto '"&amp;$B783&amp;"' com vencimento em "&amp;DAY($D783)&amp;"/"&amp;MONTH($D783)&amp;"/"&amp;YEAR($D783)&amp;", no valor de R$ "&amp;FIXED($N783,2)&amp;" (com multa e juros). Podemos ajudar a regularizar hoje? Obrigado!",IF($I783="Vence hoje","Olá, "&amp;$A783&amp;"! Lembrete: '"&amp;$B783&amp;"' vence hoje, no valor de R$ "&amp;FIXED($L783,2)&amp;". Obrigado!",""))</f>
        <v>0</v>
      </c>
    </row>
    <row r="784" spans="1:15">
      <c r="A784" s="13"/>
      <c r="B784" s="13"/>
      <c r="C784" s="17"/>
      <c r="D784" s="17"/>
      <c r="E784" s="18"/>
      <c r="F784" s="17"/>
      <c r="G784" s="18"/>
      <c r="H784" s="13"/>
      <c r="I784" s="19">
        <f>IF($E784="","",IF($L784&lt;=0.005,"Pago",IF($D784="","Sem vencimento",IF($D784&lt;Hoje,IF(N($G784)&gt;0,"Vencido (parcial)","Vencido"),IF($D784=Hoje,"Vence hoje","A vencer")))))</f>
        <v>0</v>
      </c>
      <c r="J784" s="20">
        <f>IF(OR($E784="",$D784=""),"",IF(AND($L784&gt;0.005,$D784&lt;Hoje),Hoje-$D784,0))</f>
        <v>0</v>
      </c>
      <c r="K784" s="20">
        <f>IF($J784="","",IF($L784&lt;=0.005,"Pago",IF($J784&lt;=0,"A vencer",IF($J784&lt;=15,"1-15 dias",IF($J784&lt;=30,"16-30 dias",IF($J784&lt;=60,"31-60 dias","Mais de 60 dias"))))))</f>
        <v>0</v>
      </c>
      <c r="L784" s="21">
        <f>IF($E784="","",MAX(0,$E784-N($G784)))</f>
        <v>0</v>
      </c>
      <c r="M784" s="21">
        <f>IF(OR($L784="",$J784=""),"",IF($J784&gt;0,ROUND($L784*Multa+$L784*Juros/30*$J784,2),0))</f>
        <v>0</v>
      </c>
      <c r="N784" s="22">
        <f>IF($L784="","",IF($L784&lt;=0.005,0,$L784+N($M784)))</f>
        <v>0</v>
      </c>
      <c r="O784" s="23">
        <f>IF(OR($I784="Vencido",$I784="Vencido (parcial)"),"Olá, "&amp;$A784&amp;"! Consta em aberto '"&amp;$B784&amp;"' com vencimento em "&amp;DAY($D784)&amp;"/"&amp;MONTH($D784)&amp;"/"&amp;YEAR($D784)&amp;", no valor de R$ "&amp;FIXED($N784,2)&amp;" (com multa e juros). Podemos ajudar a regularizar hoje? Obrigado!",IF($I784="Vence hoje","Olá, "&amp;$A784&amp;"! Lembrete: '"&amp;$B784&amp;"' vence hoje, no valor de R$ "&amp;FIXED($L784,2)&amp;". Obrigado!",""))</f>
        <v>0</v>
      </c>
    </row>
    <row r="785" spans="1:15">
      <c r="A785" s="13"/>
      <c r="B785" s="13"/>
      <c r="C785" s="17"/>
      <c r="D785" s="17"/>
      <c r="E785" s="18"/>
      <c r="F785" s="17"/>
      <c r="G785" s="18"/>
      <c r="H785" s="13"/>
      <c r="I785" s="19">
        <f>IF($E785="","",IF($L785&lt;=0.005,"Pago",IF($D785="","Sem vencimento",IF($D785&lt;Hoje,IF(N($G785)&gt;0,"Vencido (parcial)","Vencido"),IF($D785=Hoje,"Vence hoje","A vencer")))))</f>
        <v>0</v>
      </c>
      <c r="J785" s="20">
        <f>IF(OR($E785="",$D785=""),"",IF(AND($L785&gt;0.005,$D785&lt;Hoje),Hoje-$D785,0))</f>
        <v>0</v>
      </c>
      <c r="K785" s="20">
        <f>IF($J785="","",IF($L785&lt;=0.005,"Pago",IF($J785&lt;=0,"A vencer",IF($J785&lt;=15,"1-15 dias",IF($J785&lt;=30,"16-30 dias",IF($J785&lt;=60,"31-60 dias","Mais de 60 dias"))))))</f>
        <v>0</v>
      </c>
      <c r="L785" s="21">
        <f>IF($E785="","",MAX(0,$E785-N($G785)))</f>
        <v>0</v>
      </c>
      <c r="M785" s="21">
        <f>IF(OR($L785="",$J785=""),"",IF($J785&gt;0,ROUND($L785*Multa+$L785*Juros/30*$J785,2),0))</f>
        <v>0</v>
      </c>
      <c r="N785" s="22">
        <f>IF($L785="","",IF($L785&lt;=0.005,0,$L785+N($M785)))</f>
        <v>0</v>
      </c>
      <c r="O785" s="23">
        <f>IF(OR($I785="Vencido",$I785="Vencido (parcial)"),"Olá, "&amp;$A785&amp;"! Consta em aberto '"&amp;$B785&amp;"' com vencimento em "&amp;DAY($D785)&amp;"/"&amp;MONTH($D785)&amp;"/"&amp;YEAR($D785)&amp;", no valor de R$ "&amp;FIXED($N785,2)&amp;" (com multa e juros). Podemos ajudar a regularizar hoje? Obrigado!",IF($I785="Vence hoje","Olá, "&amp;$A785&amp;"! Lembrete: '"&amp;$B785&amp;"' vence hoje, no valor de R$ "&amp;FIXED($L785,2)&amp;". Obrigado!",""))</f>
        <v>0</v>
      </c>
    </row>
    <row r="786" spans="1:15">
      <c r="A786" s="13"/>
      <c r="B786" s="13"/>
      <c r="C786" s="17"/>
      <c r="D786" s="17"/>
      <c r="E786" s="18"/>
      <c r="F786" s="17"/>
      <c r="G786" s="18"/>
      <c r="H786" s="13"/>
      <c r="I786" s="19">
        <f>IF($E786="","",IF($L786&lt;=0.005,"Pago",IF($D786="","Sem vencimento",IF($D786&lt;Hoje,IF(N($G786)&gt;0,"Vencido (parcial)","Vencido"),IF($D786=Hoje,"Vence hoje","A vencer")))))</f>
        <v>0</v>
      </c>
      <c r="J786" s="20">
        <f>IF(OR($E786="",$D786=""),"",IF(AND($L786&gt;0.005,$D786&lt;Hoje),Hoje-$D786,0))</f>
        <v>0</v>
      </c>
      <c r="K786" s="20">
        <f>IF($J786="","",IF($L786&lt;=0.005,"Pago",IF($J786&lt;=0,"A vencer",IF($J786&lt;=15,"1-15 dias",IF($J786&lt;=30,"16-30 dias",IF($J786&lt;=60,"31-60 dias","Mais de 60 dias"))))))</f>
        <v>0</v>
      </c>
      <c r="L786" s="21">
        <f>IF($E786="","",MAX(0,$E786-N($G786)))</f>
        <v>0</v>
      </c>
      <c r="M786" s="21">
        <f>IF(OR($L786="",$J786=""),"",IF($J786&gt;0,ROUND($L786*Multa+$L786*Juros/30*$J786,2),0))</f>
        <v>0</v>
      </c>
      <c r="N786" s="22">
        <f>IF($L786="","",IF($L786&lt;=0.005,0,$L786+N($M786)))</f>
        <v>0</v>
      </c>
      <c r="O786" s="23">
        <f>IF(OR($I786="Vencido",$I786="Vencido (parcial)"),"Olá, "&amp;$A786&amp;"! Consta em aberto '"&amp;$B786&amp;"' com vencimento em "&amp;DAY($D786)&amp;"/"&amp;MONTH($D786)&amp;"/"&amp;YEAR($D786)&amp;", no valor de R$ "&amp;FIXED($N786,2)&amp;" (com multa e juros). Podemos ajudar a regularizar hoje? Obrigado!",IF($I786="Vence hoje","Olá, "&amp;$A786&amp;"! Lembrete: '"&amp;$B786&amp;"' vence hoje, no valor de R$ "&amp;FIXED($L786,2)&amp;". Obrigado!",""))</f>
        <v>0</v>
      </c>
    </row>
    <row r="787" spans="1:15">
      <c r="A787" s="13"/>
      <c r="B787" s="13"/>
      <c r="C787" s="17"/>
      <c r="D787" s="17"/>
      <c r="E787" s="18"/>
      <c r="F787" s="17"/>
      <c r="G787" s="18"/>
      <c r="H787" s="13"/>
      <c r="I787" s="19">
        <f>IF($E787="","",IF($L787&lt;=0.005,"Pago",IF($D787="","Sem vencimento",IF($D787&lt;Hoje,IF(N($G787)&gt;0,"Vencido (parcial)","Vencido"),IF($D787=Hoje,"Vence hoje","A vencer")))))</f>
        <v>0</v>
      </c>
      <c r="J787" s="20">
        <f>IF(OR($E787="",$D787=""),"",IF(AND($L787&gt;0.005,$D787&lt;Hoje),Hoje-$D787,0))</f>
        <v>0</v>
      </c>
      <c r="K787" s="20">
        <f>IF($J787="","",IF($L787&lt;=0.005,"Pago",IF($J787&lt;=0,"A vencer",IF($J787&lt;=15,"1-15 dias",IF($J787&lt;=30,"16-30 dias",IF($J787&lt;=60,"31-60 dias","Mais de 60 dias"))))))</f>
        <v>0</v>
      </c>
      <c r="L787" s="21">
        <f>IF($E787="","",MAX(0,$E787-N($G787)))</f>
        <v>0</v>
      </c>
      <c r="M787" s="21">
        <f>IF(OR($L787="",$J787=""),"",IF($J787&gt;0,ROUND($L787*Multa+$L787*Juros/30*$J787,2),0))</f>
        <v>0</v>
      </c>
      <c r="N787" s="22">
        <f>IF($L787="","",IF($L787&lt;=0.005,0,$L787+N($M787)))</f>
        <v>0</v>
      </c>
      <c r="O787" s="23">
        <f>IF(OR($I787="Vencido",$I787="Vencido (parcial)"),"Olá, "&amp;$A787&amp;"! Consta em aberto '"&amp;$B787&amp;"' com vencimento em "&amp;DAY($D787)&amp;"/"&amp;MONTH($D787)&amp;"/"&amp;YEAR($D787)&amp;", no valor de R$ "&amp;FIXED($N787,2)&amp;" (com multa e juros). Podemos ajudar a regularizar hoje? Obrigado!",IF($I787="Vence hoje","Olá, "&amp;$A787&amp;"! Lembrete: '"&amp;$B787&amp;"' vence hoje, no valor de R$ "&amp;FIXED($L787,2)&amp;". Obrigado!",""))</f>
        <v>0</v>
      </c>
    </row>
    <row r="788" spans="1:15">
      <c r="A788" s="13"/>
      <c r="B788" s="13"/>
      <c r="C788" s="17"/>
      <c r="D788" s="17"/>
      <c r="E788" s="18"/>
      <c r="F788" s="17"/>
      <c r="G788" s="18"/>
      <c r="H788" s="13"/>
      <c r="I788" s="19">
        <f>IF($E788="","",IF($L788&lt;=0.005,"Pago",IF($D788="","Sem vencimento",IF($D788&lt;Hoje,IF(N($G788)&gt;0,"Vencido (parcial)","Vencido"),IF($D788=Hoje,"Vence hoje","A vencer")))))</f>
        <v>0</v>
      </c>
      <c r="J788" s="20">
        <f>IF(OR($E788="",$D788=""),"",IF(AND($L788&gt;0.005,$D788&lt;Hoje),Hoje-$D788,0))</f>
        <v>0</v>
      </c>
      <c r="K788" s="20">
        <f>IF($J788="","",IF($L788&lt;=0.005,"Pago",IF($J788&lt;=0,"A vencer",IF($J788&lt;=15,"1-15 dias",IF($J788&lt;=30,"16-30 dias",IF($J788&lt;=60,"31-60 dias","Mais de 60 dias"))))))</f>
        <v>0</v>
      </c>
      <c r="L788" s="21">
        <f>IF($E788="","",MAX(0,$E788-N($G788)))</f>
        <v>0</v>
      </c>
      <c r="M788" s="21">
        <f>IF(OR($L788="",$J788=""),"",IF($J788&gt;0,ROUND($L788*Multa+$L788*Juros/30*$J788,2),0))</f>
        <v>0</v>
      </c>
      <c r="N788" s="22">
        <f>IF($L788="","",IF($L788&lt;=0.005,0,$L788+N($M788)))</f>
        <v>0</v>
      </c>
      <c r="O788" s="23">
        <f>IF(OR($I788="Vencido",$I788="Vencido (parcial)"),"Olá, "&amp;$A788&amp;"! Consta em aberto '"&amp;$B788&amp;"' com vencimento em "&amp;DAY($D788)&amp;"/"&amp;MONTH($D788)&amp;"/"&amp;YEAR($D788)&amp;", no valor de R$ "&amp;FIXED($N788,2)&amp;" (com multa e juros). Podemos ajudar a regularizar hoje? Obrigado!",IF($I788="Vence hoje","Olá, "&amp;$A788&amp;"! Lembrete: '"&amp;$B788&amp;"' vence hoje, no valor de R$ "&amp;FIXED($L788,2)&amp;". Obrigado!",""))</f>
        <v>0</v>
      </c>
    </row>
    <row r="789" spans="1:15">
      <c r="A789" s="13"/>
      <c r="B789" s="13"/>
      <c r="C789" s="17"/>
      <c r="D789" s="17"/>
      <c r="E789" s="18"/>
      <c r="F789" s="17"/>
      <c r="G789" s="18"/>
      <c r="H789" s="13"/>
      <c r="I789" s="19">
        <f>IF($E789="","",IF($L789&lt;=0.005,"Pago",IF($D789="","Sem vencimento",IF($D789&lt;Hoje,IF(N($G789)&gt;0,"Vencido (parcial)","Vencido"),IF($D789=Hoje,"Vence hoje","A vencer")))))</f>
        <v>0</v>
      </c>
      <c r="J789" s="20">
        <f>IF(OR($E789="",$D789=""),"",IF(AND($L789&gt;0.005,$D789&lt;Hoje),Hoje-$D789,0))</f>
        <v>0</v>
      </c>
      <c r="K789" s="20">
        <f>IF($J789="","",IF($L789&lt;=0.005,"Pago",IF($J789&lt;=0,"A vencer",IF($J789&lt;=15,"1-15 dias",IF($J789&lt;=30,"16-30 dias",IF($J789&lt;=60,"31-60 dias","Mais de 60 dias"))))))</f>
        <v>0</v>
      </c>
      <c r="L789" s="21">
        <f>IF($E789="","",MAX(0,$E789-N($G789)))</f>
        <v>0</v>
      </c>
      <c r="M789" s="21">
        <f>IF(OR($L789="",$J789=""),"",IF($J789&gt;0,ROUND($L789*Multa+$L789*Juros/30*$J789,2),0))</f>
        <v>0</v>
      </c>
      <c r="N789" s="22">
        <f>IF($L789="","",IF($L789&lt;=0.005,0,$L789+N($M789)))</f>
        <v>0</v>
      </c>
      <c r="O789" s="23">
        <f>IF(OR($I789="Vencido",$I789="Vencido (parcial)"),"Olá, "&amp;$A789&amp;"! Consta em aberto '"&amp;$B789&amp;"' com vencimento em "&amp;DAY($D789)&amp;"/"&amp;MONTH($D789)&amp;"/"&amp;YEAR($D789)&amp;", no valor de R$ "&amp;FIXED($N789,2)&amp;" (com multa e juros). Podemos ajudar a regularizar hoje? Obrigado!",IF($I789="Vence hoje","Olá, "&amp;$A789&amp;"! Lembrete: '"&amp;$B789&amp;"' vence hoje, no valor de R$ "&amp;FIXED($L789,2)&amp;". Obrigado!",""))</f>
        <v>0</v>
      </c>
    </row>
    <row r="790" spans="1:15">
      <c r="A790" s="13"/>
      <c r="B790" s="13"/>
      <c r="C790" s="17"/>
      <c r="D790" s="17"/>
      <c r="E790" s="18"/>
      <c r="F790" s="17"/>
      <c r="G790" s="18"/>
      <c r="H790" s="13"/>
      <c r="I790" s="19">
        <f>IF($E790="","",IF($L790&lt;=0.005,"Pago",IF($D790="","Sem vencimento",IF($D790&lt;Hoje,IF(N($G790)&gt;0,"Vencido (parcial)","Vencido"),IF($D790=Hoje,"Vence hoje","A vencer")))))</f>
        <v>0</v>
      </c>
      <c r="J790" s="20">
        <f>IF(OR($E790="",$D790=""),"",IF(AND($L790&gt;0.005,$D790&lt;Hoje),Hoje-$D790,0))</f>
        <v>0</v>
      </c>
      <c r="K790" s="20">
        <f>IF($J790="","",IF($L790&lt;=0.005,"Pago",IF($J790&lt;=0,"A vencer",IF($J790&lt;=15,"1-15 dias",IF($J790&lt;=30,"16-30 dias",IF($J790&lt;=60,"31-60 dias","Mais de 60 dias"))))))</f>
        <v>0</v>
      </c>
      <c r="L790" s="21">
        <f>IF($E790="","",MAX(0,$E790-N($G790)))</f>
        <v>0</v>
      </c>
      <c r="M790" s="21">
        <f>IF(OR($L790="",$J790=""),"",IF($J790&gt;0,ROUND($L790*Multa+$L790*Juros/30*$J790,2),0))</f>
        <v>0</v>
      </c>
      <c r="N790" s="22">
        <f>IF($L790="","",IF($L790&lt;=0.005,0,$L790+N($M790)))</f>
        <v>0</v>
      </c>
      <c r="O790" s="23">
        <f>IF(OR($I790="Vencido",$I790="Vencido (parcial)"),"Olá, "&amp;$A790&amp;"! Consta em aberto '"&amp;$B790&amp;"' com vencimento em "&amp;DAY($D790)&amp;"/"&amp;MONTH($D790)&amp;"/"&amp;YEAR($D790)&amp;", no valor de R$ "&amp;FIXED($N790,2)&amp;" (com multa e juros). Podemos ajudar a regularizar hoje? Obrigado!",IF($I790="Vence hoje","Olá, "&amp;$A790&amp;"! Lembrete: '"&amp;$B790&amp;"' vence hoje, no valor de R$ "&amp;FIXED($L790,2)&amp;". Obrigado!",""))</f>
        <v>0</v>
      </c>
    </row>
    <row r="791" spans="1:15">
      <c r="A791" s="13"/>
      <c r="B791" s="13"/>
      <c r="C791" s="17"/>
      <c r="D791" s="17"/>
      <c r="E791" s="18"/>
      <c r="F791" s="17"/>
      <c r="G791" s="18"/>
      <c r="H791" s="13"/>
      <c r="I791" s="19">
        <f>IF($E791="","",IF($L791&lt;=0.005,"Pago",IF($D791="","Sem vencimento",IF($D791&lt;Hoje,IF(N($G791)&gt;0,"Vencido (parcial)","Vencido"),IF($D791=Hoje,"Vence hoje","A vencer")))))</f>
        <v>0</v>
      </c>
      <c r="J791" s="20">
        <f>IF(OR($E791="",$D791=""),"",IF(AND($L791&gt;0.005,$D791&lt;Hoje),Hoje-$D791,0))</f>
        <v>0</v>
      </c>
      <c r="K791" s="20">
        <f>IF($J791="","",IF($L791&lt;=0.005,"Pago",IF($J791&lt;=0,"A vencer",IF($J791&lt;=15,"1-15 dias",IF($J791&lt;=30,"16-30 dias",IF($J791&lt;=60,"31-60 dias","Mais de 60 dias"))))))</f>
        <v>0</v>
      </c>
      <c r="L791" s="21">
        <f>IF($E791="","",MAX(0,$E791-N($G791)))</f>
        <v>0</v>
      </c>
      <c r="M791" s="21">
        <f>IF(OR($L791="",$J791=""),"",IF($J791&gt;0,ROUND($L791*Multa+$L791*Juros/30*$J791,2),0))</f>
        <v>0</v>
      </c>
      <c r="N791" s="22">
        <f>IF($L791="","",IF($L791&lt;=0.005,0,$L791+N($M791)))</f>
        <v>0</v>
      </c>
      <c r="O791" s="23">
        <f>IF(OR($I791="Vencido",$I791="Vencido (parcial)"),"Olá, "&amp;$A791&amp;"! Consta em aberto '"&amp;$B791&amp;"' com vencimento em "&amp;DAY($D791)&amp;"/"&amp;MONTH($D791)&amp;"/"&amp;YEAR($D791)&amp;", no valor de R$ "&amp;FIXED($N791,2)&amp;" (com multa e juros). Podemos ajudar a regularizar hoje? Obrigado!",IF($I791="Vence hoje","Olá, "&amp;$A791&amp;"! Lembrete: '"&amp;$B791&amp;"' vence hoje, no valor de R$ "&amp;FIXED($L791,2)&amp;". Obrigado!",""))</f>
        <v>0</v>
      </c>
    </row>
    <row r="792" spans="1:15">
      <c r="A792" s="13"/>
      <c r="B792" s="13"/>
      <c r="C792" s="17"/>
      <c r="D792" s="17"/>
      <c r="E792" s="18"/>
      <c r="F792" s="17"/>
      <c r="G792" s="18"/>
      <c r="H792" s="13"/>
      <c r="I792" s="19">
        <f>IF($E792="","",IF($L792&lt;=0.005,"Pago",IF($D792="","Sem vencimento",IF($D792&lt;Hoje,IF(N($G792)&gt;0,"Vencido (parcial)","Vencido"),IF($D792=Hoje,"Vence hoje","A vencer")))))</f>
        <v>0</v>
      </c>
      <c r="J792" s="20">
        <f>IF(OR($E792="",$D792=""),"",IF(AND($L792&gt;0.005,$D792&lt;Hoje),Hoje-$D792,0))</f>
        <v>0</v>
      </c>
      <c r="K792" s="20">
        <f>IF($J792="","",IF($L792&lt;=0.005,"Pago",IF($J792&lt;=0,"A vencer",IF($J792&lt;=15,"1-15 dias",IF($J792&lt;=30,"16-30 dias",IF($J792&lt;=60,"31-60 dias","Mais de 60 dias"))))))</f>
        <v>0</v>
      </c>
      <c r="L792" s="21">
        <f>IF($E792="","",MAX(0,$E792-N($G792)))</f>
        <v>0</v>
      </c>
      <c r="M792" s="21">
        <f>IF(OR($L792="",$J792=""),"",IF($J792&gt;0,ROUND($L792*Multa+$L792*Juros/30*$J792,2),0))</f>
        <v>0</v>
      </c>
      <c r="N792" s="22">
        <f>IF($L792="","",IF($L792&lt;=0.005,0,$L792+N($M792)))</f>
        <v>0</v>
      </c>
      <c r="O792" s="23">
        <f>IF(OR($I792="Vencido",$I792="Vencido (parcial)"),"Olá, "&amp;$A792&amp;"! Consta em aberto '"&amp;$B792&amp;"' com vencimento em "&amp;DAY($D792)&amp;"/"&amp;MONTH($D792)&amp;"/"&amp;YEAR($D792)&amp;", no valor de R$ "&amp;FIXED($N792,2)&amp;" (com multa e juros). Podemos ajudar a regularizar hoje? Obrigado!",IF($I792="Vence hoje","Olá, "&amp;$A792&amp;"! Lembrete: '"&amp;$B792&amp;"' vence hoje, no valor de R$ "&amp;FIXED($L792,2)&amp;". Obrigado!",""))</f>
        <v>0</v>
      </c>
    </row>
    <row r="793" spans="1:15">
      <c r="A793" s="13"/>
      <c r="B793" s="13"/>
      <c r="C793" s="17"/>
      <c r="D793" s="17"/>
      <c r="E793" s="18"/>
      <c r="F793" s="17"/>
      <c r="G793" s="18"/>
      <c r="H793" s="13"/>
      <c r="I793" s="19">
        <f>IF($E793="","",IF($L793&lt;=0.005,"Pago",IF($D793="","Sem vencimento",IF($D793&lt;Hoje,IF(N($G793)&gt;0,"Vencido (parcial)","Vencido"),IF($D793=Hoje,"Vence hoje","A vencer")))))</f>
        <v>0</v>
      </c>
      <c r="J793" s="20">
        <f>IF(OR($E793="",$D793=""),"",IF(AND($L793&gt;0.005,$D793&lt;Hoje),Hoje-$D793,0))</f>
        <v>0</v>
      </c>
      <c r="K793" s="20">
        <f>IF($J793="","",IF($L793&lt;=0.005,"Pago",IF($J793&lt;=0,"A vencer",IF($J793&lt;=15,"1-15 dias",IF($J793&lt;=30,"16-30 dias",IF($J793&lt;=60,"31-60 dias","Mais de 60 dias"))))))</f>
        <v>0</v>
      </c>
      <c r="L793" s="21">
        <f>IF($E793="","",MAX(0,$E793-N($G793)))</f>
        <v>0</v>
      </c>
      <c r="M793" s="21">
        <f>IF(OR($L793="",$J793=""),"",IF($J793&gt;0,ROUND($L793*Multa+$L793*Juros/30*$J793,2),0))</f>
        <v>0</v>
      </c>
      <c r="N793" s="22">
        <f>IF($L793="","",IF($L793&lt;=0.005,0,$L793+N($M793)))</f>
        <v>0</v>
      </c>
      <c r="O793" s="23">
        <f>IF(OR($I793="Vencido",$I793="Vencido (parcial)"),"Olá, "&amp;$A793&amp;"! Consta em aberto '"&amp;$B793&amp;"' com vencimento em "&amp;DAY($D793)&amp;"/"&amp;MONTH($D793)&amp;"/"&amp;YEAR($D793)&amp;", no valor de R$ "&amp;FIXED($N793,2)&amp;" (com multa e juros). Podemos ajudar a regularizar hoje? Obrigado!",IF($I793="Vence hoje","Olá, "&amp;$A793&amp;"! Lembrete: '"&amp;$B793&amp;"' vence hoje, no valor de R$ "&amp;FIXED($L793,2)&amp;". Obrigado!",""))</f>
        <v>0</v>
      </c>
    </row>
    <row r="794" spans="1:15">
      <c r="A794" s="13"/>
      <c r="B794" s="13"/>
      <c r="C794" s="17"/>
      <c r="D794" s="17"/>
      <c r="E794" s="18"/>
      <c r="F794" s="17"/>
      <c r="G794" s="18"/>
      <c r="H794" s="13"/>
      <c r="I794" s="19">
        <f>IF($E794="","",IF($L794&lt;=0.005,"Pago",IF($D794="","Sem vencimento",IF($D794&lt;Hoje,IF(N($G794)&gt;0,"Vencido (parcial)","Vencido"),IF($D794=Hoje,"Vence hoje","A vencer")))))</f>
        <v>0</v>
      </c>
      <c r="J794" s="20">
        <f>IF(OR($E794="",$D794=""),"",IF(AND($L794&gt;0.005,$D794&lt;Hoje),Hoje-$D794,0))</f>
        <v>0</v>
      </c>
      <c r="K794" s="20">
        <f>IF($J794="","",IF($L794&lt;=0.005,"Pago",IF($J794&lt;=0,"A vencer",IF($J794&lt;=15,"1-15 dias",IF($J794&lt;=30,"16-30 dias",IF($J794&lt;=60,"31-60 dias","Mais de 60 dias"))))))</f>
        <v>0</v>
      </c>
      <c r="L794" s="21">
        <f>IF($E794="","",MAX(0,$E794-N($G794)))</f>
        <v>0</v>
      </c>
      <c r="M794" s="21">
        <f>IF(OR($L794="",$J794=""),"",IF($J794&gt;0,ROUND($L794*Multa+$L794*Juros/30*$J794,2),0))</f>
        <v>0</v>
      </c>
      <c r="N794" s="22">
        <f>IF($L794="","",IF($L794&lt;=0.005,0,$L794+N($M794)))</f>
        <v>0</v>
      </c>
      <c r="O794" s="23">
        <f>IF(OR($I794="Vencido",$I794="Vencido (parcial)"),"Olá, "&amp;$A794&amp;"! Consta em aberto '"&amp;$B794&amp;"' com vencimento em "&amp;DAY($D794)&amp;"/"&amp;MONTH($D794)&amp;"/"&amp;YEAR($D794)&amp;", no valor de R$ "&amp;FIXED($N794,2)&amp;" (com multa e juros). Podemos ajudar a regularizar hoje? Obrigado!",IF($I794="Vence hoje","Olá, "&amp;$A794&amp;"! Lembrete: '"&amp;$B794&amp;"' vence hoje, no valor de R$ "&amp;FIXED($L794,2)&amp;". Obrigado!",""))</f>
        <v>0</v>
      </c>
    </row>
    <row r="795" spans="1:15">
      <c r="A795" s="13"/>
      <c r="B795" s="13"/>
      <c r="C795" s="17"/>
      <c r="D795" s="17"/>
      <c r="E795" s="18"/>
      <c r="F795" s="17"/>
      <c r="G795" s="18"/>
      <c r="H795" s="13"/>
      <c r="I795" s="19">
        <f>IF($E795="","",IF($L795&lt;=0.005,"Pago",IF($D795="","Sem vencimento",IF($D795&lt;Hoje,IF(N($G795)&gt;0,"Vencido (parcial)","Vencido"),IF($D795=Hoje,"Vence hoje","A vencer")))))</f>
        <v>0</v>
      </c>
      <c r="J795" s="20">
        <f>IF(OR($E795="",$D795=""),"",IF(AND($L795&gt;0.005,$D795&lt;Hoje),Hoje-$D795,0))</f>
        <v>0</v>
      </c>
      <c r="K795" s="20">
        <f>IF($J795="","",IF($L795&lt;=0.005,"Pago",IF($J795&lt;=0,"A vencer",IF($J795&lt;=15,"1-15 dias",IF($J795&lt;=30,"16-30 dias",IF($J795&lt;=60,"31-60 dias","Mais de 60 dias"))))))</f>
        <v>0</v>
      </c>
      <c r="L795" s="21">
        <f>IF($E795="","",MAX(0,$E795-N($G795)))</f>
        <v>0</v>
      </c>
      <c r="M795" s="21">
        <f>IF(OR($L795="",$J795=""),"",IF($J795&gt;0,ROUND($L795*Multa+$L795*Juros/30*$J795,2),0))</f>
        <v>0</v>
      </c>
      <c r="N795" s="22">
        <f>IF($L795="","",IF($L795&lt;=0.005,0,$L795+N($M795)))</f>
        <v>0</v>
      </c>
      <c r="O795" s="23">
        <f>IF(OR($I795="Vencido",$I795="Vencido (parcial)"),"Olá, "&amp;$A795&amp;"! Consta em aberto '"&amp;$B795&amp;"' com vencimento em "&amp;DAY($D795)&amp;"/"&amp;MONTH($D795)&amp;"/"&amp;YEAR($D795)&amp;", no valor de R$ "&amp;FIXED($N795,2)&amp;" (com multa e juros). Podemos ajudar a regularizar hoje? Obrigado!",IF($I795="Vence hoje","Olá, "&amp;$A795&amp;"! Lembrete: '"&amp;$B795&amp;"' vence hoje, no valor de R$ "&amp;FIXED($L795,2)&amp;". Obrigado!",""))</f>
        <v>0</v>
      </c>
    </row>
    <row r="796" spans="1:15">
      <c r="A796" s="13"/>
      <c r="B796" s="13"/>
      <c r="C796" s="17"/>
      <c r="D796" s="17"/>
      <c r="E796" s="18"/>
      <c r="F796" s="17"/>
      <c r="G796" s="18"/>
      <c r="H796" s="13"/>
      <c r="I796" s="19">
        <f>IF($E796="","",IF($L796&lt;=0.005,"Pago",IF($D796="","Sem vencimento",IF($D796&lt;Hoje,IF(N($G796)&gt;0,"Vencido (parcial)","Vencido"),IF($D796=Hoje,"Vence hoje","A vencer")))))</f>
        <v>0</v>
      </c>
      <c r="J796" s="20">
        <f>IF(OR($E796="",$D796=""),"",IF(AND($L796&gt;0.005,$D796&lt;Hoje),Hoje-$D796,0))</f>
        <v>0</v>
      </c>
      <c r="K796" s="20">
        <f>IF($J796="","",IF($L796&lt;=0.005,"Pago",IF($J796&lt;=0,"A vencer",IF($J796&lt;=15,"1-15 dias",IF($J796&lt;=30,"16-30 dias",IF($J796&lt;=60,"31-60 dias","Mais de 60 dias"))))))</f>
        <v>0</v>
      </c>
      <c r="L796" s="21">
        <f>IF($E796="","",MAX(0,$E796-N($G796)))</f>
        <v>0</v>
      </c>
      <c r="M796" s="21">
        <f>IF(OR($L796="",$J796=""),"",IF($J796&gt;0,ROUND($L796*Multa+$L796*Juros/30*$J796,2),0))</f>
        <v>0</v>
      </c>
      <c r="N796" s="22">
        <f>IF($L796="","",IF($L796&lt;=0.005,0,$L796+N($M796)))</f>
        <v>0</v>
      </c>
      <c r="O796" s="23">
        <f>IF(OR($I796="Vencido",$I796="Vencido (parcial)"),"Olá, "&amp;$A796&amp;"! Consta em aberto '"&amp;$B796&amp;"' com vencimento em "&amp;DAY($D796)&amp;"/"&amp;MONTH($D796)&amp;"/"&amp;YEAR($D796)&amp;", no valor de R$ "&amp;FIXED($N796,2)&amp;" (com multa e juros). Podemos ajudar a regularizar hoje? Obrigado!",IF($I796="Vence hoje","Olá, "&amp;$A796&amp;"! Lembrete: '"&amp;$B796&amp;"' vence hoje, no valor de R$ "&amp;FIXED($L796,2)&amp;". Obrigado!",""))</f>
        <v>0</v>
      </c>
    </row>
    <row r="797" spans="1:15">
      <c r="A797" s="13"/>
      <c r="B797" s="13"/>
      <c r="C797" s="17"/>
      <c r="D797" s="17"/>
      <c r="E797" s="18"/>
      <c r="F797" s="17"/>
      <c r="G797" s="18"/>
      <c r="H797" s="13"/>
      <c r="I797" s="19">
        <f>IF($E797="","",IF($L797&lt;=0.005,"Pago",IF($D797="","Sem vencimento",IF($D797&lt;Hoje,IF(N($G797)&gt;0,"Vencido (parcial)","Vencido"),IF($D797=Hoje,"Vence hoje","A vencer")))))</f>
        <v>0</v>
      </c>
      <c r="J797" s="20">
        <f>IF(OR($E797="",$D797=""),"",IF(AND($L797&gt;0.005,$D797&lt;Hoje),Hoje-$D797,0))</f>
        <v>0</v>
      </c>
      <c r="K797" s="20">
        <f>IF($J797="","",IF($L797&lt;=0.005,"Pago",IF($J797&lt;=0,"A vencer",IF($J797&lt;=15,"1-15 dias",IF($J797&lt;=30,"16-30 dias",IF($J797&lt;=60,"31-60 dias","Mais de 60 dias"))))))</f>
        <v>0</v>
      </c>
      <c r="L797" s="21">
        <f>IF($E797="","",MAX(0,$E797-N($G797)))</f>
        <v>0</v>
      </c>
      <c r="M797" s="21">
        <f>IF(OR($L797="",$J797=""),"",IF($J797&gt;0,ROUND($L797*Multa+$L797*Juros/30*$J797,2),0))</f>
        <v>0</v>
      </c>
      <c r="N797" s="22">
        <f>IF($L797="","",IF($L797&lt;=0.005,0,$L797+N($M797)))</f>
        <v>0</v>
      </c>
      <c r="O797" s="23">
        <f>IF(OR($I797="Vencido",$I797="Vencido (parcial)"),"Olá, "&amp;$A797&amp;"! Consta em aberto '"&amp;$B797&amp;"' com vencimento em "&amp;DAY($D797)&amp;"/"&amp;MONTH($D797)&amp;"/"&amp;YEAR($D797)&amp;", no valor de R$ "&amp;FIXED($N797,2)&amp;" (com multa e juros). Podemos ajudar a regularizar hoje? Obrigado!",IF($I797="Vence hoje","Olá, "&amp;$A797&amp;"! Lembrete: '"&amp;$B797&amp;"' vence hoje, no valor de R$ "&amp;FIXED($L797,2)&amp;". Obrigado!",""))</f>
        <v>0</v>
      </c>
    </row>
    <row r="798" spans="1:15">
      <c r="A798" s="13"/>
      <c r="B798" s="13"/>
      <c r="C798" s="17"/>
      <c r="D798" s="17"/>
      <c r="E798" s="18"/>
      <c r="F798" s="17"/>
      <c r="G798" s="18"/>
      <c r="H798" s="13"/>
      <c r="I798" s="19">
        <f>IF($E798="","",IF($L798&lt;=0.005,"Pago",IF($D798="","Sem vencimento",IF($D798&lt;Hoje,IF(N($G798)&gt;0,"Vencido (parcial)","Vencido"),IF($D798=Hoje,"Vence hoje","A vencer")))))</f>
        <v>0</v>
      </c>
      <c r="J798" s="20">
        <f>IF(OR($E798="",$D798=""),"",IF(AND($L798&gt;0.005,$D798&lt;Hoje),Hoje-$D798,0))</f>
        <v>0</v>
      </c>
      <c r="K798" s="20">
        <f>IF($J798="","",IF($L798&lt;=0.005,"Pago",IF($J798&lt;=0,"A vencer",IF($J798&lt;=15,"1-15 dias",IF($J798&lt;=30,"16-30 dias",IF($J798&lt;=60,"31-60 dias","Mais de 60 dias"))))))</f>
        <v>0</v>
      </c>
      <c r="L798" s="21">
        <f>IF($E798="","",MAX(0,$E798-N($G798)))</f>
        <v>0</v>
      </c>
      <c r="M798" s="21">
        <f>IF(OR($L798="",$J798=""),"",IF($J798&gt;0,ROUND($L798*Multa+$L798*Juros/30*$J798,2),0))</f>
        <v>0</v>
      </c>
      <c r="N798" s="22">
        <f>IF($L798="","",IF($L798&lt;=0.005,0,$L798+N($M798)))</f>
        <v>0</v>
      </c>
      <c r="O798" s="23">
        <f>IF(OR($I798="Vencido",$I798="Vencido (parcial)"),"Olá, "&amp;$A798&amp;"! Consta em aberto '"&amp;$B798&amp;"' com vencimento em "&amp;DAY($D798)&amp;"/"&amp;MONTH($D798)&amp;"/"&amp;YEAR($D798)&amp;", no valor de R$ "&amp;FIXED($N798,2)&amp;" (com multa e juros). Podemos ajudar a regularizar hoje? Obrigado!",IF($I798="Vence hoje","Olá, "&amp;$A798&amp;"! Lembrete: '"&amp;$B798&amp;"' vence hoje, no valor de R$ "&amp;FIXED($L798,2)&amp;". Obrigado!",""))</f>
        <v>0</v>
      </c>
    </row>
    <row r="799" spans="1:15">
      <c r="A799" s="13"/>
      <c r="B799" s="13"/>
      <c r="C799" s="17"/>
      <c r="D799" s="17"/>
      <c r="E799" s="18"/>
      <c r="F799" s="17"/>
      <c r="G799" s="18"/>
      <c r="H799" s="13"/>
      <c r="I799" s="19">
        <f>IF($E799="","",IF($L799&lt;=0.005,"Pago",IF($D799="","Sem vencimento",IF($D799&lt;Hoje,IF(N($G799)&gt;0,"Vencido (parcial)","Vencido"),IF($D799=Hoje,"Vence hoje","A vencer")))))</f>
        <v>0</v>
      </c>
      <c r="J799" s="20">
        <f>IF(OR($E799="",$D799=""),"",IF(AND($L799&gt;0.005,$D799&lt;Hoje),Hoje-$D799,0))</f>
        <v>0</v>
      </c>
      <c r="K799" s="20">
        <f>IF($J799="","",IF($L799&lt;=0.005,"Pago",IF($J799&lt;=0,"A vencer",IF($J799&lt;=15,"1-15 dias",IF($J799&lt;=30,"16-30 dias",IF($J799&lt;=60,"31-60 dias","Mais de 60 dias"))))))</f>
        <v>0</v>
      </c>
      <c r="L799" s="21">
        <f>IF($E799="","",MAX(0,$E799-N($G799)))</f>
        <v>0</v>
      </c>
      <c r="M799" s="21">
        <f>IF(OR($L799="",$J799=""),"",IF($J799&gt;0,ROUND($L799*Multa+$L799*Juros/30*$J799,2),0))</f>
        <v>0</v>
      </c>
      <c r="N799" s="22">
        <f>IF($L799="","",IF($L799&lt;=0.005,0,$L799+N($M799)))</f>
        <v>0</v>
      </c>
      <c r="O799" s="23">
        <f>IF(OR($I799="Vencido",$I799="Vencido (parcial)"),"Olá, "&amp;$A799&amp;"! Consta em aberto '"&amp;$B799&amp;"' com vencimento em "&amp;DAY($D799)&amp;"/"&amp;MONTH($D799)&amp;"/"&amp;YEAR($D799)&amp;", no valor de R$ "&amp;FIXED($N799,2)&amp;" (com multa e juros). Podemos ajudar a regularizar hoje? Obrigado!",IF($I799="Vence hoje","Olá, "&amp;$A799&amp;"! Lembrete: '"&amp;$B799&amp;"' vence hoje, no valor de R$ "&amp;FIXED($L799,2)&amp;". Obrigado!",""))</f>
        <v>0</v>
      </c>
    </row>
    <row r="800" spans="1:15">
      <c r="A800" s="13"/>
      <c r="B800" s="13"/>
      <c r="C800" s="17"/>
      <c r="D800" s="17"/>
      <c r="E800" s="18"/>
      <c r="F800" s="17"/>
      <c r="G800" s="18"/>
      <c r="H800" s="13"/>
      <c r="I800" s="19">
        <f>IF($E800="","",IF($L800&lt;=0.005,"Pago",IF($D800="","Sem vencimento",IF($D800&lt;Hoje,IF(N($G800)&gt;0,"Vencido (parcial)","Vencido"),IF($D800=Hoje,"Vence hoje","A vencer")))))</f>
        <v>0</v>
      </c>
      <c r="J800" s="20">
        <f>IF(OR($E800="",$D800=""),"",IF(AND($L800&gt;0.005,$D800&lt;Hoje),Hoje-$D800,0))</f>
        <v>0</v>
      </c>
      <c r="K800" s="20">
        <f>IF($J800="","",IF($L800&lt;=0.005,"Pago",IF($J800&lt;=0,"A vencer",IF($J800&lt;=15,"1-15 dias",IF($J800&lt;=30,"16-30 dias",IF($J800&lt;=60,"31-60 dias","Mais de 60 dias"))))))</f>
        <v>0</v>
      </c>
      <c r="L800" s="21">
        <f>IF($E800="","",MAX(0,$E800-N($G800)))</f>
        <v>0</v>
      </c>
      <c r="M800" s="21">
        <f>IF(OR($L800="",$J800=""),"",IF($J800&gt;0,ROUND($L800*Multa+$L800*Juros/30*$J800,2),0))</f>
        <v>0</v>
      </c>
      <c r="N800" s="22">
        <f>IF($L800="","",IF($L800&lt;=0.005,0,$L800+N($M800)))</f>
        <v>0</v>
      </c>
      <c r="O800" s="23">
        <f>IF(OR($I800="Vencido",$I800="Vencido (parcial)"),"Olá, "&amp;$A800&amp;"! Consta em aberto '"&amp;$B800&amp;"' com vencimento em "&amp;DAY($D800)&amp;"/"&amp;MONTH($D800)&amp;"/"&amp;YEAR($D800)&amp;", no valor de R$ "&amp;FIXED($N800,2)&amp;" (com multa e juros). Podemos ajudar a regularizar hoje? Obrigado!",IF($I800="Vence hoje","Olá, "&amp;$A800&amp;"! Lembrete: '"&amp;$B800&amp;"' vence hoje, no valor de R$ "&amp;FIXED($L800,2)&amp;". Obrigado!",""))</f>
        <v>0</v>
      </c>
    </row>
    <row r="801" spans="1:15">
      <c r="A801" s="13"/>
      <c r="B801" s="13"/>
      <c r="C801" s="17"/>
      <c r="D801" s="17"/>
      <c r="E801" s="18"/>
      <c r="F801" s="17"/>
      <c r="G801" s="18"/>
      <c r="H801" s="13"/>
      <c r="I801" s="19">
        <f>IF($E801="","",IF($L801&lt;=0.005,"Pago",IF($D801="","Sem vencimento",IF($D801&lt;Hoje,IF(N($G801)&gt;0,"Vencido (parcial)","Vencido"),IF($D801=Hoje,"Vence hoje","A vencer")))))</f>
        <v>0</v>
      </c>
      <c r="J801" s="20">
        <f>IF(OR($E801="",$D801=""),"",IF(AND($L801&gt;0.005,$D801&lt;Hoje),Hoje-$D801,0))</f>
        <v>0</v>
      </c>
      <c r="K801" s="20">
        <f>IF($J801="","",IF($L801&lt;=0.005,"Pago",IF($J801&lt;=0,"A vencer",IF($J801&lt;=15,"1-15 dias",IF($J801&lt;=30,"16-30 dias",IF($J801&lt;=60,"31-60 dias","Mais de 60 dias"))))))</f>
        <v>0</v>
      </c>
      <c r="L801" s="21">
        <f>IF($E801="","",MAX(0,$E801-N($G801)))</f>
        <v>0</v>
      </c>
      <c r="M801" s="21">
        <f>IF(OR($L801="",$J801=""),"",IF($J801&gt;0,ROUND($L801*Multa+$L801*Juros/30*$J801,2),0))</f>
        <v>0</v>
      </c>
      <c r="N801" s="22">
        <f>IF($L801="","",IF($L801&lt;=0.005,0,$L801+N($M801)))</f>
        <v>0</v>
      </c>
      <c r="O801" s="23">
        <f>IF(OR($I801="Vencido",$I801="Vencido (parcial)"),"Olá, "&amp;$A801&amp;"! Consta em aberto '"&amp;$B801&amp;"' com vencimento em "&amp;DAY($D801)&amp;"/"&amp;MONTH($D801)&amp;"/"&amp;YEAR($D801)&amp;", no valor de R$ "&amp;FIXED($N801,2)&amp;" (com multa e juros). Podemos ajudar a regularizar hoje? Obrigado!",IF($I801="Vence hoje","Olá, "&amp;$A801&amp;"! Lembrete: '"&amp;$B801&amp;"' vence hoje, no valor de R$ "&amp;FIXED($L801,2)&amp;". Obrigado!",""))</f>
        <v>0</v>
      </c>
    </row>
    <row r="802" spans="1:15">
      <c r="A802" s="13"/>
      <c r="B802" s="13"/>
      <c r="C802" s="17"/>
      <c r="D802" s="17"/>
      <c r="E802" s="18"/>
      <c r="F802" s="17"/>
      <c r="G802" s="18"/>
      <c r="H802" s="13"/>
      <c r="I802" s="19">
        <f>IF($E802="","",IF($L802&lt;=0.005,"Pago",IF($D802="","Sem vencimento",IF($D802&lt;Hoje,IF(N($G802)&gt;0,"Vencido (parcial)","Vencido"),IF($D802=Hoje,"Vence hoje","A vencer")))))</f>
        <v>0</v>
      </c>
      <c r="J802" s="20">
        <f>IF(OR($E802="",$D802=""),"",IF(AND($L802&gt;0.005,$D802&lt;Hoje),Hoje-$D802,0))</f>
        <v>0</v>
      </c>
      <c r="K802" s="20">
        <f>IF($J802="","",IF($L802&lt;=0.005,"Pago",IF($J802&lt;=0,"A vencer",IF($J802&lt;=15,"1-15 dias",IF($J802&lt;=30,"16-30 dias",IF($J802&lt;=60,"31-60 dias","Mais de 60 dias"))))))</f>
        <v>0</v>
      </c>
      <c r="L802" s="21">
        <f>IF($E802="","",MAX(0,$E802-N($G802)))</f>
        <v>0</v>
      </c>
      <c r="M802" s="21">
        <f>IF(OR($L802="",$J802=""),"",IF($J802&gt;0,ROUND($L802*Multa+$L802*Juros/30*$J802,2),0))</f>
        <v>0</v>
      </c>
      <c r="N802" s="22">
        <f>IF($L802="","",IF($L802&lt;=0.005,0,$L802+N($M802)))</f>
        <v>0</v>
      </c>
      <c r="O802" s="23">
        <f>IF(OR($I802="Vencido",$I802="Vencido (parcial)"),"Olá, "&amp;$A802&amp;"! Consta em aberto '"&amp;$B802&amp;"' com vencimento em "&amp;DAY($D802)&amp;"/"&amp;MONTH($D802)&amp;"/"&amp;YEAR($D802)&amp;", no valor de R$ "&amp;FIXED($N802,2)&amp;" (com multa e juros). Podemos ajudar a regularizar hoje? Obrigado!",IF($I802="Vence hoje","Olá, "&amp;$A802&amp;"! Lembrete: '"&amp;$B802&amp;"' vence hoje, no valor de R$ "&amp;FIXED($L802,2)&amp;". Obrigado!",""))</f>
        <v>0</v>
      </c>
    </row>
    <row r="803" spans="1:15">
      <c r="A803" s="13"/>
      <c r="B803" s="13"/>
      <c r="C803" s="17"/>
      <c r="D803" s="17"/>
      <c r="E803" s="18"/>
      <c r="F803" s="17"/>
      <c r="G803" s="18"/>
      <c r="H803" s="13"/>
      <c r="I803" s="19">
        <f>IF($E803="","",IF($L803&lt;=0.005,"Pago",IF($D803="","Sem vencimento",IF($D803&lt;Hoje,IF(N($G803)&gt;0,"Vencido (parcial)","Vencido"),IF($D803=Hoje,"Vence hoje","A vencer")))))</f>
        <v>0</v>
      </c>
      <c r="J803" s="20">
        <f>IF(OR($E803="",$D803=""),"",IF(AND($L803&gt;0.005,$D803&lt;Hoje),Hoje-$D803,0))</f>
        <v>0</v>
      </c>
      <c r="K803" s="20">
        <f>IF($J803="","",IF($L803&lt;=0.005,"Pago",IF($J803&lt;=0,"A vencer",IF($J803&lt;=15,"1-15 dias",IF($J803&lt;=30,"16-30 dias",IF($J803&lt;=60,"31-60 dias","Mais de 60 dias"))))))</f>
        <v>0</v>
      </c>
      <c r="L803" s="21">
        <f>IF($E803="","",MAX(0,$E803-N($G803)))</f>
        <v>0</v>
      </c>
      <c r="M803" s="21">
        <f>IF(OR($L803="",$J803=""),"",IF($J803&gt;0,ROUND($L803*Multa+$L803*Juros/30*$J803,2),0))</f>
        <v>0</v>
      </c>
      <c r="N803" s="22">
        <f>IF($L803="","",IF($L803&lt;=0.005,0,$L803+N($M803)))</f>
        <v>0</v>
      </c>
      <c r="O803" s="23">
        <f>IF(OR($I803="Vencido",$I803="Vencido (parcial)"),"Olá, "&amp;$A803&amp;"! Consta em aberto '"&amp;$B803&amp;"' com vencimento em "&amp;DAY($D803)&amp;"/"&amp;MONTH($D803)&amp;"/"&amp;YEAR($D803)&amp;", no valor de R$ "&amp;FIXED($N803,2)&amp;" (com multa e juros). Podemos ajudar a regularizar hoje? Obrigado!",IF($I803="Vence hoje","Olá, "&amp;$A803&amp;"! Lembrete: '"&amp;$B803&amp;"' vence hoje, no valor de R$ "&amp;FIXED($L803,2)&amp;". Obrigado!",""))</f>
        <v>0</v>
      </c>
    </row>
    <row r="804" spans="1:15">
      <c r="A804" s="13"/>
      <c r="B804" s="13"/>
      <c r="C804" s="17"/>
      <c r="D804" s="17"/>
      <c r="E804" s="18"/>
      <c r="F804" s="17"/>
      <c r="G804" s="18"/>
      <c r="H804" s="13"/>
      <c r="I804" s="19">
        <f>IF($E804="","",IF($L804&lt;=0.005,"Pago",IF($D804="","Sem vencimento",IF($D804&lt;Hoje,IF(N($G804)&gt;0,"Vencido (parcial)","Vencido"),IF($D804=Hoje,"Vence hoje","A vencer")))))</f>
        <v>0</v>
      </c>
      <c r="J804" s="20">
        <f>IF(OR($E804="",$D804=""),"",IF(AND($L804&gt;0.005,$D804&lt;Hoje),Hoje-$D804,0))</f>
        <v>0</v>
      </c>
      <c r="K804" s="20">
        <f>IF($J804="","",IF($L804&lt;=0.005,"Pago",IF($J804&lt;=0,"A vencer",IF($J804&lt;=15,"1-15 dias",IF($J804&lt;=30,"16-30 dias",IF($J804&lt;=60,"31-60 dias","Mais de 60 dias"))))))</f>
        <v>0</v>
      </c>
      <c r="L804" s="21">
        <f>IF($E804="","",MAX(0,$E804-N($G804)))</f>
        <v>0</v>
      </c>
      <c r="M804" s="21">
        <f>IF(OR($L804="",$J804=""),"",IF($J804&gt;0,ROUND($L804*Multa+$L804*Juros/30*$J804,2),0))</f>
        <v>0</v>
      </c>
      <c r="N804" s="22">
        <f>IF($L804="","",IF($L804&lt;=0.005,0,$L804+N($M804)))</f>
        <v>0</v>
      </c>
      <c r="O804" s="23">
        <f>IF(OR($I804="Vencido",$I804="Vencido (parcial)"),"Olá, "&amp;$A804&amp;"! Consta em aberto '"&amp;$B804&amp;"' com vencimento em "&amp;DAY($D804)&amp;"/"&amp;MONTH($D804)&amp;"/"&amp;YEAR($D804)&amp;", no valor de R$ "&amp;FIXED($N804,2)&amp;" (com multa e juros). Podemos ajudar a regularizar hoje? Obrigado!",IF($I804="Vence hoje","Olá, "&amp;$A804&amp;"! Lembrete: '"&amp;$B804&amp;"' vence hoje, no valor de R$ "&amp;FIXED($L804,2)&amp;". Obrigado!",""))</f>
        <v>0</v>
      </c>
    </row>
    <row r="805" spans="1:15">
      <c r="A805" s="13"/>
      <c r="B805" s="13"/>
      <c r="C805" s="17"/>
      <c r="D805" s="17"/>
      <c r="E805" s="18"/>
      <c r="F805" s="17"/>
      <c r="G805" s="18"/>
      <c r="H805" s="13"/>
      <c r="I805" s="19">
        <f>IF($E805="","",IF($L805&lt;=0.005,"Pago",IF($D805="","Sem vencimento",IF($D805&lt;Hoje,IF(N($G805)&gt;0,"Vencido (parcial)","Vencido"),IF($D805=Hoje,"Vence hoje","A vencer")))))</f>
        <v>0</v>
      </c>
      <c r="J805" s="20">
        <f>IF(OR($E805="",$D805=""),"",IF(AND($L805&gt;0.005,$D805&lt;Hoje),Hoje-$D805,0))</f>
        <v>0</v>
      </c>
      <c r="K805" s="20">
        <f>IF($J805="","",IF($L805&lt;=0.005,"Pago",IF($J805&lt;=0,"A vencer",IF($J805&lt;=15,"1-15 dias",IF($J805&lt;=30,"16-30 dias",IF($J805&lt;=60,"31-60 dias","Mais de 60 dias"))))))</f>
        <v>0</v>
      </c>
      <c r="L805" s="21">
        <f>IF($E805="","",MAX(0,$E805-N($G805)))</f>
        <v>0</v>
      </c>
      <c r="M805" s="21">
        <f>IF(OR($L805="",$J805=""),"",IF($J805&gt;0,ROUND($L805*Multa+$L805*Juros/30*$J805,2),0))</f>
        <v>0</v>
      </c>
      <c r="N805" s="22">
        <f>IF($L805="","",IF($L805&lt;=0.005,0,$L805+N($M805)))</f>
        <v>0</v>
      </c>
      <c r="O805" s="23">
        <f>IF(OR($I805="Vencido",$I805="Vencido (parcial)"),"Olá, "&amp;$A805&amp;"! Consta em aberto '"&amp;$B805&amp;"' com vencimento em "&amp;DAY($D805)&amp;"/"&amp;MONTH($D805)&amp;"/"&amp;YEAR($D805)&amp;", no valor de R$ "&amp;FIXED($N805,2)&amp;" (com multa e juros). Podemos ajudar a regularizar hoje? Obrigado!",IF($I805="Vence hoje","Olá, "&amp;$A805&amp;"! Lembrete: '"&amp;$B805&amp;"' vence hoje, no valor de R$ "&amp;FIXED($L805,2)&amp;". Obrigado!",""))</f>
        <v>0</v>
      </c>
    </row>
    <row r="806" spans="1:15">
      <c r="A806" s="13"/>
      <c r="B806" s="13"/>
      <c r="C806" s="17"/>
      <c r="D806" s="17"/>
      <c r="E806" s="18"/>
      <c r="F806" s="17"/>
      <c r="G806" s="18"/>
      <c r="H806" s="13"/>
      <c r="I806" s="19">
        <f>IF($E806="","",IF($L806&lt;=0.005,"Pago",IF($D806="","Sem vencimento",IF($D806&lt;Hoje,IF(N($G806)&gt;0,"Vencido (parcial)","Vencido"),IF($D806=Hoje,"Vence hoje","A vencer")))))</f>
        <v>0</v>
      </c>
      <c r="J806" s="20">
        <f>IF(OR($E806="",$D806=""),"",IF(AND($L806&gt;0.005,$D806&lt;Hoje),Hoje-$D806,0))</f>
        <v>0</v>
      </c>
      <c r="K806" s="20">
        <f>IF($J806="","",IF($L806&lt;=0.005,"Pago",IF($J806&lt;=0,"A vencer",IF($J806&lt;=15,"1-15 dias",IF($J806&lt;=30,"16-30 dias",IF($J806&lt;=60,"31-60 dias","Mais de 60 dias"))))))</f>
        <v>0</v>
      </c>
      <c r="L806" s="21">
        <f>IF($E806="","",MAX(0,$E806-N($G806)))</f>
        <v>0</v>
      </c>
      <c r="M806" s="21">
        <f>IF(OR($L806="",$J806=""),"",IF($J806&gt;0,ROUND($L806*Multa+$L806*Juros/30*$J806,2),0))</f>
        <v>0</v>
      </c>
      <c r="N806" s="22">
        <f>IF($L806="","",IF($L806&lt;=0.005,0,$L806+N($M806)))</f>
        <v>0</v>
      </c>
      <c r="O806" s="23">
        <f>IF(OR($I806="Vencido",$I806="Vencido (parcial)"),"Olá, "&amp;$A806&amp;"! Consta em aberto '"&amp;$B806&amp;"' com vencimento em "&amp;DAY($D806)&amp;"/"&amp;MONTH($D806)&amp;"/"&amp;YEAR($D806)&amp;", no valor de R$ "&amp;FIXED($N806,2)&amp;" (com multa e juros). Podemos ajudar a regularizar hoje? Obrigado!",IF($I806="Vence hoje","Olá, "&amp;$A806&amp;"! Lembrete: '"&amp;$B806&amp;"' vence hoje, no valor de R$ "&amp;FIXED($L806,2)&amp;". Obrigado!",""))</f>
        <v>0</v>
      </c>
    </row>
    <row r="807" spans="1:15">
      <c r="A807" s="13"/>
      <c r="B807" s="13"/>
      <c r="C807" s="17"/>
      <c r="D807" s="17"/>
      <c r="E807" s="18"/>
      <c r="F807" s="17"/>
      <c r="G807" s="18"/>
      <c r="H807" s="13"/>
      <c r="I807" s="19">
        <f>IF($E807="","",IF($L807&lt;=0.005,"Pago",IF($D807="","Sem vencimento",IF($D807&lt;Hoje,IF(N($G807)&gt;0,"Vencido (parcial)","Vencido"),IF($D807=Hoje,"Vence hoje","A vencer")))))</f>
        <v>0</v>
      </c>
      <c r="J807" s="20">
        <f>IF(OR($E807="",$D807=""),"",IF(AND($L807&gt;0.005,$D807&lt;Hoje),Hoje-$D807,0))</f>
        <v>0</v>
      </c>
      <c r="K807" s="20">
        <f>IF($J807="","",IF($L807&lt;=0.005,"Pago",IF($J807&lt;=0,"A vencer",IF($J807&lt;=15,"1-15 dias",IF($J807&lt;=30,"16-30 dias",IF($J807&lt;=60,"31-60 dias","Mais de 60 dias"))))))</f>
        <v>0</v>
      </c>
      <c r="L807" s="21">
        <f>IF($E807="","",MAX(0,$E807-N($G807)))</f>
        <v>0</v>
      </c>
      <c r="M807" s="21">
        <f>IF(OR($L807="",$J807=""),"",IF($J807&gt;0,ROUND($L807*Multa+$L807*Juros/30*$J807,2),0))</f>
        <v>0</v>
      </c>
      <c r="N807" s="22">
        <f>IF($L807="","",IF($L807&lt;=0.005,0,$L807+N($M807)))</f>
        <v>0</v>
      </c>
      <c r="O807" s="23">
        <f>IF(OR($I807="Vencido",$I807="Vencido (parcial)"),"Olá, "&amp;$A807&amp;"! Consta em aberto '"&amp;$B807&amp;"' com vencimento em "&amp;DAY($D807)&amp;"/"&amp;MONTH($D807)&amp;"/"&amp;YEAR($D807)&amp;", no valor de R$ "&amp;FIXED($N807,2)&amp;" (com multa e juros). Podemos ajudar a regularizar hoje? Obrigado!",IF($I807="Vence hoje","Olá, "&amp;$A807&amp;"! Lembrete: '"&amp;$B807&amp;"' vence hoje, no valor de R$ "&amp;FIXED($L807,2)&amp;". Obrigado!",""))</f>
        <v>0</v>
      </c>
    </row>
    <row r="808" spans="1:15">
      <c r="A808" s="13"/>
      <c r="B808" s="13"/>
      <c r="C808" s="17"/>
      <c r="D808" s="17"/>
      <c r="E808" s="18"/>
      <c r="F808" s="17"/>
      <c r="G808" s="18"/>
      <c r="H808" s="13"/>
      <c r="I808" s="19">
        <f>IF($E808="","",IF($L808&lt;=0.005,"Pago",IF($D808="","Sem vencimento",IF($D808&lt;Hoje,IF(N($G808)&gt;0,"Vencido (parcial)","Vencido"),IF($D808=Hoje,"Vence hoje","A vencer")))))</f>
        <v>0</v>
      </c>
      <c r="J808" s="20">
        <f>IF(OR($E808="",$D808=""),"",IF(AND($L808&gt;0.005,$D808&lt;Hoje),Hoje-$D808,0))</f>
        <v>0</v>
      </c>
      <c r="K808" s="20">
        <f>IF($J808="","",IF($L808&lt;=0.005,"Pago",IF($J808&lt;=0,"A vencer",IF($J808&lt;=15,"1-15 dias",IF($J808&lt;=30,"16-30 dias",IF($J808&lt;=60,"31-60 dias","Mais de 60 dias"))))))</f>
        <v>0</v>
      </c>
      <c r="L808" s="21">
        <f>IF($E808="","",MAX(0,$E808-N($G808)))</f>
        <v>0</v>
      </c>
      <c r="M808" s="21">
        <f>IF(OR($L808="",$J808=""),"",IF($J808&gt;0,ROUND($L808*Multa+$L808*Juros/30*$J808,2),0))</f>
        <v>0</v>
      </c>
      <c r="N808" s="22">
        <f>IF($L808="","",IF($L808&lt;=0.005,0,$L808+N($M808)))</f>
        <v>0</v>
      </c>
      <c r="O808" s="23">
        <f>IF(OR($I808="Vencido",$I808="Vencido (parcial)"),"Olá, "&amp;$A808&amp;"! Consta em aberto '"&amp;$B808&amp;"' com vencimento em "&amp;DAY($D808)&amp;"/"&amp;MONTH($D808)&amp;"/"&amp;YEAR($D808)&amp;", no valor de R$ "&amp;FIXED($N808,2)&amp;" (com multa e juros). Podemos ajudar a regularizar hoje? Obrigado!",IF($I808="Vence hoje","Olá, "&amp;$A808&amp;"! Lembrete: '"&amp;$B808&amp;"' vence hoje, no valor de R$ "&amp;FIXED($L808,2)&amp;". Obrigado!",""))</f>
        <v>0</v>
      </c>
    </row>
    <row r="809" spans="1:15">
      <c r="A809" s="13"/>
      <c r="B809" s="13"/>
      <c r="C809" s="17"/>
      <c r="D809" s="17"/>
      <c r="E809" s="18"/>
      <c r="F809" s="17"/>
      <c r="G809" s="18"/>
      <c r="H809" s="13"/>
      <c r="I809" s="19">
        <f>IF($E809="","",IF($L809&lt;=0.005,"Pago",IF($D809="","Sem vencimento",IF($D809&lt;Hoje,IF(N($G809)&gt;0,"Vencido (parcial)","Vencido"),IF($D809=Hoje,"Vence hoje","A vencer")))))</f>
        <v>0</v>
      </c>
      <c r="J809" s="20">
        <f>IF(OR($E809="",$D809=""),"",IF(AND($L809&gt;0.005,$D809&lt;Hoje),Hoje-$D809,0))</f>
        <v>0</v>
      </c>
      <c r="K809" s="20">
        <f>IF($J809="","",IF($L809&lt;=0.005,"Pago",IF($J809&lt;=0,"A vencer",IF($J809&lt;=15,"1-15 dias",IF($J809&lt;=30,"16-30 dias",IF($J809&lt;=60,"31-60 dias","Mais de 60 dias"))))))</f>
        <v>0</v>
      </c>
      <c r="L809" s="21">
        <f>IF($E809="","",MAX(0,$E809-N($G809)))</f>
        <v>0</v>
      </c>
      <c r="M809" s="21">
        <f>IF(OR($L809="",$J809=""),"",IF($J809&gt;0,ROUND($L809*Multa+$L809*Juros/30*$J809,2),0))</f>
        <v>0</v>
      </c>
      <c r="N809" s="22">
        <f>IF($L809="","",IF($L809&lt;=0.005,0,$L809+N($M809)))</f>
        <v>0</v>
      </c>
      <c r="O809" s="23">
        <f>IF(OR($I809="Vencido",$I809="Vencido (parcial)"),"Olá, "&amp;$A809&amp;"! Consta em aberto '"&amp;$B809&amp;"' com vencimento em "&amp;DAY($D809)&amp;"/"&amp;MONTH($D809)&amp;"/"&amp;YEAR($D809)&amp;", no valor de R$ "&amp;FIXED($N809,2)&amp;" (com multa e juros). Podemos ajudar a regularizar hoje? Obrigado!",IF($I809="Vence hoje","Olá, "&amp;$A809&amp;"! Lembrete: '"&amp;$B809&amp;"' vence hoje, no valor de R$ "&amp;FIXED($L809,2)&amp;". Obrigado!",""))</f>
        <v>0</v>
      </c>
    </row>
    <row r="810" spans="1:15">
      <c r="A810" s="13"/>
      <c r="B810" s="13"/>
      <c r="C810" s="17"/>
      <c r="D810" s="17"/>
      <c r="E810" s="18"/>
      <c r="F810" s="17"/>
      <c r="G810" s="18"/>
      <c r="H810" s="13"/>
      <c r="I810" s="19">
        <f>IF($E810="","",IF($L810&lt;=0.005,"Pago",IF($D810="","Sem vencimento",IF($D810&lt;Hoje,IF(N($G810)&gt;0,"Vencido (parcial)","Vencido"),IF($D810=Hoje,"Vence hoje","A vencer")))))</f>
        <v>0</v>
      </c>
      <c r="J810" s="20">
        <f>IF(OR($E810="",$D810=""),"",IF(AND($L810&gt;0.005,$D810&lt;Hoje),Hoje-$D810,0))</f>
        <v>0</v>
      </c>
      <c r="K810" s="20">
        <f>IF($J810="","",IF($L810&lt;=0.005,"Pago",IF($J810&lt;=0,"A vencer",IF($J810&lt;=15,"1-15 dias",IF($J810&lt;=30,"16-30 dias",IF($J810&lt;=60,"31-60 dias","Mais de 60 dias"))))))</f>
        <v>0</v>
      </c>
      <c r="L810" s="21">
        <f>IF($E810="","",MAX(0,$E810-N($G810)))</f>
        <v>0</v>
      </c>
      <c r="M810" s="21">
        <f>IF(OR($L810="",$J810=""),"",IF($J810&gt;0,ROUND($L810*Multa+$L810*Juros/30*$J810,2),0))</f>
        <v>0</v>
      </c>
      <c r="N810" s="22">
        <f>IF($L810="","",IF($L810&lt;=0.005,0,$L810+N($M810)))</f>
        <v>0</v>
      </c>
      <c r="O810" s="23">
        <f>IF(OR($I810="Vencido",$I810="Vencido (parcial)"),"Olá, "&amp;$A810&amp;"! Consta em aberto '"&amp;$B810&amp;"' com vencimento em "&amp;DAY($D810)&amp;"/"&amp;MONTH($D810)&amp;"/"&amp;YEAR($D810)&amp;", no valor de R$ "&amp;FIXED($N810,2)&amp;" (com multa e juros). Podemos ajudar a regularizar hoje? Obrigado!",IF($I810="Vence hoje","Olá, "&amp;$A810&amp;"! Lembrete: '"&amp;$B810&amp;"' vence hoje, no valor de R$ "&amp;FIXED($L810,2)&amp;". Obrigado!",""))</f>
        <v>0</v>
      </c>
    </row>
    <row r="811" spans="1:15">
      <c r="A811" s="13"/>
      <c r="B811" s="13"/>
      <c r="C811" s="17"/>
      <c r="D811" s="17"/>
      <c r="E811" s="18"/>
      <c r="F811" s="17"/>
      <c r="G811" s="18"/>
      <c r="H811" s="13"/>
      <c r="I811" s="19">
        <f>IF($E811="","",IF($L811&lt;=0.005,"Pago",IF($D811="","Sem vencimento",IF($D811&lt;Hoje,IF(N($G811)&gt;0,"Vencido (parcial)","Vencido"),IF($D811=Hoje,"Vence hoje","A vencer")))))</f>
        <v>0</v>
      </c>
      <c r="J811" s="20">
        <f>IF(OR($E811="",$D811=""),"",IF(AND($L811&gt;0.005,$D811&lt;Hoje),Hoje-$D811,0))</f>
        <v>0</v>
      </c>
      <c r="K811" s="20">
        <f>IF($J811="","",IF($L811&lt;=0.005,"Pago",IF($J811&lt;=0,"A vencer",IF($J811&lt;=15,"1-15 dias",IF($J811&lt;=30,"16-30 dias",IF($J811&lt;=60,"31-60 dias","Mais de 60 dias"))))))</f>
        <v>0</v>
      </c>
      <c r="L811" s="21">
        <f>IF($E811="","",MAX(0,$E811-N($G811)))</f>
        <v>0</v>
      </c>
      <c r="M811" s="21">
        <f>IF(OR($L811="",$J811=""),"",IF($J811&gt;0,ROUND($L811*Multa+$L811*Juros/30*$J811,2),0))</f>
        <v>0</v>
      </c>
      <c r="N811" s="22">
        <f>IF($L811="","",IF($L811&lt;=0.005,0,$L811+N($M811)))</f>
        <v>0</v>
      </c>
      <c r="O811" s="23">
        <f>IF(OR($I811="Vencido",$I811="Vencido (parcial)"),"Olá, "&amp;$A811&amp;"! Consta em aberto '"&amp;$B811&amp;"' com vencimento em "&amp;DAY($D811)&amp;"/"&amp;MONTH($D811)&amp;"/"&amp;YEAR($D811)&amp;", no valor de R$ "&amp;FIXED($N811,2)&amp;" (com multa e juros). Podemos ajudar a regularizar hoje? Obrigado!",IF($I811="Vence hoje","Olá, "&amp;$A811&amp;"! Lembrete: '"&amp;$B811&amp;"' vence hoje, no valor de R$ "&amp;FIXED($L811,2)&amp;". Obrigado!",""))</f>
        <v>0</v>
      </c>
    </row>
    <row r="812" spans="1:15">
      <c r="A812" s="13"/>
      <c r="B812" s="13"/>
      <c r="C812" s="17"/>
      <c r="D812" s="17"/>
      <c r="E812" s="18"/>
      <c r="F812" s="17"/>
      <c r="G812" s="18"/>
      <c r="H812" s="13"/>
      <c r="I812" s="19">
        <f>IF($E812="","",IF($L812&lt;=0.005,"Pago",IF($D812="","Sem vencimento",IF($D812&lt;Hoje,IF(N($G812)&gt;0,"Vencido (parcial)","Vencido"),IF($D812=Hoje,"Vence hoje","A vencer")))))</f>
        <v>0</v>
      </c>
      <c r="J812" s="20">
        <f>IF(OR($E812="",$D812=""),"",IF(AND($L812&gt;0.005,$D812&lt;Hoje),Hoje-$D812,0))</f>
        <v>0</v>
      </c>
      <c r="K812" s="20">
        <f>IF($J812="","",IF($L812&lt;=0.005,"Pago",IF($J812&lt;=0,"A vencer",IF($J812&lt;=15,"1-15 dias",IF($J812&lt;=30,"16-30 dias",IF($J812&lt;=60,"31-60 dias","Mais de 60 dias"))))))</f>
        <v>0</v>
      </c>
      <c r="L812" s="21">
        <f>IF($E812="","",MAX(0,$E812-N($G812)))</f>
        <v>0</v>
      </c>
      <c r="M812" s="21">
        <f>IF(OR($L812="",$J812=""),"",IF($J812&gt;0,ROUND($L812*Multa+$L812*Juros/30*$J812,2),0))</f>
        <v>0</v>
      </c>
      <c r="N812" s="22">
        <f>IF($L812="","",IF($L812&lt;=0.005,0,$L812+N($M812)))</f>
        <v>0</v>
      </c>
      <c r="O812" s="23">
        <f>IF(OR($I812="Vencido",$I812="Vencido (parcial)"),"Olá, "&amp;$A812&amp;"! Consta em aberto '"&amp;$B812&amp;"' com vencimento em "&amp;DAY($D812)&amp;"/"&amp;MONTH($D812)&amp;"/"&amp;YEAR($D812)&amp;", no valor de R$ "&amp;FIXED($N812,2)&amp;" (com multa e juros). Podemos ajudar a regularizar hoje? Obrigado!",IF($I812="Vence hoje","Olá, "&amp;$A812&amp;"! Lembrete: '"&amp;$B812&amp;"' vence hoje, no valor de R$ "&amp;FIXED($L812,2)&amp;". Obrigado!",""))</f>
        <v>0</v>
      </c>
    </row>
    <row r="813" spans="1:15">
      <c r="A813" s="13"/>
      <c r="B813" s="13"/>
      <c r="C813" s="17"/>
      <c r="D813" s="17"/>
      <c r="E813" s="18"/>
      <c r="F813" s="17"/>
      <c r="G813" s="18"/>
      <c r="H813" s="13"/>
      <c r="I813" s="19">
        <f>IF($E813="","",IF($L813&lt;=0.005,"Pago",IF($D813="","Sem vencimento",IF($D813&lt;Hoje,IF(N($G813)&gt;0,"Vencido (parcial)","Vencido"),IF($D813=Hoje,"Vence hoje","A vencer")))))</f>
        <v>0</v>
      </c>
      <c r="J813" s="20">
        <f>IF(OR($E813="",$D813=""),"",IF(AND($L813&gt;0.005,$D813&lt;Hoje),Hoje-$D813,0))</f>
        <v>0</v>
      </c>
      <c r="K813" s="20">
        <f>IF($J813="","",IF($L813&lt;=0.005,"Pago",IF($J813&lt;=0,"A vencer",IF($J813&lt;=15,"1-15 dias",IF($J813&lt;=30,"16-30 dias",IF($J813&lt;=60,"31-60 dias","Mais de 60 dias"))))))</f>
        <v>0</v>
      </c>
      <c r="L813" s="21">
        <f>IF($E813="","",MAX(0,$E813-N($G813)))</f>
        <v>0</v>
      </c>
      <c r="M813" s="21">
        <f>IF(OR($L813="",$J813=""),"",IF($J813&gt;0,ROUND($L813*Multa+$L813*Juros/30*$J813,2),0))</f>
        <v>0</v>
      </c>
      <c r="N813" s="22">
        <f>IF($L813="","",IF($L813&lt;=0.005,0,$L813+N($M813)))</f>
        <v>0</v>
      </c>
      <c r="O813" s="23">
        <f>IF(OR($I813="Vencido",$I813="Vencido (parcial)"),"Olá, "&amp;$A813&amp;"! Consta em aberto '"&amp;$B813&amp;"' com vencimento em "&amp;DAY($D813)&amp;"/"&amp;MONTH($D813)&amp;"/"&amp;YEAR($D813)&amp;", no valor de R$ "&amp;FIXED($N813,2)&amp;" (com multa e juros). Podemos ajudar a regularizar hoje? Obrigado!",IF($I813="Vence hoje","Olá, "&amp;$A813&amp;"! Lembrete: '"&amp;$B813&amp;"' vence hoje, no valor de R$ "&amp;FIXED($L813,2)&amp;". Obrigado!",""))</f>
        <v>0</v>
      </c>
    </row>
    <row r="814" spans="1:15">
      <c r="A814" s="13"/>
      <c r="B814" s="13"/>
      <c r="C814" s="17"/>
      <c r="D814" s="17"/>
      <c r="E814" s="18"/>
      <c r="F814" s="17"/>
      <c r="G814" s="18"/>
      <c r="H814" s="13"/>
      <c r="I814" s="19">
        <f>IF($E814="","",IF($L814&lt;=0.005,"Pago",IF($D814="","Sem vencimento",IF($D814&lt;Hoje,IF(N($G814)&gt;0,"Vencido (parcial)","Vencido"),IF($D814=Hoje,"Vence hoje","A vencer")))))</f>
        <v>0</v>
      </c>
      <c r="J814" s="20">
        <f>IF(OR($E814="",$D814=""),"",IF(AND($L814&gt;0.005,$D814&lt;Hoje),Hoje-$D814,0))</f>
        <v>0</v>
      </c>
      <c r="K814" s="20">
        <f>IF($J814="","",IF($L814&lt;=0.005,"Pago",IF($J814&lt;=0,"A vencer",IF($J814&lt;=15,"1-15 dias",IF($J814&lt;=30,"16-30 dias",IF($J814&lt;=60,"31-60 dias","Mais de 60 dias"))))))</f>
        <v>0</v>
      </c>
      <c r="L814" s="21">
        <f>IF($E814="","",MAX(0,$E814-N($G814)))</f>
        <v>0</v>
      </c>
      <c r="M814" s="21">
        <f>IF(OR($L814="",$J814=""),"",IF($J814&gt;0,ROUND($L814*Multa+$L814*Juros/30*$J814,2),0))</f>
        <v>0</v>
      </c>
      <c r="N814" s="22">
        <f>IF($L814="","",IF($L814&lt;=0.005,0,$L814+N($M814)))</f>
        <v>0</v>
      </c>
      <c r="O814" s="23">
        <f>IF(OR($I814="Vencido",$I814="Vencido (parcial)"),"Olá, "&amp;$A814&amp;"! Consta em aberto '"&amp;$B814&amp;"' com vencimento em "&amp;DAY($D814)&amp;"/"&amp;MONTH($D814)&amp;"/"&amp;YEAR($D814)&amp;", no valor de R$ "&amp;FIXED($N814,2)&amp;" (com multa e juros). Podemos ajudar a regularizar hoje? Obrigado!",IF($I814="Vence hoje","Olá, "&amp;$A814&amp;"! Lembrete: '"&amp;$B814&amp;"' vence hoje, no valor de R$ "&amp;FIXED($L814,2)&amp;". Obrigado!",""))</f>
        <v>0</v>
      </c>
    </row>
    <row r="815" spans="1:15">
      <c r="A815" s="13"/>
      <c r="B815" s="13"/>
      <c r="C815" s="17"/>
      <c r="D815" s="17"/>
      <c r="E815" s="18"/>
      <c r="F815" s="17"/>
      <c r="G815" s="18"/>
      <c r="H815" s="13"/>
      <c r="I815" s="19">
        <f>IF($E815="","",IF($L815&lt;=0.005,"Pago",IF($D815="","Sem vencimento",IF($D815&lt;Hoje,IF(N($G815)&gt;0,"Vencido (parcial)","Vencido"),IF($D815=Hoje,"Vence hoje","A vencer")))))</f>
        <v>0</v>
      </c>
      <c r="J815" s="20">
        <f>IF(OR($E815="",$D815=""),"",IF(AND($L815&gt;0.005,$D815&lt;Hoje),Hoje-$D815,0))</f>
        <v>0</v>
      </c>
      <c r="K815" s="20">
        <f>IF($J815="","",IF($L815&lt;=0.005,"Pago",IF($J815&lt;=0,"A vencer",IF($J815&lt;=15,"1-15 dias",IF($J815&lt;=30,"16-30 dias",IF($J815&lt;=60,"31-60 dias","Mais de 60 dias"))))))</f>
        <v>0</v>
      </c>
      <c r="L815" s="21">
        <f>IF($E815="","",MAX(0,$E815-N($G815)))</f>
        <v>0</v>
      </c>
      <c r="M815" s="21">
        <f>IF(OR($L815="",$J815=""),"",IF($J815&gt;0,ROUND($L815*Multa+$L815*Juros/30*$J815,2),0))</f>
        <v>0</v>
      </c>
      <c r="N815" s="22">
        <f>IF($L815="","",IF($L815&lt;=0.005,0,$L815+N($M815)))</f>
        <v>0</v>
      </c>
      <c r="O815" s="23">
        <f>IF(OR($I815="Vencido",$I815="Vencido (parcial)"),"Olá, "&amp;$A815&amp;"! Consta em aberto '"&amp;$B815&amp;"' com vencimento em "&amp;DAY($D815)&amp;"/"&amp;MONTH($D815)&amp;"/"&amp;YEAR($D815)&amp;", no valor de R$ "&amp;FIXED($N815,2)&amp;" (com multa e juros). Podemos ajudar a regularizar hoje? Obrigado!",IF($I815="Vence hoje","Olá, "&amp;$A815&amp;"! Lembrete: '"&amp;$B815&amp;"' vence hoje, no valor de R$ "&amp;FIXED($L815,2)&amp;". Obrigado!",""))</f>
        <v>0</v>
      </c>
    </row>
    <row r="816" spans="1:15">
      <c r="A816" s="13"/>
      <c r="B816" s="13"/>
      <c r="C816" s="17"/>
      <c r="D816" s="17"/>
      <c r="E816" s="18"/>
      <c r="F816" s="17"/>
      <c r="G816" s="18"/>
      <c r="H816" s="13"/>
      <c r="I816" s="19">
        <f>IF($E816="","",IF($L816&lt;=0.005,"Pago",IF($D816="","Sem vencimento",IF($D816&lt;Hoje,IF(N($G816)&gt;0,"Vencido (parcial)","Vencido"),IF($D816=Hoje,"Vence hoje","A vencer")))))</f>
        <v>0</v>
      </c>
      <c r="J816" s="20">
        <f>IF(OR($E816="",$D816=""),"",IF(AND($L816&gt;0.005,$D816&lt;Hoje),Hoje-$D816,0))</f>
        <v>0</v>
      </c>
      <c r="K816" s="20">
        <f>IF($J816="","",IF($L816&lt;=0.005,"Pago",IF($J816&lt;=0,"A vencer",IF($J816&lt;=15,"1-15 dias",IF($J816&lt;=30,"16-30 dias",IF($J816&lt;=60,"31-60 dias","Mais de 60 dias"))))))</f>
        <v>0</v>
      </c>
      <c r="L816" s="21">
        <f>IF($E816="","",MAX(0,$E816-N($G816)))</f>
        <v>0</v>
      </c>
      <c r="M816" s="21">
        <f>IF(OR($L816="",$J816=""),"",IF($J816&gt;0,ROUND($L816*Multa+$L816*Juros/30*$J816,2),0))</f>
        <v>0</v>
      </c>
      <c r="N816" s="22">
        <f>IF($L816="","",IF($L816&lt;=0.005,0,$L816+N($M816)))</f>
        <v>0</v>
      </c>
      <c r="O816" s="23">
        <f>IF(OR($I816="Vencido",$I816="Vencido (parcial)"),"Olá, "&amp;$A816&amp;"! Consta em aberto '"&amp;$B816&amp;"' com vencimento em "&amp;DAY($D816)&amp;"/"&amp;MONTH($D816)&amp;"/"&amp;YEAR($D816)&amp;", no valor de R$ "&amp;FIXED($N816,2)&amp;" (com multa e juros). Podemos ajudar a regularizar hoje? Obrigado!",IF($I816="Vence hoje","Olá, "&amp;$A816&amp;"! Lembrete: '"&amp;$B816&amp;"' vence hoje, no valor de R$ "&amp;FIXED($L816,2)&amp;". Obrigado!",""))</f>
        <v>0</v>
      </c>
    </row>
    <row r="817" spans="1:15">
      <c r="A817" s="13"/>
      <c r="B817" s="13"/>
      <c r="C817" s="17"/>
      <c r="D817" s="17"/>
      <c r="E817" s="18"/>
      <c r="F817" s="17"/>
      <c r="G817" s="18"/>
      <c r="H817" s="13"/>
      <c r="I817" s="19">
        <f>IF($E817="","",IF($L817&lt;=0.005,"Pago",IF($D817="","Sem vencimento",IF($D817&lt;Hoje,IF(N($G817)&gt;0,"Vencido (parcial)","Vencido"),IF($D817=Hoje,"Vence hoje","A vencer")))))</f>
        <v>0</v>
      </c>
      <c r="J817" s="20">
        <f>IF(OR($E817="",$D817=""),"",IF(AND($L817&gt;0.005,$D817&lt;Hoje),Hoje-$D817,0))</f>
        <v>0</v>
      </c>
      <c r="K817" s="20">
        <f>IF($J817="","",IF($L817&lt;=0.005,"Pago",IF($J817&lt;=0,"A vencer",IF($J817&lt;=15,"1-15 dias",IF($J817&lt;=30,"16-30 dias",IF($J817&lt;=60,"31-60 dias","Mais de 60 dias"))))))</f>
        <v>0</v>
      </c>
      <c r="L817" s="21">
        <f>IF($E817="","",MAX(0,$E817-N($G817)))</f>
        <v>0</v>
      </c>
      <c r="M817" s="21">
        <f>IF(OR($L817="",$J817=""),"",IF($J817&gt;0,ROUND($L817*Multa+$L817*Juros/30*$J817,2),0))</f>
        <v>0</v>
      </c>
      <c r="N817" s="22">
        <f>IF($L817="","",IF($L817&lt;=0.005,0,$L817+N($M817)))</f>
        <v>0</v>
      </c>
      <c r="O817" s="23">
        <f>IF(OR($I817="Vencido",$I817="Vencido (parcial)"),"Olá, "&amp;$A817&amp;"! Consta em aberto '"&amp;$B817&amp;"' com vencimento em "&amp;DAY($D817)&amp;"/"&amp;MONTH($D817)&amp;"/"&amp;YEAR($D817)&amp;", no valor de R$ "&amp;FIXED($N817,2)&amp;" (com multa e juros). Podemos ajudar a regularizar hoje? Obrigado!",IF($I817="Vence hoje","Olá, "&amp;$A817&amp;"! Lembrete: '"&amp;$B817&amp;"' vence hoje, no valor de R$ "&amp;FIXED($L817,2)&amp;". Obrigado!",""))</f>
        <v>0</v>
      </c>
    </row>
    <row r="818" spans="1:15">
      <c r="A818" s="13"/>
      <c r="B818" s="13"/>
      <c r="C818" s="17"/>
      <c r="D818" s="17"/>
      <c r="E818" s="18"/>
      <c r="F818" s="17"/>
      <c r="G818" s="18"/>
      <c r="H818" s="13"/>
      <c r="I818" s="19">
        <f>IF($E818="","",IF($L818&lt;=0.005,"Pago",IF($D818="","Sem vencimento",IF($D818&lt;Hoje,IF(N($G818)&gt;0,"Vencido (parcial)","Vencido"),IF($D818=Hoje,"Vence hoje","A vencer")))))</f>
        <v>0</v>
      </c>
      <c r="J818" s="20">
        <f>IF(OR($E818="",$D818=""),"",IF(AND($L818&gt;0.005,$D818&lt;Hoje),Hoje-$D818,0))</f>
        <v>0</v>
      </c>
      <c r="K818" s="20">
        <f>IF($J818="","",IF($L818&lt;=0.005,"Pago",IF($J818&lt;=0,"A vencer",IF($J818&lt;=15,"1-15 dias",IF($J818&lt;=30,"16-30 dias",IF($J818&lt;=60,"31-60 dias","Mais de 60 dias"))))))</f>
        <v>0</v>
      </c>
      <c r="L818" s="21">
        <f>IF($E818="","",MAX(0,$E818-N($G818)))</f>
        <v>0</v>
      </c>
      <c r="M818" s="21">
        <f>IF(OR($L818="",$J818=""),"",IF($J818&gt;0,ROUND($L818*Multa+$L818*Juros/30*$J818,2),0))</f>
        <v>0</v>
      </c>
      <c r="N818" s="22">
        <f>IF($L818="","",IF($L818&lt;=0.005,0,$L818+N($M818)))</f>
        <v>0</v>
      </c>
      <c r="O818" s="23">
        <f>IF(OR($I818="Vencido",$I818="Vencido (parcial)"),"Olá, "&amp;$A818&amp;"! Consta em aberto '"&amp;$B818&amp;"' com vencimento em "&amp;DAY($D818)&amp;"/"&amp;MONTH($D818)&amp;"/"&amp;YEAR($D818)&amp;", no valor de R$ "&amp;FIXED($N818,2)&amp;" (com multa e juros). Podemos ajudar a regularizar hoje? Obrigado!",IF($I818="Vence hoje","Olá, "&amp;$A818&amp;"! Lembrete: '"&amp;$B818&amp;"' vence hoje, no valor de R$ "&amp;FIXED($L818,2)&amp;". Obrigado!",""))</f>
        <v>0</v>
      </c>
    </row>
    <row r="819" spans="1:15">
      <c r="A819" s="13"/>
      <c r="B819" s="13"/>
      <c r="C819" s="17"/>
      <c r="D819" s="17"/>
      <c r="E819" s="18"/>
      <c r="F819" s="17"/>
      <c r="G819" s="18"/>
      <c r="H819" s="13"/>
      <c r="I819" s="19">
        <f>IF($E819="","",IF($L819&lt;=0.005,"Pago",IF($D819="","Sem vencimento",IF($D819&lt;Hoje,IF(N($G819)&gt;0,"Vencido (parcial)","Vencido"),IF($D819=Hoje,"Vence hoje","A vencer")))))</f>
        <v>0</v>
      </c>
      <c r="J819" s="20">
        <f>IF(OR($E819="",$D819=""),"",IF(AND($L819&gt;0.005,$D819&lt;Hoje),Hoje-$D819,0))</f>
        <v>0</v>
      </c>
      <c r="K819" s="20">
        <f>IF($J819="","",IF($L819&lt;=0.005,"Pago",IF($J819&lt;=0,"A vencer",IF($J819&lt;=15,"1-15 dias",IF($J819&lt;=30,"16-30 dias",IF($J819&lt;=60,"31-60 dias","Mais de 60 dias"))))))</f>
        <v>0</v>
      </c>
      <c r="L819" s="21">
        <f>IF($E819="","",MAX(0,$E819-N($G819)))</f>
        <v>0</v>
      </c>
      <c r="M819" s="21">
        <f>IF(OR($L819="",$J819=""),"",IF($J819&gt;0,ROUND($L819*Multa+$L819*Juros/30*$J819,2),0))</f>
        <v>0</v>
      </c>
      <c r="N819" s="22">
        <f>IF($L819="","",IF($L819&lt;=0.005,0,$L819+N($M819)))</f>
        <v>0</v>
      </c>
      <c r="O819" s="23">
        <f>IF(OR($I819="Vencido",$I819="Vencido (parcial)"),"Olá, "&amp;$A819&amp;"! Consta em aberto '"&amp;$B819&amp;"' com vencimento em "&amp;DAY($D819)&amp;"/"&amp;MONTH($D819)&amp;"/"&amp;YEAR($D819)&amp;", no valor de R$ "&amp;FIXED($N819,2)&amp;" (com multa e juros). Podemos ajudar a regularizar hoje? Obrigado!",IF($I819="Vence hoje","Olá, "&amp;$A819&amp;"! Lembrete: '"&amp;$B819&amp;"' vence hoje, no valor de R$ "&amp;FIXED($L819,2)&amp;". Obrigado!",""))</f>
        <v>0</v>
      </c>
    </row>
    <row r="820" spans="1:15">
      <c r="A820" s="13"/>
      <c r="B820" s="13"/>
      <c r="C820" s="17"/>
      <c r="D820" s="17"/>
      <c r="E820" s="18"/>
      <c r="F820" s="17"/>
      <c r="G820" s="18"/>
      <c r="H820" s="13"/>
      <c r="I820" s="19">
        <f>IF($E820="","",IF($L820&lt;=0.005,"Pago",IF($D820="","Sem vencimento",IF($D820&lt;Hoje,IF(N($G820)&gt;0,"Vencido (parcial)","Vencido"),IF($D820=Hoje,"Vence hoje","A vencer")))))</f>
        <v>0</v>
      </c>
      <c r="J820" s="20">
        <f>IF(OR($E820="",$D820=""),"",IF(AND($L820&gt;0.005,$D820&lt;Hoje),Hoje-$D820,0))</f>
        <v>0</v>
      </c>
      <c r="K820" s="20">
        <f>IF($J820="","",IF($L820&lt;=0.005,"Pago",IF($J820&lt;=0,"A vencer",IF($J820&lt;=15,"1-15 dias",IF($J820&lt;=30,"16-30 dias",IF($J820&lt;=60,"31-60 dias","Mais de 60 dias"))))))</f>
        <v>0</v>
      </c>
      <c r="L820" s="21">
        <f>IF($E820="","",MAX(0,$E820-N($G820)))</f>
        <v>0</v>
      </c>
      <c r="M820" s="21">
        <f>IF(OR($L820="",$J820=""),"",IF($J820&gt;0,ROUND($L820*Multa+$L820*Juros/30*$J820,2),0))</f>
        <v>0</v>
      </c>
      <c r="N820" s="22">
        <f>IF($L820="","",IF($L820&lt;=0.005,0,$L820+N($M820)))</f>
        <v>0</v>
      </c>
      <c r="O820" s="23">
        <f>IF(OR($I820="Vencido",$I820="Vencido (parcial)"),"Olá, "&amp;$A820&amp;"! Consta em aberto '"&amp;$B820&amp;"' com vencimento em "&amp;DAY($D820)&amp;"/"&amp;MONTH($D820)&amp;"/"&amp;YEAR($D820)&amp;", no valor de R$ "&amp;FIXED($N820,2)&amp;" (com multa e juros). Podemos ajudar a regularizar hoje? Obrigado!",IF($I820="Vence hoje","Olá, "&amp;$A820&amp;"! Lembrete: '"&amp;$B820&amp;"' vence hoje, no valor de R$ "&amp;FIXED($L820,2)&amp;". Obrigado!",""))</f>
        <v>0</v>
      </c>
    </row>
    <row r="821" spans="1:15">
      <c r="A821" s="13"/>
      <c r="B821" s="13"/>
      <c r="C821" s="17"/>
      <c r="D821" s="17"/>
      <c r="E821" s="18"/>
      <c r="F821" s="17"/>
      <c r="G821" s="18"/>
      <c r="H821" s="13"/>
      <c r="I821" s="19">
        <f>IF($E821="","",IF($L821&lt;=0.005,"Pago",IF($D821="","Sem vencimento",IF($D821&lt;Hoje,IF(N($G821)&gt;0,"Vencido (parcial)","Vencido"),IF($D821=Hoje,"Vence hoje","A vencer")))))</f>
        <v>0</v>
      </c>
      <c r="J821" s="20">
        <f>IF(OR($E821="",$D821=""),"",IF(AND($L821&gt;0.005,$D821&lt;Hoje),Hoje-$D821,0))</f>
        <v>0</v>
      </c>
      <c r="K821" s="20">
        <f>IF($J821="","",IF($L821&lt;=0.005,"Pago",IF($J821&lt;=0,"A vencer",IF($J821&lt;=15,"1-15 dias",IF($J821&lt;=30,"16-30 dias",IF($J821&lt;=60,"31-60 dias","Mais de 60 dias"))))))</f>
        <v>0</v>
      </c>
      <c r="L821" s="21">
        <f>IF($E821="","",MAX(0,$E821-N($G821)))</f>
        <v>0</v>
      </c>
      <c r="M821" s="21">
        <f>IF(OR($L821="",$J821=""),"",IF($J821&gt;0,ROUND($L821*Multa+$L821*Juros/30*$J821,2),0))</f>
        <v>0</v>
      </c>
      <c r="N821" s="22">
        <f>IF($L821="","",IF($L821&lt;=0.005,0,$L821+N($M821)))</f>
        <v>0</v>
      </c>
      <c r="O821" s="23">
        <f>IF(OR($I821="Vencido",$I821="Vencido (parcial)"),"Olá, "&amp;$A821&amp;"! Consta em aberto '"&amp;$B821&amp;"' com vencimento em "&amp;DAY($D821)&amp;"/"&amp;MONTH($D821)&amp;"/"&amp;YEAR($D821)&amp;", no valor de R$ "&amp;FIXED($N821,2)&amp;" (com multa e juros). Podemos ajudar a regularizar hoje? Obrigado!",IF($I821="Vence hoje","Olá, "&amp;$A821&amp;"! Lembrete: '"&amp;$B821&amp;"' vence hoje, no valor de R$ "&amp;FIXED($L821,2)&amp;". Obrigado!",""))</f>
        <v>0</v>
      </c>
    </row>
    <row r="822" spans="1:15">
      <c r="A822" s="13"/>
      <c r="B822" s="13"/>
      <c r="C822" s="17"/>
      <c r="D822" s="17"/>
      <c r="E822" s="18"/>
      <c r="F822" s="17"/>
      <c r="G822" s="18"/>
      <c r="H822" s="13"/>
      <c r="I822" s="19">
        <f>IF($E822="","",IF($L822&lt;=0.005,"Pago",IF($D822="","Sem vencimento",IF($D822&lt;Hoje,IF(N($G822)&gt;0,"Vencido (parcial)","Vencido"),IF($D822=Hoje,"Vence hoje","A vencer")))))</f>
        <v>0</v>
      </c>
      <c r="J822" s="20">
        <f>IF(OR($E822="",$D822=""),"",IF(AND($L822&gt;0.005,$D822&lt;Hoje),Hoje-$D822,0))</f>
        <v>0</v>
      </c>
      <c r="K822" s="20">
        <f>IF($J822="","",IF($L822&lt;=0.005,"Pago",IF($J822&lt;=0,"A vencer",IF($J822&lt;=15,"1-15 dias",IF($J822&lt;=30,"16-30 dias",IF($J822&lt;=60,"31-60 dias","Mais de 60 dias"))))))</f>
        <v>0</v>
      </c>
      <c r="L822" s="21">
        <f>IF($E822="","",MAX(0,$E822-N($G822)))</f>
        <v>0</v>
      </c>
      <c r="M822" s="21">
        <f>IF(OR($L822="",$J822=""),"",IF($J822&gt;0,ROUND($L822*Multa+$L822*Juros/30*$J822,2),0))</f>
        <v>0</v>
      </c>
      <c r="N822" s="22">
        <f>IF($L822="","",IF($L822&lt;=0.005,0,$L822+N($M822)))</f>
        <v>0</v>
      </c>
      <c r="O822" s="23">
        <f>IF(OR($I822="Vencido",$I822="Vencido (parcial)"),"Olá, "&amp;$A822&amp;"! Consta em aberto '"&amp;$B822&amp;"' com vencimento em "&amp;DAY($D822)&amp;"/"&amp;MONTH($D822)&amp;"/"&amp;YEAR($D822)&amp;", no valor de R$ "&amp;FIXED($N822,2)&amp;" (com multa e juros). Podemos ajudar a regularizar hoje? Obrigado!",IF($I822="Vence hoje","Olá, "&amp;$A822&amp;"! Lembrete: '"&amp;$B822&amp;"' vence hoje, no valor de R$ "&amp;FIXED($L822,2)&amp;". Obrigado!",""))</f>
        <v>0</v>
      </c>
    </row>
    <row r="823" spans="1:15">
      <c r="A823" s="13"/>
      <c r="B823" s="13"/>
      <c r="C823" s="17"/>
      <c r="D823" s="17"/>
      <c r="E823" s="18"/>
      <c r="F823" s="17"/>
      <c r="G823" s="18"/>
      <c r="H823" s="13"/>
      <c r="I823" s="19">
        <f>IF($E823="","",IF($L823&lt;=0.005,"Pago",IF($D823="","Sem vencimento",IF($D823&lt;Hoje,IF(N($G823)&gt;0,"Vencido (parcial)","Vencido"),IF($D823=Hoje,"Vence hoje","A vencer")))))</f>
        <v>0</v>
      </c>
      <c r="J823" s="20">
        <f>IF(OR($E823="",$D823=""),"",IF(AND($L823&gt;0.005,$D823&lt;Hoje),Hoje-$D823,0))</f>
        <v>0</v>
      </c>
      <c r="K823" s="20">
        <f>IF($J823="","",IF($L823&lt;=0.005,"Pago",IF($J823&lt;=0,"A vencer",IF($J823&lt;=15,"1-15 dias",IF($J823&lt;=30,"16-30 dias",IF($J823&lt;=60,"31-60 dias","Mais de 60 dias"))))))</f>
        <v>0</v>
      </c>
      <c r="L823" s="21">
        <f>IF($E823="","",MAX(0,$E823-N($G823)))</f>
        <v>0</v>
      </c>
      <c r="M823" s="21">
        <f>IF(OR($L823="",$J823=""),"",IF($J823&gt;0,ROUND($L823*Multa+$L823*Juros/30*$J823,2),0))</f>
        <v>0</v>
      </c>
      <c r="N823" s="22">
        <f>IF($L823="","",IF($L823&lt;=0.005,0,$L823+N($M823)))</f>
        <v>0</v>
      </c>
      <c r="O823" s="23">
        <f>IF(OR($I823="Vencido",$I823="Vencido (parcial)"),"Olá, "&amp;$A823&amp;"! Consta em aberto '"&amp;$B823&amp;"' com vencimento em "&amp;DAY($D823)&amp;"/"&amp;MONTH($D823)&amp;"/"&amp;YEAR($D823)&amp;", no valor de R$ "&amp;FIXED($N823,2)&amp;" (com multa e juros). Podemos ajudar a regularizar hoje? Obrigado!",IF($I823="Vence hoje","Olá, "&amp;$A823&amp;"! Lembrete: '"&amp;$B823&amp;"' vence hoje, no valor de R$ "&amp;FIXED($L823,2)&amp;". Obrigado!",""))</f>
        <v>0</v>
      </c>
    </row>
    <row r="824" spans="1:15">
      <c r="A824" s="13"/>
      <c r="B824" s="13"/>
      <c r="C824" s="17"/>
      <c r="D824" s="17"/>
      <c r="E824" s="18"/>
      <c r="F824" s="17"/>
      <c r="G824" s="18"/>
      <c r="H824" s="13"/>
      <c r="I824" s="19">
        <f>IF($E824="","",IF($L824&lt;=0.005,"Pago",IF($D824="","Sem vencimento",IF($D824&lt;Hoje,IF(N($G824)&gt;0,"Vencido (parcial)","Vencido"),IF($D824=Hoje,"Vence hoje","A vencer")))))</f>
        <v>0</v>
      </c>
      <c r="J824" s="20">
        <f>IF(OR($E824="",$D824=""),"",IF(AND($L824&gt;0.005,$D824&lt;Hoje),Hoje-$D824,0))</f>
        <v>0</v>
      </c>
      <c r="K824" s="20">
        <f>IF($J824="","",IF($L824&lt;=0.005,"Pago",IF($J824&lt;=0,"A vencer",IF($J824&lt;=15,"1-15 dias",IF($J824&lt;=30,"16-30 dias",IF($J824&lt;=60,"31-60 dias","Mais de 60 dias"))))))</f>
        <v>0</v>
      </c>
      <c r="L824" s="21">
        <f>IF($E824="","",MAX(0,$E824-N($G824)))</f>
        <v>0</v>
      </c>
      <c r="M824" s="21">
        <f>IF(OR($L824="",$J824=""),"",IF($J824&gt;0,ROUND($L824*Multa+$L824*Juros/30*$J824,2),0))</f>
        <v>0</v>
      </c>
      <c r="N824" s="22">
        <f>IF($L824="","",IF($L824&lt;=0.005,0,$L824+N($M824)))</f>
        <v>0</v>
      </c>
      <c r="O824" s="23">
        <f>IF(OR($I824="Vencido",$I824="Vencido (parcial)"),"Olá, "&amp;$A824&amp;"! Consta em aberto '"&amp;$B824&amp;"' com vencimento em "&amp;DAY($D824)&amp;"/"&amp;MONTH($D824)&amp;"/"&amp;YEAR($D824)&amp;", no valor de R$ "&amp;FIXED($N824,2)&amp;" (com multa e juros). Podemos ajudar a regularizar hoje? Obrigado!",IF($I824="Vence hoje","Olá, "&amp;$A824&amp;"! Lembrete: '"&amp;$B824&amp;"' vence hoje, no valor de R$ "&amp;FIXED($L824,2)&amp;". Obrigado!",""))</f>
        <v>0</v>
      </c>
    </row>
    <row r="825" spans="1:15">
      <c r="A825" s="13"/>
      <c r="B825" s="13"/>
      <c r="C825" s="17"/>
      <c r="D825" s="17"/>
      <c r="E825" s="18"/>
      <c r="F825" s="17"/>
      <c r="G825" s="18"/>
      <c r="H825" s="13"/>
      <c r="I825" s="19">
        <f>IF($E825="","",IF($L825&lt;=0.005,"Pago",IF($D825="","Sem vencimento",IF($D825&lt;Hoje,IF(N($G825)&gt;0,"Vencido (parcial)","Vencido"),IF($D825=Hoje,"Vence hoje","A vencer")))))</f>
        <v>0</v>
      </c>
      <c r="J825" s="20">
        <f>IF(OR($E825="",$D825=""),"",IF(AND($L825&gt;0.005,$D825&lt;Hoje),Hoje-$D825,0))</f>
        <v>0</v>
      </c>
      <c r="K825" s="20">
        <f>IF($J825="","",IF($L825&lt;=0.005,"Pago",IF($J825&lt;=0,"A vencer",IF($J825&lt;=15,"1-15 dias",IF($J825&lt;=30,"16-30 dias",IF($J825&lt;=60,"31-60 dias","Mais de 60 dias"))))))</f>
        <v>0</v>
      </c>
      <c r="L825" s="21">
        <f>IF($E825="","",MAX(0,$E825-N($G825)))</f>
        <v>0</v>
      </c>
      <c r="M825" s="21">
        <f>IF(OR($L825="",$J825=""),"",IF($J825&gt;0,ROUND($L825*Multa+$L825*Juros/30*$J825,2),0))</f>
        <v>0</v>
      </c>
      <c r="N825" s="22">
        <f>IF($L825="","",IF($L825&lt;=0.005,0,$L825+N($M825)))</f>
        <v>0</v>
      </c>
      <c r="O825" s="23">
        <f>IF(OR($I825="Vencido",$I825="Vencido (parcial)"),"Olá, "&amp;$A825&amp;"! Consta em aberto '"&amp;$B825&amp;"' com vencimento em "&amp;DAY($D825)&amp;"/"&amp;MONTH($D825)&amp;"/"&amp;YEAR($D825)&amp;", no valor de R$ "&amp;FIXED($N825,2)&amp;" (com multa e juros). Podemos ajudar a regularizar hoje? Obrigado!",IF($I825="Vence hoje","Olá, "&amp;$A825&amp;"! Lembrete: '"&amp;$B825&amp;"' vence hoje, no valor de R$ "&amp;FIXED($L825,2)&amp;". Obrigado!",""))</f>
        <v>0</v>
      </c>
    </row>
    <row r="826" spans="1:15">
      <c r="A826" s="13"/>
      <c r="B826" s="13"/>
      <c r="C826" s="17"/>
      <c r="D826" s="17"/>
      <c r="E826" s="18"/>
      <c r="F826" s="17"/>
      <c r="G826" s="18"/>
      <c r="H826" s="13"/>
      <c r="I826" s="19">
        <f>IF($E826="","",IF($L826&lt;=0.005,"Pago",IF($D826="","Sem vencimento",IF($D826&lt;Hoje,IF(N($G826)&gt;0,"Vencido (parcial)","Vencido"),IF($D826=Hoje,"Vence hoje","A vencer")))))</f>
        <v>0</v>
      </c>
      <c r="J826" s="20">
        <f>IF(OR($E826="",$D826=""),"",IF(AND($L826&gt;0.005,$D826&lt;Hoje),Hoje-$D826,0))</f>
        <v>0</v>
      </c>
      <c r="K826" s="20">
        <f>IF($J826="","",IF($L826&lt;=0.005,"Pago",IF($J826&lt;=0,"A vencer",IF($J826&lt;=15,"1-15 dias",IF($J826&lt;=30,"16-30 dias",IF($J826&lt;=60,"31-60 dias","Mais de 60 dias"))))))</f>
        <v>0</v>
      </c>
      <c r="L826" s="21">
        <f>IF($E826="","",MAX(0,$E826-N($G826)))</f>
        <v>0</v>
      </c>
      <c r="M826" s="21">
        <f>IF(OR($L826="",$J826=""),"",IF($J826&gt;0,ROUND($L826*Multa+$L826*Juros/30*$J826,2),0))</f>
        <v>0</v>
      </c>
      <c r="N826" s="22">
        <f>IF($L826="","",IF($L826&lt;=0.005,0,$L826+N($M826)))</f>
        <v>0</v>
      </c>
      <c r="O826" s="23">
        <f>IF(OR($I826="Vencido",$I826="Vencido (parcial)"),"Olá, "&amp;$A826&amp;"! Consta em aberto '"&amp;$B826&amp;"' com vencimento em "&amp;DAY($D826)&amp;"/"&amp;MONTH($D826)&amp;"/"&amp;YEAR($D826)&amp;", no valor de R$ "&amp;FIXED($N826,2)&amp;" (com multa e juros). Podemos ajudar a regularizar hoje? Obrigado!",IF($I826="Vence hoje","Olá, "&amp;$A826&amp;"! Lembrete: '"&amp;$B826&amp;"' vence hoje, no valor de R$ "&amp;FIXED($L826,2)&amp;". Obrigado!",""))</f>
        <v>0</v>
      </c>
    </row>
    <row r="827" spans="1:15">
      <c r="A827" s="13"/>
      <c r="B827" s="13"/>
      <c r="C827" s="17"/>
      <c r="D827" s="17"/>
      <c r="E827" s="18"/>
      <c r="F827" s="17"/>
      <c r="G827" s="18"/>
      <c r="H827" s="13"/>
      <c r="I827" s="19">
        <f>IF($E827="","",IF($L827&lt;=0.005,"Pago",IF($D827="","Sem vencimento",IF($D827&lt;Hoje,IF(N($G827)&gt;0,"Vencido (parcial)","Vencido"),IF($D827=Hoje,"Vence hoje","A vencer")))))</f>
        <v>0</v>
      </c>
      <c r="J827" s="20">
        <f>IF(OR($E827="",$D827=""),"",IF(AND($L827&gt;0.005,$D827&lt;Hoje),Hoje-$D827,0))</f>
        <v>0</v>
      </c>
      <c r="K827" s="20">
        <f>IF($J827="","",IF($L827&lt;=0.005,"Pago",IF($J827&lt;=0,"A vencer",IF($J827&lt;=15,"1-15 dias",IF($J827&lt;=30,"16-30 dias",IF($J827&lt;=60,"31-60 dias","Mais de 60 dias"))))))</f>
        <v>0</v>
      </c>
      <c r="L827" s="21">
        <f>IF($E827="","",MAX(0,$E827-N($G827)))</f>
        <v>0</v>
      </c>
      <c r="M827" s="21">
        <f>IF(OR($L827="",$J827=""),"",IF($J827&gt;0,ROUND($L827*Multa+$L827*Juros/30*$J827,2),0))</f>
        <v>0</v>
      </c>
      <c r="N827" s="22">
        <f>IF($L827="","",IF($L827&lt;=0.005,0,$L827+N($M827)))</f>
        <v>0</v>
      </c>
      <c r="O827" s="23">
        <f>IF(OR($I827="Vencido",$I827="Vencido (parcial)"),"Olá, "&amp;$A827&amp;"! Consta em aberto '"&amp;$B827&amp;"' com vencimento em "&amp;DAY($D827)&amp;"/"&amp;MONTH($D827)&amp;"/"&amp;YEAR($D827)&amp;", no valor de R$ "&amp;FIXED($N827,2)&amp;" (com multa e juros). Podemos ajudar a regularizar hoje? Obrigado!",IF($I827="Vence hoje","Olá, "&amp;$A827&amp;"! Lembrete: '"&amp;$B827&amp;"' vence hoje, no valor de R$ "&amp;FIXED($L827,2)&amp;". Obrigado!",""))</f>
        <v>0</v>
      </c>
    </row>
    <row r="828" spans="1:15">
      <c r="A828" s="13"/>
      <c r="B828" s="13"/>
      <c r="C828" s="17"/>
      <c r="D828" s="17"/>
      <c r="E828" s="18"/>
      <c r="F828" s="17"/>
      <c r="G828" s="18"/>
      <c r="H828" s="13"/>
      <c r="I828" s="19">
        <f>IF($E828="","",IF($L828&lt;=0.005,"Pago",IF($D828="","Sem vencimento",IF($D828&lt;Hoje,IF(N($G828)&gt;0,"Vencido (parcial)","Vencido"),IF($D828=Hoje,"Vence hoje","A vencer")))))</f>
        <v>0</v>
      </c>
      <c r="J828" s="20">
        <f>IF(OR($E828="",$D828=""),"",IF(AND($L828&gt;0.005,$D828&lt;Hoje),Hoje-$D828,0))</f>
        <v>0</v>
      </c>
      <c r="K828" s="20">
        <f>IF($J828="","",IF($L828&lt;=0.005,"Pago",IF($J828&lt;=0,"A vencer",IF($J828&lt;=15,"1-15 dias",IF($J828&lt;=30,"16-30 dias",IF($J828&lt;=60,"31-60 dias","Mais de 60 dias"))))))</f>
        <v>0</v>
      </c>
      <c r="L828" s="21">
        <f>IF($E828="","",MAX(0,$E828-N($G828)))</f>
        <v>0</v>
      </c>
      <c r="M828" s="21">
        <f>IF(OR($L828="",$J828=""),"",IF($J828&gt;0,ROUND($L828*Multa+$L828*Juros/30*$J828,2),0))</f>
        <v>0</v>
      </c>
      <c r="N828" s="22">
        <f>IF($L828="","",IF($L828&lt;=0.005,0,$L828+N($M828)))</f>
        <v>0</v>
      </c>
      <c r="O828" s="23">
        <f>IF(OR($I828="Vencido",$I828="Vencido (parcial)"),"Olá, "&amp;$A828&amp;"! Consta em aberto '"&amp;$B828&amp;"' com vencimento em "&amp;DAY($D828)&amp;"/"&amp;MONTH($D828)&amp;"/"&amp;YEAR($D828)&amp;", no valor de R$ "&amp;FIXED($N828,2)&amp;" (com multa e juros). Podemos ajudar a regularizar hoje? Obrigado!",IF($I828="Vence hoje","Olá, "&amp;$A828&amp;"! Lembrete: '"&amp;$B828&amp;"' vence hoje, no valor de R$ "&amp;FIXED($L828,2)&amp;". Obrigado!",""))</f>
        <v>0</v>
      </c>
    </row>
    <row r="829" spans="1:15">
      <c r="A829" s="13"/>
      <c r="B829" s="13"/>
      <c r="C829" s="17"/>
      <c r="D829" s="17"/>
      <c r="E829" s="18"/>
      <c r="F829" s="17"/>
      <c r="G829" s="18"/>
      <c r="H829" s="13"/>
      <c r="I829" s="19">
        <f>IF($E829="","",IF($L829&lt;=0.005,"Pago",IF($D829="","Sem vencimento",IF($D829&lt;Hoje,IF(N($G829)&gt;0,"Vencido (parcial)","Vencido"),IF($D829=Hoje,"Vence hoje","A vencer")))))</f>
        <v>0</v>
      </c>
      <c r="J829" s="20">
        <f>IF(OR($E829="",$D829=""),"",IF(AND($L829&gt;0.005,$D829&lt;Hoje),Hoje-$D829,0))</f>
        <v>0</v>
      </c>
      <c r="K829" s="20">
        <f>IF($J829="","",IF($L829&lt;=0.005,"Pago",IF($J829&lt;=0,"A vencer",IF($J829&lt;=15,"1-15 dias",IF($J829&lt;=30,"16-30 dias",IF($J829&lt;=60,"31-60 dias","Mais de 60 dias"))))))</f>
        <v>0</v>
      </c>
      <c r="L829" s="21">
        <f>IF($E829="","",MAX(0,$E829-N($G829)))</f>
        <v>0</v>
      </c>
      <c r="M829" s="21">
        <f>IF(OR($L829="",$J829=""),"",IF($J829&gt;0,ROUND($L829*Multa+$L829*Juros/30*$J829,2),0))</f>
        <v>0</v>
      </c>
      <c r="N829" s="22">
        <f>IF($L829="","",IF($L829&lt;=0.005,0,$L829+N($M829)))</f>
        <v>0</v>
      </c>
      <c r="O829" s="23">
        <f>IF(OR($I829="Vencido",$I829="Vencido (parcial)"),"Olá, "&amp;$A829&amp;"! Consta em aberto '"&amp;$B829&amp;"' com vencimento em "&amp;DAY($D829)&amp;"/"&amp;MONTH($D829)&amp;"/"&amp;YEAR($D829)&amp;", no valor de R$ "&amp;FIXED($N829,2)&amp;" (com multa e juros). Podemos ajudar a regularizar hoje? Obrigado!",IF($I829="Vence hoje","Olá, "&amp;$A829&amp;"! Lembrete: '"&amp;$B829&amp;"' vence hoje, no valor de R$ "&amp;FIXED($L829,2)&amp;". Obrigado!",""))</f>
        <v>0</v>
      </c>
    </row>
    <row r="830" spans="1:15">
      <c r="A830" s="13"/>
      <c r="B830" s="13"/>
      <c r="C830" s="17"/>
      <c r="D830" s="17"/>
      <c r="E830" s="18"/>
      <c r="F830" s="17"/>
      <c r="G830" s="18"/>
      <c r="H830" s="13"/>
      <c r="I830" s="19">
        <f>IF($E830="","",IF($L830&lt;=0.005,"Pago",IF($D830="","Sem vencimento",IF($D830&lt;Hoje,IF(N($G830)&gt;0,"Vencido (parcial)","Vencido"),IF($D830=Hoje,"Vence hoje","A vencer")))))</f>
        <v>0</v>
      </c>
      <c r="J830" s="20">
        <f>IF(OR($E830="",$D830=""),"",IF(AND($L830&gt;0.005,$D830&lt;Hoje),Hoje-$D830,0))</f>
        <v>0</v>
      </c>
      <c r="K830" s="20">
        <f>IF($J830="","",IF($L830&lt;=0.005,"Pago",IF($J830&lt;=0,"A vencer",IF($J830&lt;=15,"1-15 dias",IF($J830&lt;=30,"16-30 dias",IF($J830&lt;=60,"31-60 dias","Mais de 60 dias"))))))</f>
        <v>0</v>
      </c>
      <c r="L830" s="21">
        <f>IF($E830="","",MAX(0,$E830-N($G830)))</f>
        <v>0</v>
      </c>
      <c r="M830" s="21">
        <f>IF(OR($L830="",$J830=""),"",IF($J830&gt;0,ROUND($L830*Multa+$L830*Juros/30*$J830,2),0))</f>
        <v>0</v>
      </c>
      <c r="N830" s="22">
        <f>IF($L830="","",IF($L830&lt;=0.005,0,$L830+N($M830)))</f>
        <v>0</v>
      </c>
      <c r="O830" s="23">
        <f>IF(OR($I830="Vencido",$I830="Vencido (parcial)"),"Olá, "&amp;$A830&amp;"! Consta em aberto '"&amp;$B830&amp;"' com vencimento em "&amp;DAY($D830)&amp;"/"&amp;MONTH($D830)&amp;"/"&amp;YEAR($D830)&amp;", no valor de R$ "&amp;FIXED($N830,2)&amp;" (com multa e juros). Podemos ajudar a regularizar hoje? Obrigado!",IF($I830="Vence hoje","Olá, "&amp;$A830&amp;"! Lembrete: '"&amp;$B830&amp;"' vence hoje, no valor de R$ "&amp;FIXED($L830,2)&amp;". Obrigado!",""))</f>
        <v>0</v>
      </c>
    </row>
    <row r="831" spans="1:15">
      <c r="A831" s="13"/>
      <c r="B831" s="13"/>
      <c r="C831" s="17"/>
      <c r="D831" s="17"/>
      <c r="E831" s="18"/>
      <c r="F831" s="17"/>
      <c r="G831" s="18"/>
      <c r="H831" s="13"/>
      <c r="I831" s="19">
        <f>IF($E831="","",IF($L831&lt;=0.005,"Pago",IF($D831="","Sem vencimento",IF($D831&lt;Hoje,IF(N($G831)&gt;0,"Vencido (parcial)","Vencido"),IF($D831=Hoje,"Vence hoje","A vencer")))))</f>
        <v>0</v>
      </c>
      <c r="J831" s="20">
        <f>IF(OR($E831="",$D831=""),"",IF(AND($L831&gt;0.005,$D831&lt;Hoje),Hoje-$D831,0))</f>
        <v>0</v>
      </c>
      <c r="K831" s="20">
        <f>IF($J831="","",IF($L831&lt;=0.005,"Pago",IF($J831&lt;=0,"A vencer",IF($J831&lt;=15,"1-15 dias",IF($J831&lt;=30,"16-30 dias",IF($J831&lt;=60,"31-60 dias","Mais de 60 dias"))))))</f>
        <v>0</v>
      </c>
      <c r="L831" s="21">
        <f>IF($E831="","",MAX(0,$E831-N($G831)))</f>
        <v>0</v>
      </c>
      <c r="M831" s="21">
        <f>IF(OR($L831="",$J831=""),"",IF($J831&gt;0,ROUND($L831*Multa+$L831*Juros/30*$J831,2),0))</f>
        <v>0</v>
      </c>
      <c r="N831" s="22">
        <f>IF($L831="","",IF($L831&lt;=0.005,0,$L831+N($M831)))</f>
        <v>0</v>
      </c>
      <c r="O831" s="23">
        <f>IF(OR($I831="Vencido",$I831="Vencido (parcial)"),"Olá, "&amp;$A831&amp;"! Consta em aberto '"&amp;$B831&amp;"' com vencimento em "&amp;DAY($D831)&amp;"/"&amp;MONTH($D831)&amp;"/"&amp;YEAR($D831)&amp;", no valor de R$ "&amp;FIXED($N831,2)&amp;" (com multa e juros). Podemos ajudar a regularizar hoje? Obrigado!",IF($I831="Vence hoje","Olá, "&amp;$A831&amp;"! Lembrete: '"&amp;$B831&amp;"' vence hoje, no valor de R$ "&amp;FIXED($L831,2)&amp;". Obrigado!",""))</f>
        <v>0</v>
      </c>
    </row>
    <row r="832" spans="1:15">
      <c r="A832" s="13"/>
      <c r="B832" s="13"/>
      <c r="C832" s="17"/>
      <c r="D832" s="17"/>
      <c r="E832" s="18"/>
      <c r="F832" s="17"/>
      <c r="G832" s="18"/>
      <c r="H832" s="13"/>
      <c r="I832" s="19">
        <f>IF($E832="","",IF($L832&lt;=0.005,"Pago",IF($D832="","Sem vencimento",IF($D832&lt;Hoje,IF(N($G832)&gt;0,"Vencido (parcial)","Vencido"),IF($D832=Hoje,"Vence hoje","A vencer")))))</f>
        <v>0</v>
      </c>
      <c r="J832" s="20">
        <f>IF(OR($E832="",$D832=""),"",IF(AND($L832&gt;0.005,$D832&lt;Hoje),Hoje-$D832,0))</f>
        <v>0</v>
      </c>
      <c r="K832" s="20">
        <f>IF($J832="","",IF($L832&lt;=0.005,"Pago",IF($J832&lt;=0,"A vencer",IF($J832&lt;=15,"1-15 dias",IF($J832&lt;=30,"16-30 dias",IF($J832&lt;=60,"31-60 dias","Mais de 60 dias"))))))</f>
        <v>0</v>
      </c>
      <c r="L832" s="21">
        <f>IF($E832="","",MAX(0,$E832-N($G832)))</f>
        <v>0</v>
      </c>
      <c r="M832" s="21">
        <f>IF(OR($L832="",$J832=""),"",IF($J832&gt;0,ROUND($L832*Multa+$L832*Juros/30*$J832,2),0))</f>
        <v>0</v>
      </c>
      <c r="N832" s="22">
        <f>IF($L832="","",IF($L832&lt;=0.005,0,$L832+N($M832)))</f>
        <v>0</v>
      </c>
      <c r="O832" s="23">
        <f>IF(OR($I832="Vencido",$I832="Vencido (parcial)"),"Olá, "&amp;$A832&amp;"! Consta em aberto '"&amp;$B832&amp;"' com vencimento em "&amp;DAY($D832)&amp;"/"&amp;MONTH($D832)&amp;"/"&amp;YEAR($D832)&amp;", no valor de R$ "&amp;FIXED($N832,2)&amp;" (com multa e juros). Podemos ajudar a regularizar hoje? Obrigado!",IF($I832="Vence hoje","Olá, "&amp;$A832&amp;"! Lembrete: '"&amp;$B832&amp;"' vence hoje, no valor de R$ "&amp;FIXED($L832,2)&amp;". Obrigado!",""))</f>
        <v>0</v>
      </c>
    </row>
    <row r="833" spans="1:15">
      <c r="A833" s="13"/>
      <c r="B833" s="13"/>
      <c r="C833" s="17"/>
      <c r="D833" s="17"/>
      <c r="E833" s="18"/>
      <c r="F833" s="17"/>
      <c r="G833" s="18"/>
      <c r="H833" s="13"/>
      <c r="I833" s="19">
        <f>IF($E833="","",IF($L833&lt;=0.005,"Pago",IF($D833="","Sem vencimento",IF($D833&lt;Hoje,IF(N($G833)&gt;0,"Vencido (parcial)","Vencido"),IF($D833=Hoje,"Vence hoje","A vencer")))))</f>
        <v>0</v>
      </c>
      <c r="J833" s="20">
        <f>IF(OR($E833="",$D833=""),"",IF(AND($L833&gt;0.005,$D833&lt;Hoje),Hoje-$D833,0))</f>
        <v>0</v>
      </c>
      <c r="K833" s="20">
        <f>IF($J833="","",IF($L833&lt;=0.005,"Pago",IF($J833&lt;=0,"A vencer",IF($J833&lt;=15,"1-15 dias",IF($J833&lt;=30,"16-30 dias",IF($J833&lt;=60,"31-60 dias","Mais de 60 dias"))))))</f>
        <v>0</v>
      </c>
      <c r="L833" s="21">
        <f>IF($E833="","",MAX(0,$E833-N($G833)))</f>
        <v>0</v>
      </c>
      <c r="M833" s="21">
        <f>IF(OR($L833="",$J833=""),"",IF($J833&gt;0,ROUND($L833*Multa+$L833*Juros/30*$J833,2),0))</f>
        <v>0</v>
      </c>
      <c r="N833" s="22">
        <f>IF($L833="","",IF($L833&lt;=0.005,0,$L833+N($M833)))</f>
        <v>0</v>
      </c>
      <c r="O833" s="23">
        <f>IF(OR($I833="Vencido",$I833="Vencido (parcial)"),"Olá, "&amp;$A833&amp;"! Consta em aberto '"&amp;$B833&amp;"' com vencimento em "&amp;DAY($D833)&amp;"/"&amp;MONTH($D833)&amp;"/"&amp;YEAR($D833)&amp;", no valor de R$ "&amp;FIXED($N833,2)&amp;" (com multa e juros). Podemos ajudar a regularizar hoje? Obrigado!",IF($I833="Vence hoje","Olá, "&amp;$A833&amp;"! Lembrete: '"&amp;$B833&amp;"' vence hoje, no valor de R$ "&amp;FIXED($L833,2)&amp;". Obrigado!",""))</f>
        <v>0</v>
      </c>
    </row>
    <row r="834" spans="1:15">
      <c r="A834" s="13"/>
      <c r="B834" s="13"/>
      <c r="C834" s="17"/>
      <c r="D834" s="17"/>
      <c r="E834" s="18"/>
      <c r="F834" s="17"/>
      <c r="G834" s="18"/>
      <c r="H834" s="13"/>
      <c r="I834" s="19">
        <f>IF($E834="","",IF($L834&lt;=0.005,"Pago",IF($D834="","Sem vencimento",IF($D834&lt;Hoje,IF(N($G834)&gt;0,"Vencido (parcial)","Vencido"),IF($D834=Hoje,"Vence hoje","A vencer")))))</f>
        <v>0</v>
      </c>
      <c r="J834" s="20">
        <f>IF(OR($E834="",$D834=""),"",IF(AND($L834&gt;0.005,$D834&lt;Hoje),Hoje-$D834,0))</f>
        <v>0</v>
      </c>
      <c r="K834" s="20">
        <f>IF($J834="","",IF($L834&lt;=0.005,"Pago",IF($J834&lt;=0,"A vencer",IF($J834&lt;=15,"1-15 dias",IF($J834&lt;=30,"16-30 dias",IF($J834&lt;=60,"31-60 dias","Mais de 60 dias"))))))</f>
        <v>0</v>
      </c>
      <c r="L834" s="21">
        <f>IF($E834="","",MAX(0,$E834-N($G834)))</f>
        <v>0</v>
      </c>
      <c r="M834" s="21">
        <f>IF(OR($L834="",$J834=""),"",IF($J834&gt;0,ROUND($L834*Multa+$L834*Juros/30*$J834,2),0))</f>
        <v>0</v>
      </c>
      <c r="N834" s="22">
        <f>IF($L834="","",IF($L834&lt;=0.005,0,$L834+N($M834)))</f>
        <v>0</v>
      </c>
      <c r="O834" s="23">
        <f>IF(OR($I834="Vencido",$I834="Vencido (parcial)"),"Olá, "&amp;$A834&amp;"! Consta em aberto '"&amp;$B834&amp;"' com vencimento em "&amp;DAY($D834)&amp;"/"&amp;MONTH($D834)&amp;"/"&amp;YEAR($D834)&amp;", no valor de R$ "&amp;FIXED($N834,2)&amp;" (com multa e juros). Podemos ajudar a regularizar hoje? Obrigado!",IF($I834="Vence hoje","Olá, "&amp;$A834&amp;"! Lembrete: '"&amp;$B834&amp;"' vence hoje, no valor de R$ "&amp;FIXED($L834,2)&amp;". Obrigado!",""))</f>
        <v>0</v>
      </c>
    </row>
    <row r="835" spans="1:15">
      <c r="A835" s="13"/>
      <c r="B835" s="13"/>
      <c r="C835" s="17"/>
      <c r="D835" s="17"/>
      <c r="E835" s="18"/>
      <c r="F835" s="17"/>
      <c r="G835" s="18"/>
      <c r="H835" s="13"/>
      <c r="I835" s="19">
        <f>IF($E835="","",IF($L835&lt;=0.005,"Pago",IF($D835="","Sem vencimento",IF($D835&lt;Hoje,IF(N($G835)&gt;0,"Vencido (parcial)","Vencido"),IF($D835=Hoje,"Vence hoje","A vencer")))))</f>
        <v>0</v>
      </c>
      <c r="J835" s="20">
        <f>IF(OR($E835="",$D835=""),"",IF(AND($L835&gt;0.005,$D835&lt;Hoje),Hoje-$D835,0))</f>
        <v>0</v>
      </c>
      <c r="K835" s="20">
        <f>IF($J835="","",IF($L835&lt;=0.005,"Pago",IF($J835&lt;=0,"A vencer",IF($J835&lt;=15,"1-15 dias",IF($J835&lt;=30,"16-30 dias",IF($J835&lt;=60,"31-60 dias","Mais de 60 dias"))))))</f>
        <v>0</v>
      </c>
      <c r="L835" s="21">
        <f>IF($E835="","",MAX(0,$E835-N($G835)))</f>
        <v>0</v>
      </c>
      <c r="M835" s="21">
        <f>IF(OR($L835="",$J835=""),"",IF($J835&gt;0,ROUND($L835*Multa+$L835*Juros/30*$J835,2),0))</f>
        <v>0</v>
      </c>
      <c r="N835" s="22">
        <f>IF($L835="","",IF($L835&lt;=0.005,0,$L835+N($M835)))</f>
        <v>0</v>
      </c>
      <c r="O835" s="23">
        <f>IF(OR($I835="Vencido",$I835="Vencido (parcial)"),"Olá, "&amp;$A835&amp;"! Consta em aberto '"&amp;$B835&amp;"' com vencimento em "&amp;DAY($D835)&amp;"/"&amp;MONTH($D835)&amp;"/"&amp;YEAR($D835)&amp;", no valor de R$ "&amp;FIXED($N835,2)&amp;" (com multa e juros). Podemos ajudar a regularizar hoje? Obrigado!",IF($I835="Vence hoje","Olá, "&amp;$A835&amp;"! Lembrete: '"&amp;$B835&amp;"' vence hoje, no valor de R$ "&amp;FIXED($L835,2)&amp;". Obrigado!",""))</f>
        <v>0</v>
      </c>
    </row>
    <row r="836" spans="1:15">
      <c r="A836" s="13"/>
      <c r="B836" s="13"/>
      <c r="C836" s="17"/>
      <c r="D836" s="17"/>
      <c r="E836" s="18"/>
      <c r="F836" s="17"/>
      <c r="G836" s="18"/>
      <c r="H836" s="13"/>
      <c r="I836" s="19">
        <f>IF($E836="","",IF($L836&lt;=0.005,"Pago",IF($D836="","Sem vencimento",IF($D836&lt;Hoje,IF(N($G836)&gt;0,"Vencido (parcial)","Vencido"),IF($D836=Hoje,"Vence hoje","A vencer")))))</f>
        <v>0</v>
      </c>
      <c r="J836" s="20">
        <f>IF(OR($E836="",$D836=""),"",IF(AND($L836&gt;0.005,$D836&lt;Hoje),Hoje-$D836,0))</f>
        <v>0</v>
      </c>
      <c r="K836" s="20">
        <f>IF($J836="","",IF($L836&lt;=0.005,"Pago",IF($J836&lt;=0,"A vencer",IF($J836&lt;=15,"1-15 dias",IF($J836&lt;=30,"16-30 dias",IF($J836&lt;=60,"31-60 dias","Mais de 60 dias"))))))</f>
        <v>0</v>
      </c>
      <c r="L836" s="21">
        <f>IF($E836="","",MAX(0,$E836-N($G836)))</f>
        <v>0</v>
      </c>
      <c r="M836" s="21">
        <f>IF(OR($L836="",$J836=""),"",IF($J836&gt;0,ROUND($L836*Multa+$L836*Juros/30*$J836,2),0))</f>
        <v>0</v>
      </c>
      <c r="N836" s="22">
        <f>IF($L836="","",IF($L836&lt;=0.005,0,$L836+N($M836)))</f>
        <v>0</v>
      </c>
      <c r="O836" s="23">
        <f>IF(OR($I836="Vencido",$I836="Vencido (parcial)"),"Olá, "&amp;$A836&amp;"! Consta em aberto '"&amp;$B836&amp;"' com vencimento em "&amp;DAY($D836)&amp;"/"&amp;MONTH($D836)&amp;"/"&amp;YEAR($D836)&amp;", no valor de R$ "&amp;FIXED($N836,2)&amp;" (com multa e juros). Podemos ajudar a regularizar hoje? Obrigado!",IF($I836="Vence hoje","Olá, "&amp;$A836&amp;"! Lembrete: '"&amp;$B836&amp;"' vence hoje, no valor de R$ "&amp;FIXED($L836,2)&amp;". Obrigado!",""))</f>
        <v>0</v>
      </c>
    </row>
    <row r="837" spans="1:15">
      <c r="A837" s="13"/>
      <c r="B837" s="13"/>
      <c r="C837" s="17"/>
      <c r="D837" s="17"/>
      <c r="E837" s="18"/>
      <c r="F837" s="17"/>
      <c r="G837" s="18"/>
      <c r="H837" s="13"/>
      <c r="I837" s="19">
        <f>IF($E837="","",IF($L837&lt;=0.005,"Pago",IF($D837="","Sem vencimento",IF($D837&lt;Hoje,IF(N($G837)&gt;0,"Vencido (parcial)","Vencido"),IF($D837=Hoje,"Vence hoje","A vencer")))))</f>
        <v>0</v>
      </c>
      <c r="J837" s="20">
        <f>IF(OR($E837="",$D837=""),"",IF(AND($L837&gt;0.005,$D837&lt;Hoje),Hoje-$D837,0))</f>
        <v>0</v>
      </c>
      <c r="K837" s="20">
        <f>IF($J837="","",IF($L837&lt;=0.005,"Pago",IF($J837&lt;=0,"A vencer",IF($J837&lt;=15,"1-15 dias",IF($J837&lt;=30,"16-30 dias",IF($J837&lt;=60,"31-60 dias","Mais de 60 dias"))))))</f>
        <v>0</v>
      </c>
      <c r="L837" s="21">
        <f>IF($E837="","",MAX(0,$E837-N($G837)))</f>
        <v>0</v>
      </c>
      <c r="M837" s="21">
        <f>IF(OR($L837="",$J837=""),"",IF($J837&gt;0,ROUND($L837*Multa+$L837*Juros/30*$J837,2),0))</f>
        <v>0</v>
      </c>
      <c r="N837" s="22">
        <f>IF($L837="","",IF($L837&lt;=0.005,0,$L837+N($M837)))</f>
        <v>0</v>
      </c>
      <c r="O837" s="23">
        <f>IF(OR($I837="Vencido",$I837="Vencido (parcial)"),"Olá, "&amp;$A837&amp;"! Consta em aberto '"&amp;$B837&amp;"' com vencimento em "&amp;DAY($D837)&amp;"/"&amp;MONTH($D837)&amp;"/"&amp;YEAR($D837)&amp;", no valor de R$ "&amp;FIXED($N837,2)&amp;" (com multa e juros). Podemos ajudar a regularizar hoje? Obrigado!",IF($I837="Vence hoje","Olá, "&amp;$A837&amp;"! Lembrete: '"&amp;$B837&amp;"' vence hoje, no valor de R$ "&amp;FIXED($L837,2)&amp;". Obrigado!",""))</f>
        <v>0</v>
      </c>
    </row>
    <row r="838" spans="1:15">
      <c r="A838" s="13"/>
      <c r="B838" s="13"/>
      <c r="C838" s="17"/>
      <c r="D838" s="17"/>
      <c r="E838" s="18"/>
      <c r="F838" s="17"/>
      <c r="G838" s="18"/>
      <c r="H838" s="13"/>
      <c r="I838" s="19">
        <f>IF($E838="","",IF($L838&lt;=0.005,"Pago",IF($D838="","Sem vencimento",IF($D838&lt;Hoje,IF(N($G838)&gt;0,"Vencido (parcial)","Vencido"),IF($D838=Hoje,"Vence hoje","A vencer")))))</f>
        <v>0</v>
      </c>
      <c r="J838" s="20">
        <f>IF(OR($E838="",$D838=""),"",IF(AND($L838&gt;0.005,$D838&lt;Hoje),Hoje-$D838,0))</f>
        <v>0</v>
      </c>
      <c r="K838" s="20">
        <f>IF($J838="","",IF($L838&lt;=0.005,"Pago",IF($J838&lt;=0,"A vencer",IF($J838&lt;=15,"1-15 dias",IF($J838&lt;=30,"16-30 dias",IF($J838&lt;=60,"31-60 dias","Mais de 60 dias"))))))</f>
        <v>0</v>
      </c>
      <c r="L838" s="21">
        <f>IF($E838="","",MAX(0,$E838-N($G838)))</f>
        <v>0</v>
      </c>
      <c r="M838" s="21">
        <f>IF(OR($L838="",$J838=""),"",IF($J838&gt;0,ROUND($L838*Multa+$L838*Juros/30*$J838,2),0))</f>
        <v>0</v>
      </c>
      <c r="N838" s="22">
        <f>IF($L838="","",IF($L838&lt;=0.005,0,$L838+N($M838)))</f>
        <v>0</v>
      </c>
      <c r="O838" s="23">
        <f>IF(OR($I838="Vencido",$I838="Vencido (parcial)"),"Olá, "&amp;$A838&amp;"! Consta em aberto '"&amp;$B838&amp;"' com vencimento em "&amp;DAY($D838)&amp;"/"&amp;MONTH($D838)&amp;"/"&amp;YEAR($D838)&amp;", no valor de R$ "&amp;FIXED($N838,2)&amp;" (com multa e juros). Podemos ajudar a regularizar hoje? Obrigado!",IF($I838="Vence hoje","Olá, "&amp;$A838&amp;"! Lembrete: '"&amp;$B838&amp;"' vence hoje, no valor de R$ "&amp;FIXED($L838,2)&amp;". Obrigado!",""))</f>
        <v>0</v>
      </c>
    </row>
    <row r="839" spans="1:15">
      <c r="A839" s="13"/>
      <c r="B839" s="13"/>
      <c r="C839" s="17"/>
      <c r="D839" s="17"/>
      <c r="E839" s="18"/>
      <c r="F839" s="17"/>
      <c r="G839" s="18"/>
      <c r="H839" s="13"/>
      <c r="I839" s="19">
        <f>IF($E839="","",IF($L839&lt;=0.005,"Pago",IF($D839="","Sem vencimento",IF($D839&lt;Hoje,IF(N($G839)&gt;0,"Vencido (parcial)","Vencido"),IF($D839=Hoje,"Vence hoje","A vencer")))))</f>
        <v>0</v>
      </c>
      <c r="J839" s="20">
        <f>IF(OR($E839="",$D839=""),"",IF(AND($L839&gt;0.005,$D839&lt;Hoje),Hoje-$D839,0))</f>
        <v>0</v>
      </c>
      <c r="K839" s="20">
        <f>IF($J839="","",IF($L839&lt;=0.005,"Pago",IF($J839&lt;=0,"A vencer",IF($J839&lt;=15,"1-15 dias",IF($J839&lt;=30,"16-30 dias",IF($J839&lt;=60,"31-60 dias","Mais de 60 dias"))))))</f>
        <v>0</v>
      </c>
      <c r="L839" s="21">
        <f>IF($E839="","",MAX(0,$E839-N($G839)))</f>
        <v>0</v>
      </c>
      <c r="M839" s="21">
        <f>IF(OR($L839="",$J839=""),"",IF($J839&gt;0,ROUND($L839*Multa+$L839*Juros/30*$J839,2),0))</f>
        <v>0</v>
      </c>
      <c r="N839" s="22">
        <f>IF($L839="","",IF($L839&lt;=0.005,0,$L839+N($M839)))</f>
        <v>0</v>
      </c>
      <c r="O839" s="23">
        <f>IF(OR($I839="Vencido",$I839="Vencido (parcial)"),"Olá, "&amp;$A839&amp;"! Consta em aberto '"&amp;$B839&amp;"' com vencimento em "&amp;DAY($D839)&amp;"/"&amp;MONTH($D839)&amp;"/"&amp;YEAR($D839)&amp;", no valor de R$ "&amp;FIXED($N839,2)&amp;" (com multa e juros). Podemos ajudar a regularizar hoje? Obrigado!",IF($I839="Vence hoje","Olá, "&amp;$A839&amp;"! Lembrete: '"&amp;$B839&amp;"' vence hoje, no valor de R$ "&amp;FIXED($L839,2)&amp;". Obrigado!",""))</f>
        <v>0</v>
      </c>
    </row>
    <row r="840" spans="1:15">
      <c r="A840" s="13"/>
      <c r="B840" s="13"/>
      <c r="C840" s="17"/>
      <c r="D840" s="17"/>
      <c r="E840" s="18"/>
      <c r="F840" s="17"/>
      <c r="G840" s="18"/>
      <c r="H840" s="13"/>
      <c r="I840" s="19">
        <f>IF($E840="","",IF($L840&lt;=0.005,"Pago",IF($D840="","Sem vencimento",IF($D840&lt;Hoje,IF(N($G840)&gt;0,"Vencido (parcial)","Vencido"),IF($D840=Hoje,"Vence hoje","A vencer")))))</f>
        <v>0</v>
      </c>
      <c r="J840" s="20">
        <f>IF(OR($E840="",$D840=""),"",IF(AND($L840&gt;0.005,$D840&lt;Hoje),Hoje-$D840,0))</f>
        <v>0</v>
      </c>
      <c r="K840" s="20">
        <f>IF($J840="","",IF($L840&lt;=0.005,"Pago",IF($J840&lt;=0,"A vencer",IF($J840&lt;=15,"1-15 dias",IF($J840&lt;=30,"16-30 dias",IF($J840&lt;=60,"31-60 dias","Mais de 60 dias"))))))</f>
        <v>0</v>
      </c>
      <c r="L840" s="21">
        <f>IF($E840="","",MAX(0,$E840-N($G840)))</f>
        <v>0</v>
      </c>
      <c r="M840" s="21">
        <f>IF(OR($L840="",$J840=""),"",IF($J840&gt;0,ROUND($L840*Multa+$L840*Juros/30*$J840,2),0))</f>
        <v>0</v>
      </c>
      <c r="N840" s="22">
        <f>IF($L840="","",IF($L840&lt;=0.005,0,$L840+N($M840)))</f>
        <v>0</v>
      </c>
      <c r="O840" s="23">
        <f>IF(OR($I840="Vencido",$I840="Vencido (parcial)"),"Olá, "&amp;$A840&amp;"! Consta em aberto '"&amp;$B840&amp;"' com vencimento em "&amp;DAY($D840)&amp;"/"&amp;MONTH($D840)&amp;"/"&amp;YEAR($D840)&amp;", no valor de R$ "&amp;FIXED($N840,2)&amp;" (com multa e juros). Podemos ajudar a regularizar hoje? Obrigado!",IF($I840="Vence hoje","Olá, "&amp;$A840&amp;"! Lembrete: '"&amp;$B840&amp;"' vence hoje, no valor de R$ "&amp;FIXED($L840,2)&amp;". Obrigado!",""))</f>
        <v>0</v>
      </c>
    </row>
    <row r="841" spans="1:15">
      <c r="A841" s="13"/>
      <c r="B841" s="13"/>
      <c r="C841" s="17"/>
      <c r="D841" s="17"/>
      <c r="E841" s="18"/>
      <c r="F841" s="17"/>
      <c r="G841" s="18"/>
      <c r="H841" s="13"/>
      <c r="I841" s="19">
        <f>IF($E841="","",IF($L841&lt;=0.005,"Pago",IF($D841="","Sem vencimento",IF($D841&lt;Hoje,IF(N($G841)&gt;0,"Vencido (parcial)","Vencido"),IF($D841=Hoje,"Vence hoje","A vencer")))))</f>
        <v>0</v>
      </c>
      <c r="J841" s="20">
        <f>IF(OR($E841="",$D841=""),"",IF(AND($L841&gt;0.005,$D841&lt;Hoje),Hoje-$D841,0))</f>
        <v>0</v>
      </c>
      <c r="K841" s="20">
        <f>IF($J841="","",IF($L841&lt;=0.005,"Pago",IF($J841&lt;=0,"A vencer",IF($J841&lt;=15,"1-15 dias",IF($J841&lt;=30,"16-30 dias",IF($J841&lt;=60,"31-60 dias","Mais de 60 dias"))))))</f>
        <v>0</v>
      </c>
      <c r="L841" s="21">
        <f>IF($E841="","",MAX(0,$E841-N($G841)))</f>
        <v>0</v>
      </c>
      <c r="M841" s="21">
        <f>IF(OR($L841="",$J841=""),"",IF($J841&gt;0,ROUND($L841*Multa+$L841*Juros/30*$J841,2),0))</f>
        <v>0</v>
      </c>
      <c r="N841" s="22">
        <f>IF($L841="","",IF($L841&lt;=0.005,0,$L841+N($M841)))</f>
        <v>0</v>
      </c>
      <c r="O841" s="23">
        <f>IF(OR($I841="Vencido",$I841="Vencido (parcial)"),"Olá, "&amp;$A841&amp;"! Consta em aberto '"&amp;$B841&amp;"' com vencimento em "&amp;DAY($D841)&amp;"/"&amp;MONTH($D841)&amp;"/"&amp;YEAR($D841)&amp;", no valor de R$ "&amp;FIXED($N841,2)&amp;" (com multa e juros). Podemos ajudar a regularizar hoje? Obrigado!",IF($I841="Vence hoje","Olá, "&amp;$A841&amp;"! Lembrete: '"&amp;$B841&amp;"' vence hoje, no valor de R$ "&amp;FIXED($L841,2)&amp;". Obrigado!",""))</f>
        <v>0</v>
      </c>
    </row>
    <row r="842" spans="1:15">
      <c r="A842" s="13"/>
      <c r="B842" s="13"/>
      <c r="C842" s="17"/>
      <c r="D842" s="17"/>
      <c r="E842" s="18"/>
      <c r="F842" s="17"/>
      <c r="G842" s="18"/>
      <c r="H842" s="13"/>
      <c r="I842" s="19">
        <f>IF($E842="","",IF($L842&lt;=0.005,"Pago",IF($D842="","Sem vencimento",IF($D842&lt;Hoje,IF(N($G842)&gt;0,"Vencido (parcial)","Vencido"),IF($D842=Hoje,"Vence hoje","A vencer")))))</f>
        <v>0</v>
      </c>
      <c r="J842" s="20">
        <f>IF(OR($E842="",$D842=""),"",IF(AND($L842&gt;0.005,$D842&lt;Hoje),Hoje-$D842,0))</f>
        <v>0</v>
      </c>
      <c r="K842" s="20">
        <f>IF($J842="","",IF($L842&lt;=0.005,"Pago",IF($J842&lt;=0,"A vencer",IF($J842&lt;=15,"1-15 dias",IF($J842&lt;=30,"16-30 dias",IF($J842&lt;=60,"31-60 dias","Mais de 60 dias"))))))</f>
        <v>0</v>
      </c>
      <c r="L842" s="21">
        <f>IF($E842="","",MAX(0,$E842-N($G842)))</f>
        <v>0</v>
      </c>
      <c r="M842" s="21">
        <f>IF(OR($L842="",$J842=""),"",IF($J842&gt;0,ROUND($L842*Multa+$L842*Juros/30*$J842,2),0))</f>
        <v>0</v>
      </c>
      <c r="N842" s="22">
        <f>IF($L842="","",IF($L842&lt;=0.005,0,$L842+N($M842)))</f>
        <v>0</v>
      </c>
      <c r="O842" s="23">
        <f>IF(OR($I842="Vencido",$I842="Vencido (parcial)"),"Olá, "&amp;$A842&amp;"! Consta em aberto '"&amp;$B842&amp;"' com vencimento em "&amp;DAY($D842)&amp;"/"&amp;MONTH($D842)&amp;"/"&amp;YEAR($D842)&amp;", no valor de R$ "&amp;FIXED($N842,2)&amp;" (com multa e juros). Podemos ajudar a regularizar hoje? Obrigado!",IF($I842="Vence hoje","Olá, "&amp;$A842&amp;"! Lembrete: '"&amp;$B842&amp;"' vence hoje, no valor de R$ "&amp;FIXED($L842,2)&amp;". Obrigado!",""))</f>
        <v>0</v>
      </c>
    </row>
    <row r="843" spans="1:15">
      <c r="A843" s="13"/>
      <c r="B843" s="13"/>
      <c r="C843" s="17"/>
      <c r="D843" s="17"/>
      <c r="E843" s="18"/>
      <c r="F843" s="17"/>
      <c r="G843" s="18"/>
      <c r="H843" s="13"/>
      <c r="I843" s="19">
        <f>IF($E843="","",IF($L843&lt;=0.005,"Pago",IF($D843="","Sem vencimento",IF($D843&lt;Hoje,IF(N($G843)&gt;0,"Vencido (parcial)","Vencido"),IF($D843=Hoje,"Vence hoje","A vencer")))))</f>
        <v>0</v>
      </c>
      <c r="J843" s="20">
        <f>IF(OR($E843="",$D843=""),"",IF(AND($L843&gt;0.005,$D843&lt;Hoje),Hoje-$D843,0))</f>
        <v>0</v>
      </c>
      <c r="K843" s="20">
        <f>IF($J843="","",IF($L843&lt;=0.005,"Pago",IF($J843&lt;=0,"A vencer",IF($J843&lt;=15,"1-15 dias",IF($J843&lt;=30,"16-30 dias",IF($J843&lt;=60,"31-60 dias","Mais de 60 dias"))))))</f>
        <v>0</v>
      </c>
      <c r="L843" s="21">
        <f>IF($E843="","",MAX(0,$E843-N($G843)))</f>
        <v>0</v>
      </c>
      <c r="M843" s="21">
        <f>IF(OR($L843="",$J843=""),"",IF($J843&gt;0,ROUND($L843*Multa+$L843*Juros/30*$J843,2),0))</f>
        <v>0</v>
      </c>
      <c r="N843" s="22">
        <f>IF($L843="","",IF($L843&lt;=0.005,0,$L843+N($M843)))</f>
        <v>0</v>
      </c>
      <c r="O843" s="23">
        <f>IF(OR($I843="Vencido",$I843="Vencido (parcial)"),"Olá, "&amp;$A843&amp;"! Consta em aberto '"&amp;$B843&amp;"' com vencimento em "&amp;DAY($D843)&amp;"/"&amp;MONTH($D843)&amp;"/"&amp;YEAR($D843)&amp;", no valor de R$ "&amp;FIXED($N843,2)&amp;" (com multa e juros). Podemos ajudar a regularizar hoje? Obrigado!",IF($I843="Vence hoje","Olá, "&amp;$A843&amp;"! Lembrete: '"&amp;$B843&amp;"' vence hoje, no valor de R$ "&amp;FIXED($L843,2)&amp;". Obrigado!",""))</f>
        <v>0</v>
      </c>
    </row>
    <row r="844" spans="1:15">
      <c r="A844" s="13"/>
      <c r="B844" s="13"/>
      <c r="C844" s="17"/>
      <c r="D844" s="17"/>
      <c r="E844" s="18"/>
      <c r="F844" s="17"/>
      <c r="G844" s="18"/>
      <c r="H844" s="13"/>
      <c r="I844" s="19">
        <f>IF($E844="","",IF($L844&lt;=0.005,"Pago",IF($D844="","Sem vencimento",IF($D844&lt;Hoje,IF(N($G844)&gt;0,"Vencido (parcial)","Vencido"),IF($D844=Hoje,"Vence hoje","A vencer")))))</f>
        <v>0</v>
      </c>
      <c r="J844" s="20">
        <f>IF(OR($E844="",$D844=""),"",IF(AND($L844&gt;0.005,$D844&lt;Hoje),Hoje-$D844,0))</f>
        <v>0</v>
      </c>
      <c r="K844" s="20">
        <f>IF($J844="","",IF($L844&lt;=0.005,"Pago",IF($J844&lt;=0,"A vencer",IF($J844&lt;=15,"1-15 dias",IF($J844&lt;=30,"16-30 dias",IF($J844&lt;=60,"31-60 dias","Mais de 60 dias"))))))</f>
        <v>0</v>
      </c>
      <c r="L844" s="21">
        <f>IF($E844="","",MAX(0,$E844-N($G844)))</f>
        <v>0</v>
      </c>
      <c r="M844" s="21">
        <f>IF(OR($L844="",$J844=""),"",IF($J844&gt;0,ROUND($L844*Multa+$L844*Juros/30*$J844,2),0))</f>
        <v>0</v>
      </c>
      <c r="N844" s="22">
        <f>IF($L844="","",IF($L844&lt;=0.005,0,$L844+N($M844)))</f>
        <v>0</v>
      </c>
      <c r="O844" s="23">
        <f>IF(OR($I844="Vencido",$I844="Vencido (parcial)"),"Olá, "&amp;$A844&amp;"! Consta em aberto '"&amp;$B844&amp;"' com vencimento em "&amp;DAY($D844)&amp;"/"&amp;MONTH($D844)&amp;"/"&amp;YEAR($D844)&amp;", no valor de R$ "&amp;FIXED($N844,2)&amp;" (com multa e juros). Podemos ajudar a regularizar hoje? Obrigado!",IF($I844="Vence hoje","Olá, "&amp;$A844&amp;"! Lembrete: '"&amp;$B844&amp;"' vence hoje, no valor de R$ "&amp;FIXED($L844,2)&amp;". Obrigado!",""))</f>
        <v>0</v>
      </c>
    </row>
    <row r="845" spans="1:15">
      <c r="A845" s="13"/>
      <c r="B845" s="13"/>
      <c r="C845" s="17"/>
      <c r="D845" s="17"/>
      <c r="E845" s="18"/>
      <c r="F845" s="17"/>
      <c r="G845" s="18"/>
      <c r="H845" s="13"/>
      <c r="I845" s="19">
        <f>IF($E845="","",IF($L845&lt;=0.005,"Pago",IF($D845="","Sem vencimento",IF($D845&lt;Hoje,IF(N($G845)&gt;0,"Vencido (parcial)","Vencido"),IF($D845=Hoje,"Vence hoje","A vencer")))))</f>
        <v>0</v>
      </c>
      <c r="J845" s="20">
        <f>IF(OR($E845="",$D845=""),"",IF(AND($L845&gt;0.005,$D845&lt;Hoje),Hoje-$D845,0))</f>
        <v>0</v>
      </c>
      <c r="K845" s="20">
        <f>IF($J845="","",IF($L845&lt;=0.005,"Pago",IF($J845&lt;=0,"A vencer",IF($J845&lt;=15,"1-15 dias",IF($J845&lt;=30,"16-30 dias",IF($J845&lt;=60,"31-60 dias","Mais de 60 dias"))))))</f>
        <v>0</v>
      </c>
      <c r="L845" s="21">
        <f>IF($E845="","",MAX(0,$E845-N($G845)))</f>
        <v>0</v>
      </c>
      <c r="M845" s="21">
        <f>IF(OR($L845="",$J845=""),"",IF($J845&gt;0,ROUND($L845*Multa+$L845*Juros/30*$J845,2),0))</f>
        <v>0</v>
      </c>
      <c r="N845" s="22">
        <f>IF($L845="","",IF($L845&lt;=0.005,0,$L845+N($M845)))</f>
        <v>0</v>
      </c>
      <c r="O845" s="23">
        <f>IF(OR($I845="Vencido",$I845="Vencido (parcial)"),"Olá, "&amp;$A845&amp;"! Consta em aberto '"&amp;$B845&amp;"' com vencimento em "&amp;DAY($D845)&amp;"/"&amp;MONTH($D845)&amp;"/"&amp;YEAR($D845)&amp;", no valor de R$ "&amp;FIXED($N845,2)&amp;" (com multa e juros). Podemos ajudar a regularizar hoje? Obrigado!",IF($I845="Vence hoje","Olá, "&amp;$A845&amp;"! Lembrete: '"&amp;$B845&amp;"' vence hoje, no valor de R$ "&amp;FIXED($L845,2)&amp;". Obrigado!",""))</f>
        <v>0</v>
      </c>
    </row>
    <row r="846" spans="1:15">
      <c r="A846" s="13"/>
      <c r="B846" s="13"/>
      <c r="C846" s="17"/>
      <c r="D846" s="17"/>
      <c r="E846" s="18"/>
      <c r="F846" s="17"/>
      <c r="G846" s="18"/>
      <c r="H846" s="13"/>
      <c r="I846" s="19">
        <f>IF($E846="","",IF($L846&lt;=0.005,"Pago",IF($D846="","Sem vencimento",IF($D846&lt;Hoje,IF(N($G846)&gt;0,"Vencido (parcial)","Vencido"),IF($D846=Hoje,"Vence hoje","A vencer")))))</f>
        <v>0</v>
      </c>
      <c r="J846" s="20">
        <f>IF(OR($E846="",$D846=""),"",IF(AND($L846&gt;0.005,$D846&lt;Hoje),Hoje-$D846,0))</f>
        <v>0</v>
      </c>
      <c r="K846" s="20">
        <f>IF($J846="","",IF($L846&lt;=0.005,"Pago",IF($J846&lt;=0,"A vencer",IF($J846&lt;=15,"1-15 dias",IF($J846&lt;=30,"16-30 dias",IF($J846&lt;=60,"31-60 dias","Mais de 60 dias"))))))</f>
        <v>0</v>
      </c>
      <c r="L846" s="21">
        <f>IF($E846="","",MAX(0,$E846-N($G846)))</f>
        <v>0</v>
      </c>
      <c r="M846" s="21">
        <f>IF(OR($L846="",$J846=""),"",IF($J846&gt;0,ROUND($L846*Multa+$L846*Juros/30*$J846,2),0))</f>
        <v>0</v>
      </c>
      <c r="N846" s="22">
        <f>IF($L846="","",IF($L846&lt;=0.005,0,$L846+N($M846)))</f>
        <v>0</v>
      </c>
      <c r="O846" s="23">
        <f>IF(OR($I846="Vencido",$I846="Vencido (parcial)"),"Olá, "&amp;$A846&amp;"! Consta em aberto '"&amp;$B846&amp;"' com vencimento em "&amp;DAY($D846)&amp;"/"&amp;MONTH($D846)&amp;"/"&amp;YEAR($D846)&amp;", no valor de R$ "&amp;FIXED($N846,2)&amp;" (com multa e juros). Podemos ajudar a regularizar hoje? Obrigado!",IF($I846="Vence hoje","Olá, "&amp;$A846&amp;"! Lembrete: '"&amp;$B846&amp;"' vence hoje, no valor de R$ "&amp;FIXED($L846,2)&amp;". Obrigado!",""))</f>
        <v>0</v>
      </c>
    </row>
    <row r="847" spans="1:15">
      <c r="A847" s="13"/>
      <c r="B847" s="13"/>
      <c r="C847" s="17"/>
      <c r="D847" s="17"/>
      <c r="E847" s="18"/>
      <c r="F847" s="17"/>
      <c r="G847" s="18"/>
      <c r="H847" s="13"/>
      <c r="I847" s="19">
        <f>IF($E847="","",IF($L847&lt;=0.005,"Pago",IF($D847="","Sem vencimento",IF($D847&lt;Hoje,IF(N($G847)&gt;0,"Vencido (parcial)","Vencido"),IF($D847=Hoje,"Vence hoje","A vencer")))))</f>
        <v>0</v>
      </c>
      <c r="J847" s="20">
        <f>IF(OR($E847="",$D847=""),"",IF(AND($L847&gt;0.005,$D847&lt;Hoje),Hoje-$D847,0))</f>
        <v>0</v>
      </c>
      <c r="K847" s="20">
        <f>IF($J847="","",IF($L847&lt;=0.005,"Pago",IF($J847&lt;=0,"A vencer",IF($J847&lt;=15,"1-15 dias",IF($J847&lt;=30,"16-30 dias",IF($J847&lt;=60,"31-60 dias","Mais de 60 dias"))))))</f>
        <v>0</v>
      </c>
      <c r="L847" s="21">
        <f>IF($E847="","",MAX(0,$E847-N($G847)))</f>
        <v>0</v>
      </c>
      <c r="M847" s="21">
        <f>IF(OR($L847="",$J847=""),"",IF($J847&gt;0,ROUND($L847*Multa+$L847*Juros/30*$J847,2),0))</f>
        <v>0</v>
      </c>
      <c r="N847" s="22">
        <f>IF($L847="","",IF($L847&lt;=0.005,0,$L847+N($M847)))</f>
        <v>0</v>
      </c>
      <c r="O847" s="23">
        <f>IF(OR($I847="Vencido",$I847="Vencido (parcial)"),"Olá, "&amp;$A847&amp;"! Consta em aberto '"&amp;$B847&amp;"' com vencimento em "&amp;DAY($D847)&amp;"/"&amp;MONTH($D847)&amp;"/"&amp;YEAR($D847)&amp;", no valor de R$ "&amp;FIXED($N847,2)&amp;" (com multa e juros). Podemos ajudar a regularizar hoje? Obrigado!",IF($I847="Vence hoje","Olá, "&amp;$A847&amp;"! Lembrete: '"&amp;$B847&amp;"' vence hoje, no valor de R$ "&amp;FIXED($L847,2)&amp;". Obrigado!",""))</f>
        <v>0</v>
      </c>
    </row>
    <row r="848" spans="1:15">
      <c r="A848" s="13"/>
      <c r="B848" s="13"/>
      <c r="C848" s="17"/>
      <c r="D848" s="17"/>
      <c r="E848" s="18"/>
      <c r="F848" s="17"/>
      <c r="G848" s="18"/>
      <c r="H848" s="13"/>
      <c r="I848" s="19">
        <f>IF($E848="","",IF($L848&lt;=0.005,"Pago",IF($D848="","Sem vencimento",IF($D848&lt;Hoje,IF(N($G848)&gt;0,"Vencido (parcial)","Vencido"),IF($D848=Hoje,"Vence hoje","A vencer")))))</f>
        <v>0</v>
      </c>
      <c r="J848" s="20">
        <f>IF(OR($E848="",$D848=""),"",IF(AND($L848&gt;0.005,$D848&lt;Hoje),Hoje-$D848,0))</f>
        <v>0</v>
      </c>
      <c r="K848" s="20">
        <f>IF($J848="","",IF($L848&lt;=0.005,"Pago",IF($J848&lt;=0,"A vencer",IF($J848&lt;=15,"1-15 dias",IF($J848&lt;=30,"16-30 dias",IF($J848&lt;=60,"31-60 dias","Mais de 60 dias"))))))</f>
        <v>0</v>
      </c>
      <c r="L848" s="21">
        <f>IF($E848="","",MAX(0,$E848-N($G848)))</f>
        <v>0</v>
      </c>
      <c r="M848" s="21">
        <f>IF(OR($L848="",$J848=""),"",IF($J848&gt;0,ROUND($L848*Multa+$L848*Juros/30*$J848,2),0))</f>
        <v>0</v>
      </c>
      <c r="N848" s="22">
        <f>IF($L848="","",IF($L848&lt;=0.005,0,$L848+N($M848)))</f>
        <v>0</v>
      </c>
      <c r="O848" s="23">
        <f>IF(OR($I848="Vencido",$I848="Vencido (parcial)"),"Olá, "&amp;$A848&amp;"! Consta em aberto '"&amp;$B848&amp;"' com vencimento em "&amp;DAY($D848)&amp;"/"&amp;MONTH($D848)&amp;"/"&amp;YEAR($D848)&amp;", no valor de R$ "&amp;FIXED($N848,2)&amp;" (com multa e juros). Podemos ajudar a regularizar hoje? Obrigado!",IF($I848="Vence hoje","Olá, "&amp;$A848&amp;"! Lembrete: '"&amp;$B848&amp;"' vence hoje, no valor de R$ "&amp;FIXED($L848,2)&amp;". Obrigado!",""))</f>
        <v>0</v>
      </c>
    </row>
    <row r="849" spans="1:15">
      <c r="A849" s="13"/>
      <c r="B849" s="13"/>
      <c r="C849" s="17"/>
      <c r="D849" s="17"/>
      <c r="E849" s="18"/>
      <c r="F849" s="17"/>
      <c r="G849" s="18"/>
      <c r="H849" s="13"/>
      <c r="I849" s="19">
        <f>IF($E849="","",IF($L849&lt;=0.005,"Pago",IF($D849="","Sem vencimento",IF($D849&lt;Hoje,IF(N($G849)&gt;0,"Vencido (parcial)","Vencido"),IF($D849=Hoje,"Vence hoje","A vencer")))))</f>
        <v>0</v>
      </c>
      <c r="J849" s="20">
        <f>IF(OR($E849="",$D849=""),"",IF(AND($L849&gt;0.005,$D849&lt;Hoje),Hoje-$D849,0))</f>
        <v>0</v>
      </c>
      <c r="K849" s="20">
        <f>IF($J849="","",IF($L849&lt;=0.005,"Pago",IF($J849&lt;=0,"A vencer",IF($J849&lt;=15,"1-15 dias",IF($J849&lt;=30,"16-30 dias",IF($J849&lt;=60,"31-60 dias","Mais de 60 dias"))))))</f>
        <v>0</v>
      </c>
      <c r="L849" s="21">
        <f>IF($E849="","",MAX(0,$E849-N($G849)))</f>
        <v>0</v>
      </c>
      <c r="M849" s="21">
        <f>IF(OR($L849="",$J849=""),"",IF($J849&gt;0,ROUND($L849*Multa+$L849*Juros/30*$J849,2),0))</f>
        <v>0</v>
      </c>
      <c r="N849" s="22">
        <f>IF($L849="","",IF($L849&lt;=0.005,0,$L849+N($M849)))</f>
        <v>0</v>
      </c>
      <c r="O849" s="23">
        <f>IF(OR($I849="Vencido",$I849="Vencido (parcial)"),"Olá, "&amp;$A849&amp;"! Consta em aberto '"&amp;$B849&amp;"' com vencimento em "&amp;DAY($D849)&amp;"/"&amp;MONTH($D849)&amp;"/"&amp;YEAR($D849)&amp;", no valor de R$ "&amp;FIXED($N849,2)&amp;" (com multa e juros). Podemos ajudar a regularizar hoje? Obrigado!",IF($I849="Vence hoje","Olá, "&amp;$A849&amp;"! Lembrete: '"&amp;$B849&amp;"' vence hoje, no valor de R$ "&amp;FIXED($L849,2)&amp;". Obrigado!",""))</f>
        <v>0</v>
      </c>
    </row>
    <row r="850" spans="1:15">
      <c r="A850" s="13"/>
      <c r="B850" s="13"/>
      <c r="C850" s="17"/>
      <c r="D850" s="17"/>
      <c r="E850" s="18"/>
      <c r="F850" s="17"/>
      <c r="G850" s="18"/>
      <c r="H850" s="13"/>
      <c r="I850" s="19">
        <f>IF($E850="","",IF($L850&lt;=0.005,"Pago",IF($D850="","Sem vencimento",IF($D850&lt;Hoje,IF(N($G850)&gt;0,"Vencido (parcial)","Vencido"),IF($D850=Hoje,"Vence hoje","A vencer")))))</f>
        <v>0</v>
      </c>
      <c r="J850" s="20">
        <f>IF(OR($E850="",$D850=""),"",IF(AND($L850&gt;0.005,$D850&lt;Hoje),Hoje-$D850,0))</f>
        <v>0</v>
      </c>
      <c r="K850" s="20">
        <f>IF($J850="","",IF($L850&lt;=0.005,"Pago",IF($J850&lt;=0,"A vencer",IF($J850&lt;=15,"1-15 dias",IF($J850&lt;=30,"16-30 dias",IF($J850&lt;=60,"31-60 dias","Mais de 60 dias"))))))</f>
        <v>0</v>
      </c>
      <c r="L850" s="21">
        <f>IF($E850="","",MAX(0,$E850-N($G850)))</f>
        <v>0</v>
      </c>
      <c r="M850" s="21">
        <f>IF(OR($L850="",$J850=""),"",IF($J850&gt;0,ROUND($L850*Multa+$L850*Juros/30*$J850,2),0))</f>
        <v>0</v>
      </c>
      <c r="N850" s="22">
        <f>IF($L850="","",IF($L850&lt;=0.005,0,$L850+N($M850)))</f>
        <v>0</v>
      </c>
      <c r="O850" s="23">
        <f>IF(OR($I850="Vencido",$I850="Vencido (parcial)"),"Olá, "&amp;$A850&amp;"! Consta em aberto '"&amp;$B850&amp;"' com vencimento em "&amp;DAY($D850)&amp;"/"&amp;MONTH($D850)&amp;"/"&amp;YEAR($D850)&amp;", no valor de R$ "&amp;FIXED($N850,2)&amp;" (com multa e juros). Podemos ajudar a regularizar hoje? Obrigado!",IF($I850="Vence hoje","Olá, "&amp;$A850&amp;"! Lembrete: '"&amp;$B850&amp;"' vence hoje, no valor de R$ "&amp;FIXED($L850,2)&amp;". Obrigado!",""))</f>
        <v>0</v>
      </c>
    </row>
    <row r="851" spans="1:15">
      <c r="A851" s="13"/>
      <c r="B851" s="13"/>
      <c r="C851" s="17"/>
      <c r="D851" s="17"/>
      <c r="E851" s="18"/>
      <c r="F851" s="17"/>
      <c r="G851" s="18"/>
      <c r="H851" s="13"/>
      <c r="I851" s="19">
        <f>IF($E851="","",IF($L851&lt;=0.005,"Pago",IF($D851="","Sem vencimento",IF($D851&lt;Hoje,IF(N($G851)&gt;0,"Vencido (parcial)","Vencido"),IF($D851=Hoje,"Vence hoje","A vencer")))))</f>
        <v>0</v>
      </c>
      <c r="J851" s="20">
        <f>IF(OR($E851="",$D851=""),"",IF(AND($L851&gt;0.005,$D851&lt;Hoje),Hoje-$D851,0))</f>
        <v>0</v>
      </c>
      <c r="K851" s="20">
        <f>IF($J851="","",IF($L851&lt;=0.005,"Pago",IF($J851&lt;=0,"A vencer",IF($J851&lt;=15,"1-15 dias",IF($J851&lt;=30,"16-30 dias",IF($J851&lt;=60,"31-60 dias","Mais de 60 dias"))))))</f>
        <v>0</v>
      </c>
      <c r="L851" s="21">
        <f>IF($E851="","",MAX(0,$E851-N($G851)))</f>
        <v>0</v>
      </c>
      <c r="M851" s="21">
        <f>IF(OR($L851="",$J851=""),"",IF($J851&gt;0,ROUND($L851*Multa+$L851*Juros/30*$J851,2),0))</f>
        <v>0</v>
      </c>
      <c r="N851" s="22">
        <f>IF($L851="","",IF($L851&lt;=0.005,0,$L851+N($M851)))</f>
        <v>0</v>
      </c>
      <c r="O851" s="23">
        <f>IF(OR($I851="Vencido",$I851="Vencido (parcial)"),"Olá, "&amp;$A851&amp;"! Consta em aberto '"&amp;$B851&amp;"' com vencimento em "&amp;DAY($D851)&amp;"/"&amp;MONTH($D851)&amp;"/"&amp;YEAR($D851)&amp;", no valor de R$ "&amp;FIXED($N851,2)&amp;" (com multa e juros). Podemos ajudar a regularizar hoje? Obrigado!",IF($I851="Vence hoje","Olá, "&amp;$A851&amp;"! Lembrete: '"&amp;$B851&amp;"' vence hoje, no valor de R$ "&amp;FIXED($L851,2)&amp;". Obrigado!",""))</f>
        <v>0</v>
      </c>
    </row>
    <row r="852" spans="1:15">
      <c r="A852" s="13"/>
      <c r="B852" s="13"/>
      <c r="C852" s="17"/>
      <c r="D852" s="17"/>
      <c r="E852" s="18"/>
      <c r="F852" s="17"/>
      <c r="G852" s="18"/>
      <c r="H852" s="13"/>
      <c r="I852" s="19">
        <f>IF($E852="","",IF($L852&lt;=0.005,"Pago",IF($D852="","Sem vencimento",IF($D852&lt;Hoje,IF(N($G852)&gt;0,"Vencido (parcial)","Vencido"),IF($D852=Hoje,"Vence hoje","A vencer")))))</f>
        <v>0</v>
      </c>
      <c r="J852" s="20">
        <f>IF(OR($E852="",$D852=""),"",IF(AND($L852&gt;0.005,$D852&lt;Hoje),Hoje-$D852,0))</f>
        <v>0</v>
      </c>
      <c r="K852" s="20">
        <f>IF($J852="","",IF($L852&lt;=0.005,"Pago",IF($J852&lt;=0,"A vencer",IF($J852&lt;=15,"1-15 dias",IF($J852&lt;=30,"16-30 dias",IF($J852&lt;=60,"31-60 dias","Mais de 60 dias"))))))</f>
        <v>0</v>
      </c>
      <c r="L852" s="21">
        <f>IF($E852="","",MAX(0,$E852-N($G852)))</f>
        <v>0</v>
      </c>
      <c r="M852" s="21">
        <f>IF(OR($L852="",$J852=""),"",IF($J852&gt;0,ROUND($L852*Multa+$L852*Juros/30*$J852,2),0))</f>
        <v>0</v>
      </c>
      <c r="N852" s="22">
        <f>IF($L852="","",IF($L852&lt;=0.005,0,$L852+N($M852)))</f>
        <v>0</v>
      </c>
      <c r="O852" s="23">
        <f>IF(OR($I852="Vencido",$I852="Vencido (parcial)"),"Olá, "&amp;$A852&amp;"! Consta em aberto '"&amp;$B852&amp;"' com vencimento em "&amp;DAY($D852)&amp;"/"&amp;MONTH($D852)&amp;"/"&amp;YEAR($D852)&amp;", no valor de R$ "&amp;FIXED($N852,2)&amp;" (com multa e juros). Podemos ajudar a regularizar hoje? Obrigado!",IF($I852="Vence hoje","Olá, "&amp;$A852&amp;"! Lembrete: '"&amp;$B852&amp;"' vence hoje, no valor de R$ "&amp;FIXED($L852,2)&amp;". Obrigado!",""))</f>
        <v>0</v>
      </c>
    </row>
    <row r="853" spans="1:15">
      <c r="A853" s="13"/>
      <c r="B853" s="13"/>
      <c r="C853" s="17"/>
      <c r="D853" s="17"/>
      <c r="E853" s="18"/>
      <c r="F853" s="17"/>
      <c r="G853" s="18"/>
      <c r="H853" s="13"/>
      <c r="I853" s="19">
        <f>IF($E853="","",IF($L853&lt;=0.005,"Pago",IF($D853="","Sem vencimento",IF($D853&lt;Hoje,IF(N($G853)&gt;0,"Vencido (parcial)","Vencido"),IF($D853=Hoje,"Vence hoje","A vencer")))))</f>
        <v>0</v>
      </c>
      <c r="J853" s="20">
        <f>IF(OR($E853="",$D853=""),"",IF(AND($L853&gt;0.005,$D853&lt;Hoje),Hoje-$D853,0))</f>
        <v>0</v>
      </c>
      <c r="K853" s="20">
        <f>IF($J853="","",IF($L853&lt;=0.005,"Pago",IF($J853&lt;=0,"A vencer",IF($J853&lt;=15,"1-15 dias",IF($J853&lt;=30,"16-30 dias",IF($J853&lt;=60,"31-60 dias","Mais de 60 dias"))))))</f>
        <v>0</v>
      </c>
      <c r="L853" s="21">
        <f>IF($E853="","",MAX(0,$E853-N($G853)))</f>
        <v>0</v>
      </c>
      <c r="M853" s="21">
        <f>IF(OR($L853="",$J853=""),"",IF($J853&gt;0,ROUND($L853*Multa+$L853*Juros/30*$J853,2),0))</f>
        <v>0</v>
      </c>
      <c r="N853" s="22">
        <f>IF($L853="","",IF($L853&lt;=0.005,0,$L853+N($M853)))</f>
        <v>0</v>
      </c>
      <c r="O853" s="23">
        <f>IF(OR($I853="Vencido",$I853="Vencido (parcial)"),"Olá, "&amp;$A853&amp;"! Consta em aberto '"&amp;$B853&amp;"' com vencimento em "&amp;DAY($D853)&amp;"/"&amp;MONTH($D853)&amp;"/"&amp;YEAR($D853)&amp;", no valor de R$ "&amp;FIXED($N853,2)&amp;" (com multa e juros). Podemos ajudar a regularizar hoje? Obrigado!",IF($I853="Vence hoje","Olá, "&amp;$A853&amp;"! Lembrete: '"&amp;$B853&amp;"' vence hoje, no valor de R$ "&amp;FIXED($L853,2)&amp;". Obrigado!",""))</f>
        <v>0</v>
      </c>
    </row>
    <row r="854" spans="1:15">
      <c r="A854" s="13"/>
      <c r="B854" s="13"/>
      <c r="C854" s="17"/>
      <c r="D854" s="17"/>
      <c r="E854" s="18"/>
      <c r="F854" s="17"/>
      <c r="G854" s="18"/>
      <c r="H854" s="13"/>
      <c r="I854" s="19">
        <f>IF($E854="","",IF($L854&lt;=0.005,"Pago",IF($D854="","Sem vencimento",IF($D854&lt;Hoje,IF(N($G854)&gt;0,"Vencido (parcial)","Vencido"),IF($D854=Hoje,"Vence hoje","A vencer")))))</f>
        <v>0</v>
      </c>
      <c r="J854" s="20">
        <f>IF(OR($E854="",$D854=""),"",IF(AND($L854&gt;0.005,$D854&lt;Hoje),Hoje-$D854,0))</f>
        <v>0</v>
      </c>
      <c r="K854" s="20">
        <f>IF($J854="","",IF($L854&lt;=0.005,"Pago",IF($J854&lt;=0,"A vencer",IF($J854&lt;=15,"1-15 dias",IF($J854&lt;=30,"16-30 dias",IF($J854&lt;=60,"31-60 dias","Mais de 60 dias"))))))</f>
        <v>0</v>
      </c>
      <c r="L854" s="21">
        <f>IF($E854="","",MAX(0,$E854-N($G854)))</f>
        <v>0</v>
      </c>
      <c r="M854" s="21">
        <f>IF(OR($L854="",$J854=""),"",IF($J854&gt;0,ROUND($L854*Multa+$L854*Juros/30*$J854,2),0))</f>
        <v>0</v>
      </c>
      <c r="N854" s="22">
        <f>IF($L854="","",IF($L854&lt;=0.005,0,$L854+N($M854)))</f>
        <v>0</v>
      </c>
      <c r="O854" s="23">
        <f>IF(OR($I854="Vencido",$I854="Vencido (parcial)"),"Olá, "&amp;$A854&amp;"! Consta em aberto '"&amp;$B854&amp;"' com vencimento em "&amp;DAY($D854)&amp;"/"&amp;MONTH($D854)&amp;"/"&amp;YEAR($D854)&amp;", no valor de R$ "&amp;FIXED($N854,2)&amp;" (com multa e juros). Podemos ajudar a regularizar hoje? Obrigado!",IF($I854="Vence hoje","Olá, "&amp;$A854&amp;"! Lembrete: '"&amp;$B854&amp;"' vence hoje, no valor de R$ "&amp;FIXED($L854,2)&amp;". Obrigado!",""))</f>
        <v>0</v>
      </c>
    </row>
    <row r="855" spans="1:15">
      <c r="A855" s="13"/>
      <c r="B855" s="13"/>
      <c r="C855" s="17"/>
      <c r="D855" s="17"/>
      <c r="E855" s="18"/>
      <c r="F855" s="17"/>
      <c r="G855" s="18"/>
      <c r="H855" s="13"/>
      <c r="I855" s="19">
        <f>IF($E855="","",IF($L855&lt;=0.005,"Pago",IF($D855="","Sem vencimento",IF($D855&lt;Hoje,IF(N($G855)&gt;0,"Vencido (parcial)","Vencido"),IF($D855=Hoje,"Vence hoje","A vencer")))))</f>
        <v>0</v>
      </c>
      <c r="J855" s="20">
        <f>IF(OR($E855="",$D855=""),"",IF(AND($L855&gt;0.005,$D855&lt;Hoje),Hoje-$D855,0))</f>
        <v>0</v>
      </c>
      <c r="K855" s="20">
        <f>IF($J855="","",IF($L855&lt;=0.005,"Pago",IF($J855&lt;=0,"A vencer",IF($J855&lt;=15,"1-15 dias",IF($J855&lt;=30,"16-30 dias",IF($J855&lt;=60,"31-60 dias","Mais de 60 dias"))))))</f>
        <v>0</v>
      </c>
      <c r="L855" s="21">
        <f>IF($E855="","",MAX(0,$E855-N($G855)))</f>
        <v>0</v>
      </c>
      <c r="M855" s="21">
        <f>IF(OR($L855="",$J855=""),"",IF($J855&gt;0,ROUND($L855*Multa+$L855*Juros/30*$J855,2),0))</f>
        <v>0</v>
      </c>
      <c r="N855" s="22">
        <f>IF($L855="","",IF($L855&lt;=0.005,0,$L855+N($M855)))</f>
        <v>0</v>
      </c>
      <c r="O855" s="23">
        <f>IF(OR($I855="Vencido",$I855="Vencido (parcial)"),"Olá, "&amp;$A855&amp;"! Consta em aberto '"&amp;$B855&amp;"' com vencimento em "&amp;DAY($D855)&amp;"/"&amp;MONTH($D855)&amp;"/"&amp;YEAR($D855)&amp;", no valor de R$ "&amp;FIXED($N855,2)&amp;" (com multa e juros). Podemos ajudar a regularizar hoje? Obrigado!",IF($I855="Vence hoje","Olá, "&amp;$A855&amp;"! Lembrete: '"&amp;$B855&amp;"' vence hoje, no valor de R$ "&amp;FIXED($L855,2)&amp;". Obrigado!",""))</f>
        <v>0</v>
      </c>
    </row>
    <row r="856" spans="1:15">
      <c r="A856" s="13"/>
      <c r="B856" s="13"/>
      <c r="C856" s="17"/>
      <c r="D856" s="17"/>
      <c r="E856" s="18"/>
      <c r="F856" s="17"/>
      <c r="G856" s="18"/>
      <c r="H856" s="13"/>
      <c r="I856" s="19">
        <f>IF($E856="","",IF($L856&lt;=0.005,"Pago",IF($D856="","Sem vencimento",IF($D856&lt;Hoje,IF(N($G856)&gt;0,"Vencido (parcial)","Vencido"),IF($D856=Hoje,"Vence hoje","A vencer")))))</f>
        <v>0</v>
      </c>
      <c r="J856" s="20">
        <f>IF(OR($E856="",$D856=""),"",IF(AND($L856&gt;0.005,$D856&lt;Hoje),Hoje-$D856,0))</f>
        <v>0</v>
      </c>
      <c r="K856" s="20">
        <f>IF($J856="","",IF($L856&lt;=0.005,"Pago",IF($J856&lt;=0,"A vencer",IF($J856&lt;=15,"1-15 dias",IF($J856&lt;=30,"16-30 dias",IF($J856&lt;=60,"31-60 dias","Mais de 60 dias"))))))</f>
        <v>0</v>
      </c>
      <c r="L856" s="21">
        <f>IF($E856="","",MAX(0,$E856-N($G856)))</f>
        <v>0</v>
      </c>
      <c r="M856" s="21">
        <f>IF(OR($L856="",$J856=""),"",IF($J856&gt;0,ROUND($L856*Multa+$L856*Juros/30*$J856,2),0))</f>
        <v>0</v>
      </c>
      <c r="N856" s="22">
        <f>IF($L856="","",IF($L856&lt;=0.005,0,$L856+N($M856)))</f>
        <v>0</v>
      </c>
      <c r="O856" s="23">
        <f>IF(OR($I856="Vencido",$I856="Vencido (parcial)"),"Olá, "&amp;$A856&amp;"! Consta em aberto '"&amp;$B856&amp;"' com vencimento em "&amp;DAY($D856)&amp;"/"&amp;MONTH($D856)&amp;"/"&amp;YEAR($D856)&amp;", no valor de R$ "&amp;FIXED($N856,2)&amp;" (com multa e juros). Podemos ajudar a regularizar hoje? Obrigado!",IF($I856="Vence hoje","Olá, "&amp;$A856&amp;"! Lembrete: '"&amp;$B856&amp;"' vence hoje, no valor de R$ "&amp;FIXED($L856,2)&amp;". Obrigado!",""))</f>
        <v>0</v>
      </c>
    </row>
    <row r="857" spans="1:15">
      <c r="A857" s="13"/>
      <c r="B857" s="13"/>
      <c r="C857" s="17"/>
      <c r="D857" s="17"/>
      <c r="E857" s="18"/>
      <c r="F857" s="17"/>
      <c r="G857" s="18"/>
      <c r="H857" s="13"/>
      <c r="I857" s="19">
        <f>IF($E857="","",IF($L857&lt;=0.005,"Pago",IF($D857="","Sem vencimento",IF($D857&lt;Hoje,IF(N($G857)&gt;0,"Vencido (parcial)","Vencido"),IF($D857=Hoje,"Vence hoje","A vencer")))))</f>
        <v>0</v>
      </c>
      <c r="J857" s="20">
        <f>IF(OR($E857="",$D857=""),"",IF(AND($L857&gt;0.005,$D857&lt;Hoje),Hoje-$D857,0))</f>
        <v>0</v>
      </c>
      <c r="K857" s="20">
        <f>IF($J857="","",IF($L857&lt;=0.005,"Pago",IF($J857&lt;=0,"A vencer",IF($J857&lt;=15,"1-15 dias",IF($J857&lt;=30,"16-30 dias",IF($J857&lt;=60,"31-60 dias","Mais de 60 dias"))))))</f>
        <v>0</v>
      </c>
      <c r="L857" s="21">
        <f>IF($E857="","",MAX(0,$E857-N($G857)))</f>
        <v>0</v>
      </c>
      <c r="M857" s="21">
        <f>IF(OR($L857="",$J857=""),"",IF($J857&gt;0,ROUND($L857*Multa+$L857*Juros/30*$J857,2),0))</f>
        <v>0</v>
      </c>
      <c r="N857" s="22">
        <f>IF($L857="","",IF($L857&lt;=0.005,0,$L857+N($M857)))</f>
        <v>0</v>
      </c>
      <c r="O857" s="23">
        <f>IF(OR($I857="Vencido",$I857="Vencido (parcial)"),"Olá, "&amp;$A857&amp;"! Consta em aberto '"&amp;$B857&amp;"' com vencimento em "&amp;DAY($D857)&amp;"/"&amp;MONTH($D857)&amp;"/"&amp;YEAR($D857)&amp;", no valor de R$ "&amp;FIXED($N857,2)&amp;" (com multa e juros). Podemos ajudar a regularizar hoje? Obrigado!",IF($I857="Vence hoje","Olá, "&amp;$A857&amp;"! Lembrete: '"&amp;$B857&amp;"' vence hoje, no valor de R$ "&amp;FIXED($L857,2)&amp;". Obrigado!",""))</f>
        <v>0</v>
      </c>
    </row>
    <row r="858" spans="1:15">
      <c r="A858" s="13"/>
      <c r="B858" s="13"/>
      <c r="C858" s="17"/>
      <c r="D858" s="17"/>
      <c r="E858" s="18"/>
      <c r="F858" s="17"/>
      <c r="G858" s="18"/>
      <c r="H858" s="13"/>
      <c r="I858" s="19">
        <f>IF($E858="","",IF($L858&lt;=0.005,"Pago",IF($D858="","Sem vencimento",IF($D858&lt;Hoje,IF(N($G858)&gt;0,"Vencido (parcial)","Vencido"),IF($D858=Hoje,"Vence hoje","A vencer")))))</f>
        <v>0</v>
      </c>
      <c r="J858" s="20">
        <f>IF(OR($E858="",$D858=""),"",IF(AND($L858&gt;0.005,$D858&lt;Hoje),Hoje-$D858,0))</f>
        <v>0</v>
      </c>
      <c r="K858" s="20">
        <f>IF($J858="","",IF($L858&lt;=0.005,"Pago",IF($J858&lt;=0,"A vencer",IF($J858&lt;=15,"1-15 dias",IF($J858&lt;=30,"16-30 dias",IF($J858&lt;=60,"31-60 dias","Mais de 60 dias"))))))</f>
        <v>0</v>
      </c>
      <c r="L858" s="21">
        <f>IF($E858="","",MAX(0,$E858-N($G858)))</f>
        <v>0</v>
      </c>
      <c r="M858" s="21">
        <f>IF(OR($L858="",$J858=""),"",IF($J858&gt;0,ROUND($L858*Multa+$L858*Juros/30*$J858,2),0))</f>
        <v>0</v>
      </c>
      <c r="N858" s="22">
        <f>IF($L858="","",IF($L858&lt;=0.005,0,$L858+N($M858)))</f>
        <v>0</v>
      </c>
      <c r="O858" s="23">
        <f>IF(OR($I858="Vencido",$I858="Vencido (parcial)"),"Olá, "&amp;$A858&amp;"! Consta em aberto '"&amp;$B858&amp;"' com vencimento em "&amp;DAY($D858)&amp;"/"&amp;MONTH($D858)&amp;"/"&amp;YEAR($D858)&amp;", no valor de R$ "&amp;FIXED($N858,2)&amp;" (com multa e juros). Podemos ajudar a regularizar hoje? Obrigado!",IF($I858="Vence hoje","Olá, "&amp;$A858&amp;"! Lembrete: '"&amp;$B858&amp;"' vence hoje, no valor de R$ "&amp;FIXED($L858,2)&amp;". Obrigado!",""))</f>
        <v>0</v>
      </c>
    </row>
    <row r="859" spans="1:15">
      <c r="A859" s="13"/>
      <c r="B859" s="13"/>
      <c r="C859" s="17"/>
      <c r="D859" s="17"/>
      <c r="E859" s="18"/>
      <c r="F859" s="17"/>
      <c r="G859" s="18"/>
      <c r="H859" s="13"/>
      <c r="I859" s="19">
        <f>IF($E859="","",IF($L859&lt;=0.005,"Pago",IF($D859="","Sem vencimento",IF($D859&lt;Hoje,IF(N($G859)&gt;0,"Vencido (parcial)","Vencido"),IF($D859=Hoje,"Vence hoje","A vencer")))))</f>
        <v>0</v>
      </c>
      <c r="J859" s="20">
        <f>IF(OR($E859="",$D859=""),"",IF(AND($L859&gt;0.005,$D859&lt;Hoje),Hoje-$D859,0))</f>
        <v>0</v>
      </c>
      <c r="K859" s="20">
        <f>IF($J859="","",IF($L859&lt;=0.005,"Pago",IF($J859&lt;=0,"A vencer",IF($J859&lt;=15,"1-15 dias",IF($J859&lt;=30,"16-30 dias",IF($J859&lt;=60,"31-60 dias","Mais de 60 dias"))))))</f>
        <v>0</v>
      </c>
      <c r="L859" s="21">
        <f>IF($E859="","",MAX(0,$E859-N($G859)))</f>
        <v>0</v>
      </c>
      <c r="M859" s="21">
        <f>IF(OR($L859="",$J859=""),"",IF($J859&gt;0,ROUND($L859*Multa+$L859*Juros/30*$J859,2),0))</f>
        <v>0</v>
      </c>
      <c r="N859" s="22">
        <f>IF($L859="","",IF($L859&lt;=0.005,0,$L859+N($M859)))</f>
        <v>0</v>
      </c>
      <c r="O859" s="23">
        <f>IF(OR($I859="Vencido",$I859="Vencido (parcial)"),"Olá, "&amp;$A859&amp;"! Consta em aberto '"&amp;$B859&amp;"' com vencimento em "&amp;DAY($D859)&amp;"/"&amp;MONTH($D859)&amp;"/"&amp;YEAR($D859)&amp;", no valor de R$ "&amp;FIXED($N859,2)&amp;" (com multa e juros). Podemos ajudar a regularizar hoje? Obrigado!",IF($I859="Vence hoje","Olá, "&amp;$A859&amp;"! Lembrete: '"&amp;$B859&amp;"' vence hoje, no valor de R$ "&amp;FIXED($L859,2)&amp;". Obrigado!",""))</f>
        <v>0</v>
      </c>
    </row>
    <row r="860" spans="1:15">
      <c r="A860" s="13"/>
      <c r="B860" s="13"/>
      <c r="C860" s="17"/>
      <c r="D860" s="17"/>
      <c r="E860" s="18"/>
      <c r="F860" s="17"/>
      <c r="G860" s="18"/>
      <c r="H860" s="13"/>
      <c r="I860" s="19">
        <f>IF($E860="","",IF($L860&lt;=0.005,"Pago",IF($D860="","Sem vencimento",IF($D860&lt;Hoje,IF(N($G860)&gt;0,"Vencido (parcial)","Vencido"),IF($D860=Hoje,"Vence hoje","A vencer")))))</f>
        <v>0</v>
      </c>
      <c r="J860" s="20">
        <f>IF(OR($E860="",$D860=""),"",IF(AND($L860&gt;0.005,$D860&lt;Hoje),Hoje-$D860,0))</f>
        <v>0</v>
      </c>
      <c r="K860" s="20">
        <f>IF($J860="","",IF($L860&lt;=0.005,"Pago",IF($J860&lt;=0,"A vencer",IF($J860&lt;=15,"1-15 dias",IF($J860&lt;=30,"16-30 dias",IF($J860&lt;=60,"31-60 dias","Mais de 60 dias"))))))</f>
        <v>0</v>
      </c>
      <c r="L860" s="21">
        <f>IF($E860="","",MAX(0,$E860-N($G860)))</f>
        <v>0</v>
      </c>
      <c r="M860" s="21">
        <f>IF(OR($L860="",$J860=""),"",IF($J860&gt;0,ROUND($L860*Multa+$L860*Juros/30*$J860,2),0))</f>
        <v>0</v>
      </c>
      <c r="N860" s="22">
        <f>IF($L860="","",IF($L860&lt;=0.005,0,$L860+N($M860)))</f>
        <v>0</v>
      </c>
      <c r="O860" s="23">
        <f>IF(OR($I860="Vencido",$I860="Vencido (parcial)"),"Olá, "&amp;$A860&amp;"! Consta em aberto '"&amp;$B860&amp;"' com vencimento em "&amp;DAY($D860)&amp;"/"&amp;MONTH($D860)&amp;"/"&amp;YEAR($D860)&amp;", no valor de R$ "&amp;FIXED($N860,2)&amp;" (com multa e juros). Podemos ajudar a regularizar hoje? Obrigado!",IF($I860="Vence hoje","Olá, "&amp;$A860&amp;"! Lembrete: '"&amp;$B860&amp;"' vence hoje, no valor de R$ "&amp;FIXED($L860,2)&amp;". Obrigado!",""))</f>
        <v>0</v>
      </c>
    </row>
    <row r="861" spans="1:15">
      <c r="A861" s="13"/>
      <c r="B861" s="13"/>
      <c r="C861" s="17"/>
      <c r="D861" s="17"/>
      <c r="E861" s="18"/>
      <c r="F861" s="17"/>
      <c r="G861" s="18"/>
      <c r="H861" s="13"/>
      <c r="I861" s="19">
        <f>IF($E861="","",IF($L861&lt;=0.005,"Pago",IF($D861="","Sem vencimento",IF($D861&lt;Hoje,IF(N($G861)&gt;0,"Vencido (parcial)","Vencido"),IF($D861=Hoje,"Vence hoje","A vencer")))))</f>
        <v>0</v>
      </c>
      <c r="J861" s="20">
        <f>IF(OR($E861="",$D861=""),"",IF(AND($L861&gt;0.005,$D861&lt;Hoje),Hoje-$D861,0))</f>
        <v>0</v>
      </c>
      <c r="K861" s="20">
        <f>IF($J861="","",IF($L861&lt;=0.005,"Pago",IF($J861&lt;=0,"A vencer",IF($J861&lt;=15,"1-15 dias",IF($J861&lt;=30,"16-30 dias",IF($J861&lt;=60,"31-60 dias","Mais de 60 dias"))))))</f>
        <v>0</v>
      </c>
      <c r="L861" s="21">
        <f>IF($E861="","",MAX(0,$E861-N($G861)))</f>
        <v>0</v>
      </c>
      <c r="M861" s="21">
        <f>IF(OR($L861="",$J861=""),"",IF($J861&gt;0,ROUND($L861*Multa+$L861*Juros/30*$J861,2),0))</f>
        <v>0</v>
      </c>
      <c r="N861" s="22">
        <f>IF($L861="","",IF($L861&lt;=0.005,0,$L861+N($M861)))</f>
        <v>0</v>
      </c>
      <c r="O861" s="23">
        <f>IF(OR($I861="Vencido",$I861="Vencido (parcial)"),"Olá, "&amp;$A861&amp;"! Consta em aberto '"&amp;$B861&amp;"' com vencimento em "&amp;DAY($D861)&amp;"/"&amp;MONTH($D861)&amp;"/"&amp;YEAR($D861)&amp;", no valor de R$ "&amp;FIXED($N861,2)&amp;" (com multa e juros). Podemos ajudar a regularizar hoje? Obrigado!",IF($I861="Vence hoje","Olá, "&amp;$A861&amp;"! Lembrete: '"&amp;$B861&amp;"' vence hoje, no valor de R$ "&amp;FIXED($L861,2)&amp;". Obrigado!",""))</f>
        <v>0</v>
      </c>
    </row>
    <row r="862" spans="1:15">
      <c r="A862" s="13"/>
      <c r="B862" s="13"/>
      <c r="C862" s="17"/>
      <c r="D862" s="17"/>
      <c r="E862" s="18"/>
      <c r="F862" s="17"/>
      <c r="G862" s="18"/>
      <c r="H862" s="13"/>
      <c r="I862" s="19">
        <f>IF($E862="","",IF($L862&lt;=0.005,"Pago",IF($D862="","Sem vencimento",IF($D862&lt;Hoje,IF(N($G862)&gt;0,"Vencido (parcial)","Vencido"),IF($D862=Hoje,"Vence hoje","A vencer")))))</f>
        <v>0</v>
      </c>
      <c r="J862" s="20">
        <f>IF(OR($E862="",$D862=""),"",IF(AND($L862&gt;0.005,$D862&lt;Hoje),Hoje-$D862,0))</f>
        <v>0</v>
      </c>
      <c r="K862" s="20">
        <f>IF($J862="","",IF($L862&lt;=0.005,"Pago",IF($J862&lt;=0,"A vencer",IF($J862&lt;=15,"1-15 dias",IF($J862&lt;=30,"16-30 dias",IF($J862&lt;=60,"31-60 dias","Mais de 60 dias"))))))</f>
        <v>0</v>
      </c>
      <c r="L862" s="21">
        <f>IF($E862="","",MAX(0,$E862-N($G862)))</f>
        <v>0</v>
      </c>
      <c r="M862" s="21">
        <f>IF(OR($L862="",$J862=""),"",IF($J862&gt;0,ROUND($L862*Multa+$L862*Juros/30*$J862,2),0))</f>
        <v>0</v>
      </c>
      <c r="N862" s="22">
        <f>IF($L862="","",IF($L862&lt;=0.005,0,$L862+N($M862)))</f>
        <v>0</v>
      </c>
      <c r="O862" s="23">
        <f>IF(OR($I862="Vencido",$I862="Vencido (parcial)"),"Olá, "&amp;$A862&amp;"! Consta em aberto '"&amp;$B862&amp;"' com vencimento em "&amp;DAY($D862)&amp;"/"&amp;MONTH($D862)&amp;"/"&amp;YEAR($D862)&amp;", no valor de R$ "&amp;FIXED($N862,2)&amp;" (com multa e juros). Podemos ajudar a regularizar hoje? Obrigado!",IF($I862="Vence hoje","Olá, "&amp;$A862&amp;"! Lembrete: '"&amp;$B862&amp;"' vence hoje, no valor de R$ "&amp;FIXED($L862,2)&amp;". Obrigado!",""))</f>
        <v>0</v>
      </c>
    </row>
    <row r="863" spans="1:15">
      <c r="A863" s="13"/>
      <c r="B863" s="13"/>
      <c r="C863" s="17"/>
      <c r="D863" s="17"/>
      <c r="E863" s="18"/>
      <c r="F863" s="17"/>
      <c r="G863" s="18"/>
      <c r="H863" s="13"/>
      <c r="I863" s="19">
        <f>IF($E863="","",IF($L863&lt;=0.005,"Pago",IF($D863="","Sem vencimento",IF($D863&lt;Hoje,IF(N($G863)&gt;0,"Vencido (parcial)","Vencido"),IF($D863=Hoje,"Vence hoje","A vencer")))))</f>
        <v>0</v>
      </c>
      <c r="J863" s="20">
        <f>IF(OR($E863="",$D863=""),"",IF(AND($L863&gt;0.005,$D863&lt;Hoje),Hoje-$D863,0))</f>
        <v>0</v>
      </c>
      <c r="K863" s="20">
        <f>IF($J863="","",IF($L863&lt;=0.005,"Pago",IF($J863&lt;=0,"A vencer",IF($J863&lt;=15,"1-15 dias",IF($J863&lt;=30,"16-30 dias",IF($J863&lt;=60,"31-60 dias","Mais de 60 dias"))))))</f>
        <v>0</v>
      </c>
      <c r="L863" s="21">
        <f>IF($E863="","",MAX(0,$E863-N($G863)))</f>
        <v>0</v>
      </c>
      <c r="M863" s="21">
        <f>IF(OR($L863="",$J863=""),"",IF($J863&gt;0,ROUND($L863*Multa+$L863*Juros/30*$J863,2),0))</f>
        <v>0</v>
      </c>
      <c r="N863" s="22">
        <f>IF($L863="","",IF($L863&lt;=0.005,0,$L863+N($M863)))</f>
        <v>0</v>
      </c>
      <c r="O863" s="23">
        <f>IF(OR($I863="Vencido",$I863="Vencido (parcial)"),"Olá, "&amp;$A863&amp;"! Consta em aberto '"&amp;$B863&amp;"' com vencimento em "&amp;DAY($D863)&amp;"/"&amp;MONTH($D863)&amp;"/"&amp;YEAR($D863)&amp;", no valor de R$ "&amp;FIXED($N863,2)&amp;" (com multa e juros). Podemos ajudar a regularizar hoje? Obrigado!",IF($I863="Vence hoje","Olá, "&amp;$A863&amp;"! Lembrete: '"&amp;$B863&amp;"' vence hoje, no valor de R$ "&amp;FIXED($L863,2)&amp;". Obrigado!",""))</f>
        <v>0</v>
      </c>
    </row>
    <row r="864" spans="1:15">
      <c r="A864" s="13"/>
      <c r="B864" s="13"/>
      <c r="C864" s="17"/>
      <c r="D864" s="17"/>
      <c r="E864" s="18"/>
      <c r="F864" s="17"/>
      <c r="G864" s="18"/>
      <c r="H864" s="13"/>
      <c r="I864" s="19">
        <f>IF($E864="","",IF($L864&lt;=0.005,"Pago",IF($D864="","Sem vencimento",IF($D864&lt;Hoje,IF(N($G864)&gt;0,"Vencido (parcial)","Vencido"),IF($D864=Hoje,"Vence hoje","A vencer")))))</f>
        <v>0</v>
      </c>
      <c r="J864" s="20">
        <f>IF(OR($E864="",$D864=""),"",IF(AND($L864&gt;0.005,$D864&lt;Hoje),Hoje-$D864,0))</f>
        <v>0</v>
      </c>
      <c r="K864" s="20">
        <f>IF($J864="","",IF($L864&lt;=0.005,"Pago",IF($J864&lt;=0,"A vencer",IF($J864&lt;=15,"1-15 dias",IF($J864&lt;=30,"16-30 dias",IF($J864&lt;=60,"31-60 dias","Mais de 60 dias"))))))</f>
        <v>0</v>
      </c>
      <c r="L864" s="21">
        <f>IF($E864="","",MAX(0,$E864-N($G864)))</f>
        <v>0</v>
      </c>
      <c r="M864" s="21">
        <f>IF(OR($L864="",$J864=""),"",IF($J864&gt;0,ROUND($L864*Multa+$L864*Juros/30*$J864,2),0))</f>
        <v>0</v>
      </c>
      <c r="N864" s="22">
        <f>IF($L864="","",IF($L864&lt;=0.005,0,$L864+N($M864)))</f>
        <v>0</v>
      </c>
      <c r="O864" s="23">
        <f>IF(OR($I864="Vencido",$I864="Vencido (parcial)"),"Olá, "&amp;$A864&amp;"! Consta em aberto '"&amp;$B864&amp;"' com vencimento em "&amp;DAY($D864)&amp;"/"&amp;MONTH($D864)&amp;"/"&amp;YEAR($D864)&amp;", no valor de R$ "&amp;FIXED($N864,2)&amp;" (com multa e juros). Podemos ajudar a regularizar hoje? Obrigado!",IF($I864="Vence hoje","Olá, "&amp;$A864&amp;"! Lembrete: '"&amp;$B864&amp;"' vence hoje, no valor de R$ "&amp;FIXED($L864,2)&amp;". Obrigado!",""))</f>
        <v>0</v>
      </c>
    </row>
    <row r="865" spans="1:15">
      <c r="A865" s="13"/>
      <c r="B865" s="13"/>
      <c r="C865" s="17"/>
      <c r="D865" s="17"/>
      <c r="E865" s="18"/>
      <c r="F865" s="17"/>
      <c r="G865" s="18"/>
      <c r="H865" s="13"/>
      <c r="I865" s="19">
        <f>IF($E865="","",IF($L865&lt;=0.005,"Pago",IF($D865="","Sem vencimento",IF($D865&lt;Hoje,IF(N($G865)&gt;0,"Vencido (parcial)","Vencido"),IF($D865=Hoje,"Vence hoje","A vencer")))))</f>
        <v>0</v>
      </c>
      <c r="J865" s="20">
        <f>IF(OR($E865="",$D865=""),"",IF(AND($L865&gt;0.005,$D865&lt;Hoje),Hoje-$D865,0))</f>
        <v>0</v>
      </c>
      <c r="K865" s="20">
        <f>IF($J865="","",IF($L865&lt;=0.005,"Pago",IF($J865&lt;=0,"A vencer",IF($J865&lt;=15,"1-15 dias",IF($J865&lt;=30,"16-30 dias",IF($J865&lt;=60,"31-60 dias","Mais de 60 dias"))))))</f>
        <v>0</v>
      </c>
      <c r="L865" s="21">
        <f>IF($E865="","",MAX(0,$E865-N($G865)))</f>
        <v>0</v>
      </c>
      <c r="M865" s="21">
        <f>IF(OR($L865="",$J865=""),"",IF($J865&gt;0,ROUND($L865*Multa+$L865*Juros/30*$J865,2),0))</f>
        <v>0</v>
      </c>
      <c r="N865" s="22">
        <f>IF($L865="","",IF($L865&lt;=0.005,0,$L865+N($M865)))</f>
        <v>0</v>
      </c>
      <c r="O865" s="23">
        <f>IF(OR($I865="Vencido",$I865="Vencido (parcial)"),"Olá, "&amp;$A865&amp;"! Consta em aberto '"&amp;$B865&amp;"' com vencimento em "&amp;DAY($D865)&amp;"/"&amp;MONTH($D865)&amp;"/"&amp;YEAR($D865)&amp;", no valor de R$ "&amp;FIXED($N865,2)&amp;" (com multa e juros). Podemos ajudar a regularizar hoje? Obrigado!",IF($I865="Vence hoje","Olá, "&amp;$A865&amp;"! Lembrete: '"&amp;$B865&amp;"' vence hoje, no valor de R$ "&amp;FIXED($L865,2)&amp;". Obrigado!",""))</f>
        <v>0</v>
      </c>
    </row>
    <row r="866" spans="1:15">
      <c r="A866" s="13"/>
      <c r="B866" s="13"/>
      <c r="C866" s="17"/>
      <c r="D866" s="17"/>
      <c r="E866" s="18"/>
      <c r="F866" s="17"/>
      <c r="G866" s="18"/>
      <c r="H866" s="13"/>
      <c r="I866" s="19">
        <f>IF($E866="","",IF($L866&lt;=0.005,"Pago",IF($D866="","Sem vencimento",IF($D866&lt;Hoje,IF(N($G866)&gt;0,"Vencido (parcial)","Vencido"),IF($D866=Hoje,"Vence hoje","A vencer")))))</f>
        <v>0</v>
      </c>
      <c r="J866" s="20">
        <f>IF(OR($E866="",$D866=""),"",IF(AND($L866&gt;0.005,$D866&lt;Hoje),Hoje-$D866,0))</f>
        <v>0</v>
      </c>
      <c r="K866" s="20">
        <f>IF($J866="","",IF($L866&lt;=0.005,"Pago",IF($J866&lt;=0,"A vencer",IF($J866&lt;=15,"1-15 dias",IF($J866&lt;=30,"16-30 dias",IF($J866&lt;=60,"31-60 dias","Mais de 60 dias"))))))</f>
        <v>0</v>
      </c>
      <c r="L866" s="21">
        <f>IF($E866="","",MAX(0,$E866-N($G866)))</f>
        <v>0</v>
      </c>
      <c r="M866" s="21">
        <f>IF(OR($L866="",$J866=""),"",IF($J866&gt;0,ROUND($L866*Multa+$L866*Juros/30*$J866,2),0))</f>
        <v>0</v>
      </c>
      <c r="N866" s="22">
        <f>IF($L866="","",IF($L866&lt;=0.005,0,$L866+N($M866)))</f>
        <v>0</v>
      </c>
      <c r="O866" s="23">
        <f>IF(OR($I866="Vencido",$I866="Vencido (parcial)"),"Olá, "&amp;$A866&amp;"! Consta em aberto '"&amp;$B866&amp;"' com vencimento em "&amp;DAY($D866)&amp;"/"&amp;MONTH($D866)&amp;"/"&amp;YEAR($D866)&amp;", no valor de R$ "&amp;FIXED($N866,2)&amp;" (com multa e juros). Podemos ajudar a regularizar hoje? Obrigado!",IF($I866="Vence hoje","Olá, "&amp;$A866&amp;"! Lembrete: '"&amp;$B866&amp;"' vence hoje, no valor de R$ "&amp;FIXED($L866,2)&amp;". Obrigado!",""))</f>
        <v>0</v>
      </c>
    </row>
    <row r="867" spans="1:15">
      <c r="A867" s="13"/>
      <c r="B867" s="13"/>
      <c r="C867" s="17"/>
      <c r="D867" s="17"/>
      <c r="E867" s="18"/>
      <c r="F867" s="17"/>
      <c r="G867" s="18"/>
      <c r="H867" s="13"/>
      <c r="I867" s="19">
        <f>IF($E867="","",IF($L867&lt;=0.005,"Pago",IF($D867="","Sem vencimento",IF($D867&lt;Hoje,IF(N($G867)&gt;0,"Vencido (parcial)","Vencido"),IF($D867=Hoje,"Vence hoje","A vencer")))))</f>
        <v>0</v>
      </c>
      <c r="J867" s="20">
        <f>IF(OR($E867="",$D867=""),"",IF(AND($L867&gt;0.005,$D867&lt;Hoje),Hoje-$D867,0))</f>
        <v>0</v>
      </c>
      <c r="K867" s="20">
        <f>IF($J867="","",IF($L867&lt;=0.005,"Pago",IF($J867&lt;=0,"A vencer",IF($J867&lt;=15,"1-15 dias",IF($J867&lt;=30,"16-30 dias",IF($J867&lt;=60,"31-60 dias","Mais de 60 dias"))))))</f>
        <v>0</v>
      </c>
      <c r="L867" s="21">
        <f>IF($E867="","",MAX(0,$E867-N($G867)))</f>
        <v>0</v>
      </c>
      <c r="M867" s="21">
        <f>IF(OR($L867="",$J867=""),"",IF($J867&gt;0,ROUND($L867*Multa+$L867*Juros/30*$J867,2),0))</f>
        <v>0</v>
      </c>
      <c r="N867" s="22">
        <f>IF($L867="","",IF($L867&lt;=0.005,0,$L867+N($M867)))</f>
        <v>0</v>
      </c>
      <c r="O867" s="23">
        <f>IF(OR($I867="Vencido",$I867="Vencido (parcial)"),"Olá, "&amp;$A867&amp;"! Consta em aberto '"&amp;$B867&amp;"' com vencimento em "&amp;DAY($D867)&amp;"/"&amp;MONTH($D867)&amp;"/"&amp;YEAR($D867)&amp;", no valor de R$ "&amp;FIXED($N867,2)&amp;" (com multa e juros). Podemos ajudar a regularizar hoje? Obrigado!",IF($I867="Vence hoje","Olá, "&amp;$A867&amp;"! Lembrete: '"&amp;$B867&amp;"' vence hoje, no valor de R$ "&amp;FIXED($L867,2)&amp;". Obrigado!",""))</f>
        <v>0</v>
      </c>
    </row>
    <row r="868" spans="1:15">
      <c r="A868" s="13"/>
      <c r="B868" s="13"/>
      <c r="C868" s="17"/>
      <c r="D868" s="17"/>
      <c r="E868" s="18"/>
      <c r="F868" s="17"/>
      <c r="G868" s="18"/>
      <c r="H868" s="13"/>
      <c r="I868" s="19">
        <f>IF($E868="","",IF($L868&lt;=0.005,"Pago",IF($D868="","Sem vencimento",IF($D868&lt;Hoje,IF(N($G868)&gt;0,"Vencido (parcial)","Vencido"),IF($D868=Hoje,"Vence hoje","A vencer")))))</f>
        <v>0</v>
      </c>
      <c r="J868" s="20">
        <f>IF(OR($E868="",$D868=""),"",IF(AND($L868&gt;0.005,$D868&lt;Hoje),Hoje-$D868,0))</f>
        <v>0</v>
      </c>
      <c r="K868" s="20">
        <f>IF($J868="","",IF($L868&lt;=0.005,"Pago",IF($J868&lt;=0,"A vencer",IF($J868&lt;=15,"1-15 dias",IF($J868&lt;=30,"16-30 dias",IF($J868&lt;=60,"31-60 dias","Mais de 60 dias"))))))</f>
        <v>0</v>
      </c>
      <c r="L868" s="21">
        <f>IF($E868="","",MAX(0,$E868-N($G868)))</f>
        <v>0</v>
      </c>
      <c r="M868" s="21">
        <f>IF(OR($L868="",$J868=""),"",IF($J868&gt;0,ROUND($L868*Multa+$L868*Juros/30*$J868,2),0))</f>
        <v>0</v>
      </c>
      <c r="N868" s="22">
        <f>IF($L868="","",IF($L868&lt;=0.005,0,$L868+N($M868)))</f>
        <v>0</v>
      </c>
      <c r="O868" s="23">
        <f>IF(OR($I868="Vencido",$I868="Vencido (parcial)"),"Olá, "&amp;$A868&amp;"! Consta em aberto '"&amp;$B868&amp;"' com vencimento em "&amp;DAY($D868)&amp;"/"&amp;MONTH($D868)&amp;"/"&amp;YEAR($D868)&amp;", no valor de R$ "&amp;FIXED($N868,2)&amp;" (com multa e juros). Podemos ajudar a regularizar hoje? Obrigado!",IF($I868="Vence hoje","Olá, "&amp;$A868&amp;"! Lembrete: '"&amp;$B868&amp;"' vence hoje, no valor de R$ "&amp;FIXED($L868,2)&amp;". Obrigado!",""))</f>
        <v>0</v>
      </c>
    </row>
    <row r="869" spans="1:15">
      <c r="A869" s="13"/>
      <c r="B869" s="13"/>
      <c r="C869" s="17"/>
      <c r="D869" s="17"/>
      <c r="E869" s="18"/>
      <c r="F869" s="17"/>
      <c r="G869" s="18"/>
      <c r="H869" s="13"/>
      <c r="I869" s="19">
        <f>IF($E869="","",IF($L869&lt;=0.005,"Pago",IF($D869="","Sem vencimento",IF($D869&lt;Hoje,IF(N($G869)&gt;0,"Vencido (parcial)","Vencido"),IF($D869=Hoje,"Vence hoje","A vencer")))))</f>
        <v>0</v>
      </c>
      <c r="J869" s="20">
        <f>IF(OR($E869="",$D869=""),"",IF(AND($L869&gt;0.005,$D869&lt;Hoje),Hoje-$D869,0))</f>
        <v>0</v>
      </c>
      <c r="K869" s="20">
        <f>IF($J869="","",IF($L869&lt;=0.005,"Pago",IF($J869&lt;=0,"A vencer",IF($J869&lt;=15,"1-15 dias",IF($J869&lt;=30,"16-30 dias",IF($J869&lt;=60,"31-60 dias","Mais de 60 dias"))))))</f>
        <v>0</v>
      </c>
      <c r="L869" s="21">
        <f>IF($E869="","",MAX(0,$E869-N($G869)))</f>
        <v>0</v>
      </c>
      <c r="M869" s="21">
        <f>IF(OR($L869="",$J869=""),"",IF($J869&gt;0,ROUND($L869*Multa+$L869*Juros/30*$J869,2),0))</f>
        <v>0</v>
      </c>
      <c r="N869" s="22">
        <f>IF($L869="","",IF($L869&lt;=0.005,0,$L869+N($M869)))</f>
        <v>0</v>
      </c>
      <c r="O869" s="23">
        <f>IF(OR($I869="Vencido",$I869="Vencido (parcial)"),"Olá, "&amp;$A869&amp;"! Consta em aberto '"&amp;$B869&amp;"' com vencimento em "&amp;DAY($D869)&amp;"/"&amp;MONTH($D869)&amp;"/"&amp;YEAR($D869)&amp;", no valor de R$ "&amp;FIXED($N869,2)&amp;" (com multa e juros). Podemos ajudar a regularizar hoje? Obrigado!",IF($I869="Vence hoje","Olá, "&amp;$A869&amp;"! Lembrete: '"&amp;$B869&amp;"' vence hoje, no valor de R$ "&amp;FIXED($L869,2)&amp;". Obrigado!",""))</f>
        <v>0</v>
      </c>
    </row>
    <row r="870" spans="1:15">
      <c r="A870" s="13"/>
      <c r="B870" s="13"/>
      <c r="C870" s="17"/>
      <c r="D870" s="17"/>
      <c r="E870" s="18"/>
      <c r="F870" s="17"/>
      <c r="G870" s="18"/>
      <c r="H870" s="13"/>
      <c r="I870" s="19">
        <f>IF($E870="","",IF($L870&lt;=0.005,"Pago",IF($D870="","Sem vencimento",IF($D870&lt;Hoje,IF(N($G870)&gt;0,"Vencido (parcial)","Vencido"),IF($D870=Hoje,"Vence hoje","A vencer")))))</f>
        <v>0</v>
      </c>
      <c r="J870" s="20">
        <f>IF(OR($E870="",$D870=""),"",IF(AND($L870&gt;0.005,$D870&lt;Hoje),Hoje-$D870,0))</f>
        <v>0</v>
      </c>
      <c r="K870" s="20">
        <f>IF($J870="","",IF($L870&lt;=0.005,"Pago",IF($J870&lt;=0,"A vencer",IF($J870&lt;=15,"1-15 dias",IF($J870&lt;=30,"16-30 dias",IF($J870&lt;=60,"31-60 dias","Mais de 60 dias"))))))</f>
        <v>0</v>
      </c>
      <c r="L870" s="21">
        <f>IF($E870="","",MAX(0,$E870-N($G870)))</f>
        <v>0</v>
      </c>
      <c r="M870" s="21">
        <f>IF(OR($L870="",$J870=""),"",IF($J870&gt;0,ROUND($L870*Multa+$L870*Juros/30*$J870,2),0))</f>
        <v>0</v>
      </c>
      <c r="N870" s="22">
        <f>IF($L870="","",IF($L870&lt;=0.005,0,$L870+N($M870)))</f>
        <v>0</v>
      </c>
      <c r="O870" s="23">
        <f>IF(OR($I870="Vencido",$I870="Vencido (parcial)"),"Olá, "&amp;$A870&amp;"! Consta em aberto '"&amp;$B870&amp;"' com vencimento em "&amp;DAY($D870)&amp;"/"&amp;MONTH($D870)&amp;"/"&amp;YEAR($D870)&amp;", no valor de R$ "&amp;FIXED($N870,2)&amp;" (com multa e juros). Podemos ajudar a regularizar hoje? Obrigado!",IF($I870="Vence hoje","Olá, "&amp;$A870&amp;"! Lembrete: '"&amp;$B870&amp;"' vence hoje, no valor de R$ "&amp;FIXED($L870,2)&amp;". Obrigado!",""))</f>
        <v>0</v>
      </c>
    </row>
    <row r="871" spans="1:15">
      <c r="A871" s="13"/>
      <c r="B871" s="13"/>
      <c r="C871" s="17"/>
      <c r="D871" s="17"/>
      <c r="E871" s="18"/>
      <c r="F871" s="17"/>
      <c r="G871" s="18"/>
      <c r="H871" s="13"/>
      <c r="I871" s="19">
        <f>IF($E871="","",IF($L871&lt;=0.005,"Pago",IF($D871="","Sem vencimento",IF($D871&lt;Hoje,IF(N($G871)&gt;0,"Vencido (parcial)","Vencido"),IF($D871=Hoje,"Vence hoje","A vencer")))))</f>
        <v>0</v>
      </c>
      <c r="J871" s="20">
        <f>IF(OR($E871="",$D871=""),"",IF(AND($L871&gt;0.005,$D871&lt;Hoje),Hoje-$D871,0))</f>
        <v>0</v>
      </c>
      <c r="K871" s="20">
        <f>IF($J871="","",IF($L871&lt;=0.005,"Pago",IF($J871&lt;=0,"A vencer",IF($J871&lt;=15,"1-15 dias",IF($J871&lt;=30,"16-30 dias",IF($J871&lt;=60,"31-60 dias","Mais de 60 dias"))))))</f>
        <v>0</v>
      </c>
      <c r="L871" s="21">
        <f>IF($E871="","",MAX(0,$E871-N($G871)))</f>
        <v>0</v>
      </c>
      <c r="M871" s="21">
        <f>IF(OR($L871="",$J871=""),"",IF($J871&gt;0,ROUND($L871*Multa+$L871*Juros/30*$J871,2),0))</f>
        <v>0</v>
      </c>
      <c r="N871" s="22">
        <f>IF($L871="","",IF($L871&lt;=0.005,0,$L871+N($M871)))</f>
        <v>0</v>
      </c>
      <c r="O871" s="23">
        <f>IF(OR($I871="Vencido",$I871="Vencido (parcial)"),"Olá, "&amp;$A871&amp;"! Consta em aberto '"&amp;$B871&amp;"' com vencimento em "&amp;DAY($D871)&amp;"/"&amp;MONTH($D871)&amp;"/"&amp;YEAR($D871)&amp;", no valor de R$ "&amp;FIXED($N871,2)&amp;" (com multa e juros). Podemos ajudar a regularizar hoje? Obrigado!",IF($I871="Vence hoje","Olá, "&amp;$A871&amp;"! Lembrete: '"&amp;$B871&amp;"' vence hoje, no valor de R$ "&amp;FIXED($L871,2)&amp;". Obrigado!",""))</f>
        <v>0</v>
      </c>
    </row>
    <row r="872" spans="1:15">
      <c r="A872" s="13"/>
      <c r="B872" s="13"/>
      <c r="C872" s="17"/>
      <c r="D872" s="17"/>
      <c r="E872" s="18"/>
      <c r="F872" s="17"/>
      <c r="G872" s="18"/>
      <c r="H872" s="13"/>
      <c r="I872" s="19">
        <f>IF($E872="","",IF($L872&lt;=0.005,"Pago",IF($D872="","Sem vencimento",IF($D872&lt;Hoje,IF(N($G872)&gt;0,"Vencido (parcial)","Vencido"),IF($D872=Hoje,"Vence hoje","A vencer")))))</f>
        <v>0</v>
      </c>
      <c r="J872" s="20">
        <f>IF(OR($E872="",$D872=""),"",IF(AND($L872&gt;0.005,$D872&lt;Hoje),Hoje-$D872,0))</f>
        <v>0</v>
      </c>
      <c r="K872" s="20">
        <f>IF($J872="","",IF($L872&lt;=0.005,"Pago",IF($J872&lt;=0,"A vencer",IF($J872&lt;=15,"1-15 dias",IF($J872&lt;=30,"16-30 dias",IF($J872&lt;=60,"31-60 dias","Mais de 60 dias"))))))</f>
        <v>0</v>
      </c>
      <c r="L872" s="21">
        <f>IF($E872="","",MAX(0,$E872-N($G872)))</f>
        <v>0</v>
      </c>
      <c r="M872" s="21">
        <f>IF(OR($L872="",$J872=""),"",IF($J872&gt;0,ROUND($L872*Multa+$L872*Juros/30*$J872,2),0))</f>
        <v>0</v>
      </c>
      <c r="N872" s="22">
        <f>IF($L872="","",IF($L872&lt;=0.005,0,$L872+N($M872)))</f>
        <v>0</v>
      </c>
      <c r="O872" s="23">
        <f>IF(OR($I872="Vencido",$I872="Vencido (parcial)"),"Olá, "&amp;$A872&amp;"! Consta em aberto '"&amp;$B872&amp;"' com vencimento em "&amp;DAY($D872)&amp;"/"&amp;MONTH($D872)&amp;"/"&amp;YEAR($D872)&amp;", no valor de R$ "&amp;FIXED($N872,2)&amp;" (com multa e juros). Podemos ajudar a regularizar hoje? Obrigado!",IF($I872="Vence hoje","Olá, "&amp;$A872&amp;"! Lembrete: '"&amp;$B872&amp;"' vence hoje, no valor de R$ "&amp;FIXED($L872,2)&amp;". Obrigado!",""))</f>
        <v>0</v>
      </c>
    </row>
    <row r="873" spans="1:15">
      <c r="A873" s="13"/>
      <c r="B873" s="13"/>
      <c r="C873" s="17"/>
      <c r="D873" s="17"/>
      <c r="E873" s="18"/>
      <c r="F873" s="17"/>
      <c r="G873" s="18"/>
      <c r="H873" s="13"/>
      <c r="I873" s="19">
        <f>IF($E873="","",IF($L873&lt;=0.005,"Pago",IF($D873="","Sem vencimento",IF($D873&lt;Hoje,IF(N($G873)&gt;0,"Vencido (parcial)","Vencido"),IF($D873=Hoje,"Vence hoje","A vencer")))))</f>
        <v>0</v>
      </c>
      <c r="J873" s="20">
        <f>IF(OR($E873="",$D873=""),"",IF(AND($L873&gt;0.005,$D873&lt;Hoje),Hoje-$D873,0))</f>
        <v>0</v>
      </c>
      <c r="K873" s="20">
        <f>IF($J873="","",IF($L873&lt;=0.005,"Pago",IF($J873&lt;=0,"A vencer",IF($J873&lt;=15,"1-15 dias",IF($J873&lt;=30,"16-30 dias",IF($J873&lt;=60,"31-60 dias","Mais de 60 dias"))))))</f>
        <v>0</v>
      </c>
      <c r="L873" s="21">
        <f>IF($E873="","",MAX(0,$E873-N($G873)))</f>
        <v>0</v>
      </c>
      <c r="M873" s="21">
        <f>IF(OR($L873="",$J873=""),"",IF($J873&gt;0,ROUND($L873*Multa+$L873*Juros/30*$J873,2),0))</f>
        <v>0</v>
      </c>
      <c r="N873" s="22">
        <f>IF($L873="","",IF($L873&lt;=0.005,0,$L873+N($M873)))</f>
        <v>0</v>
      </c>
      <c r="O873" s="23">
        <f>IF(OR($I873="Vencido",$I873="Vencido (parcial)"),"Olá, "&amp;$A873&amp;"! Consta em aberto '"&amp;$B873&amp;"' com vencimento em "&amp;DAY($D873)&amp;"/"&amp;MONTH($D873)&amp;"/"&amp;YEAR($D873)&amp;", no valor de R$ "&amp;FIXED($N873,2)&amp;" (com multa e juros). Podemos ajudar a regularizar hoje? Obrigado!",IF($I873="Vence hoje","Olá, "&amp;$A873&amp;"! Lembrete: '"&amp;$B873&amp;"' vence hoje, no valor de R$ "&amp;FIXED($L873,2)&amp;". Obrigado!",""))</f>
        <v>0</v>
      </c>
    </row>
    <row r="874" spans="1:15">
      <c r="A874" s="13"/>
      <c r="B874" s="13"/>
      <c r="C874" s="17"/>
      <c r="D874" s="17"/>
      <c r="E874" s="18"/>
      <c r="F874" s="17"/>
      <c r="G874" s="18"/>
      <c r="H874" s="13"/>
      <c r="I874" s="19">
        <f>IF($E874="","",IF($L874&lt;=0.005,"Pago",IF($D874="","Sem vencimento",IF($D874&lt;Hoje,IF(N($G874)&gt;0,"Vencido (parcial)","Vencido"),IF($D874=Hoje,"Vence hoje","A vencer")))))</f>
        <v>0</v>
      </c>
      <c r="J874" s="20">
        <f>IF(OR($E874="",$D874=""),"",IF(AND($L874&gt;0.005,$D874&lt;Hoje),Hoje-$D874,0))</f>
        <v>0</v>
      </c>
      <c r="K874" s="20">
        <f>IF($J874="","",IF($L874&lt;=0.005,"Pago",IF($J874&lt;=0,"A vencer",IF($J874&lt;=15,"1-15 dias",IF($J874&lt;=30,"16-30 dias",IF($J874&lt;=60,"31-60 dias","Mais de 60 dias"))))))</f>
        <v>0</v>
      </c>
      <c r="L874" s="21">
        <f>IF($E874="","",MAX(0,$E874-N($G874)))</f>
        <v>0</v>
      </c>
      <c r="M874" s="21">
        <f>IF(OR($L874="",$J874=""),"",IF($J874&gt;0,ROUND($L874*Multa+$L874*Juros/30*$J874,2),0))</f>
        <v>0</v>
      </c>
      <c r="N874" s="22">
        <f>IF($L874="","",IF($L874&lt;=0.005,0,$L874+N($M874)))</f>
        <v>0</v>
      </c>
      <c r="O874" s="23">
        <f>IF(OR($I874="Vencido",$I874="Vencido (parcial)"),"Olá, "&amp;$A874&amp;"! Consta em aberto '"&amp;$B874&amp;"' com vencimento em "&amp;DAY($D874)&amp;"/"&amp;MONTH($D874)&amp;"/"&amp;YEAR($D874)&amp;", no valor de R$ "&amp;FIXED($N874,2)&amp;" (com multa e juros). Podemos ajudar a regularizar hoje? Obrigado!",IF($I874="Vence hoje","Olá, "&amp;$A874&amp;"! Lembrete: '"&amp;$B874&amp;"' vence hoje, no valor de R$ "&amp;FIXED($L874,2)&amp;". Obrigado!",""))</f>
        <v>0</v>
      </c>
    </row>
    <row r="875" spans="1:15">
      <c r="A875" s="13"/>
      <c r="B875" s="13"/>
      <c r="C875" s="17"/>
      <c r="D875" s="17"/>
      <c r="E875" s="18"/>
      <c r="F875" s="17"/>
      <c r="G875" s="18"/>
      <c r="H875" s="13"/>
      <c r="I875" s="19">
        <f>IF($E875="","",IF($L875&lt;=0.005,"Pago",IF($D875="","Sem vencimento",IF($D875&lt;Hoje,IF(N($G875)&gt;0,"Vencido (parcial)","Vencido"),IF($D875=Hoje,"Vence hoje","A vencer")))))</f>
        <v>0</v>
      </c>
      <c r="J875" s="20">
        <f>IF(OR($E875="",$D875=""),"",IF(AND($L875&gt;0.005,$D875&lt;Hoje),Hoje-$D875,0))</f>
        <v>0</v>
      </c>
      <c r="K875" s="20">
        <f>IF($J875="","",IF($L875&lt;=0.005,"Pago",IF($J875&lt;=0,"A vencer",IF($J875&lt;=15,"1-15 dias",IF($J875&lt;=30,"16-30 dias",IF($J875&lt;=60,"31-60 dias","Mais de 60 dias"))))))</f>
        <v>0</v>
      </c>
      <c r="L875" s="21">
        <f>IF($E875="","",MAX(0,$E875-N($G875)))</f>
        <v>0</v>
      </c>
      <c r="M875" s="21">
        <f>IF(OR($L875="",$J875=""),"",IF($J875&gt;0,ROUND($L875*Multa+$L875*Juros/30*$J875,2),0))</f>
        <v>0</v>
      </c>
      <c r="N875" s="22">
        <f>IF($L875="","",IF($L875&lt;=0.005,0,$L875+N($M875)))</f>
        <v>0</v>
      </c>
      <c r="O875" s="23">
        <f>IF(OR($I875="Vencido",$I875="Vencido (parcial)"),"Olá, "&amp;$A875&amp;"! Consta em aberto '"&amp;$B875&amp;"' com vencimento em "&amp;DAY($D875)&amp;"/"&amp;MONTH($D875)&amp;"/"&amp;YEAR($D875)&amp;", no valor de R$ "&amp;FIXED($N875,2)&amp;" (com multa e juros). Podemos ajudar a regularizar hoje? Obrigado!",IF($I875="Vence hoje","Olá, "&amp;$A875&amp;"! Lembrete: '"&amp;$B875&amp;"' vence hoje, no valor de R$ "&amp;FIXED($L875,2)&amp;". Obrigado!",""))</f>
        <v>0</v>
      </c>
    </row>
    <row r="876" spans="1:15">
      <c r="A876" s="13"/>
      <c r="B876" s="13"/>
      <c r="C876" s="17"/>
      <c r="D876" s="17"/>
      <c r="E876" s="18"/>
      <c r="F876" s="17"/>
      <c r="G876" s="18"/>
      <c r="H876" s="13"/>
      <c r="I876" s="19">
        <f>IF($E876="","",IF($L876&lt;=0.005,"Pago",IF($D876="","Sem vencimento",IF($D876&lt;Hoje,IF(N($G876)&gt;0,"Vencido (parcial)","Vencido"),IF($D876=Hoje,"Vence hoje","A vencer")))))</f>
        <v>0</v>
      </c>
      <c r="J876" s="20">
        <f>IF(OR($E876="",$D876=""),"",IF(AND($L876&gt;0.005,$D876&lt;Hoje),Hoje-$D876,0))</f>
        <v>0</v>
      </c>
      <c r="K876" s="20">
        <f>IF($J876="","",IF($L876&lt;=0.005,"Pago",IF($J876&lt;=0,"A vencer",IF($J876&lt;=15,"1-15 dias",IF($J876&lt;=30,"16-30 dias",IF($J876&lt;=60,"31-60 dias","Mais de 60 dias"))))))</f>
        <v>0</v>
      </c>
      <c r="L876" s="21">
        <f>IF($E876="","",MAX(0,$E876-N($G876)))</f>
        <v>0</v>
      </c>
      <c r="M876" s="21">
        <f>IF(OR($L876="",$J876=""),"",IF($J876&gt;0,ROUND($L876*Multa+$L876*Juros/30*$J876,2),0))</f>
        <v>0</v>
      </c>
      <c r="N876" s="22">
        <f>IF($L876="","",IF($L876&lt;=0.005,0,$L876+N($M876)))</f>
        <v>0</v>
      </c>
      <c r="O876" s="23">
        <f>IF(OR($I876="Vencido",$I876="Vencido (parcial)"),"Olá, "&amp;$A876&amp;"! Consta em aberto '"&amp;$B876&amp;"' com vencimento em "&amp;DAY($D876)&amp;"/"&amp;MONTH($D876)&amp;"/"&amp;YEAR($D876)&amp;", no valor de R$ "&amp;FIXED($N876,2)&amp;" (com multa e juros). Podemos ajudar a regularizar hoje? Obrigado!",IF($I876="Vence hoje","Olá, "&amp;$A876&amp;"! Lembrete: '"&amp;$B876&amp;"' vence hoje, no valor de R$ "&amp;FIXED($L876,2)&amp;". Obrigado!",""))</f>
        <v>0</v>
      </c>
    </row>
    <row r="877" spans="1:15">
      <c r="A877" s="13"/>
      <c r="B877" s="13"/>
      <c r="C877" s="17"/>
      <c r="D877" s="17"/>
      <c r="E877" s="18"/>
      <c r="F877" s="17"/>
      <c r="G877" s="18"/>
      <c r="H877" s="13"/>
      <c r="I877" s="19">
        <f>IF($E877="","",IF($L877&lt;=0.005,"Pago",IF($D877="","Sem vencimento",IF($D877&lt;Hoje,IF(N($G877)&gt;0,"Vencido (parcial)","Vencido"),IF($D877=Hoje,"Vence hoje","A vencer")))))</f>
        <v>0</v>
      </c>
      <c r="J877" s="20">
        <f>IF(OR($E877="",$D877=""),"",IF(AND($L877&gt;0.005,$D877&lt;Hoje),Hoje-$D877,0))</f>
        <v>0</v>
      </c>
      <c r="K877" s="20">
        <f>IF($J877="","",IF($L877&lt;=0.005,"Pago",IF($J877&lt;=0,"A vencer",IF($J877&lt;=15,"1-15 dias",IF($J877&lt;=30,"16-30 dias",IF($J877&lt;=60,"31-60 dias","Mais de 60 dias"))))))</f>
        <v>0</v>
      </c>
      <c r="L877" s="21">
        <f>IF($E877="","",MAX(0,$E877-N($G877)))</f>
        <v>0</v>
      </c>
      <c r="M877" s="21">
        <f>IF(OR($L877="",$J877=""),"",IF($J877&gt;0,ROUND($L877*Multa+$L877*Juros/30*$J877,2),0))</f>
        <v>0</v>
      </c>
      <c r="N877" s="22">
        <f>IF($L877="","",IF($L877&lt;=0.005,0,$L877+N($M877)))</f>
        <v>0</v>
      </c>
      <c r="O877" s="23">
        <f>IF(OR($I877="Vencido",$I877="Vencido (parcial)"),"Olá, "&amp;$A877&amp;"! Consta em aberto '"&amp;$B877&amp;"' com vencimento em "&amp;DAY($D877)&amp;"/"&amp;MONTH($D877)&amp;"/"&amp;YEAR($D877)&amp;", no valor de R$ "&amp;FIXED($N877,2)&amp;" (com multa e juros). Podemos ajudar a regularizar hoje? Obrigado!",IF($I877="Vence hoje","Olá, "&amp;$A877&amp;"! Lembrete: '"&amp;$B877&amp;"' vence hoje, no valor de R$ "&amp;FIXED($L877,2)&amp;". Obrigado!",""))</f>
        <v>0</v>
      </c>
    </row>
    <row r="878" spans="1:15">
      <c r="A878" s="13"/>
      <c r="B878" s="13"/>
      <c r="C878" s="17"/>
      <c r="D878" s="17"/>
      <c r="E878" s="18"/>
      <c r="F878" s="17"/>
      <c r="G878" s="18"/>
      <c r="H878" s="13"/>
      <c r="I878" s="19">
        <f>IF($E878="","",IF($L878&lt;=0.005,"Pago",IF($D878="","Sem vencimento",IF($D878&lt;Hoje,IF(N($G878)&gt;0,"Vencido (parcial)","Vencido"),IF($D878=Hoje,"Vence hoje","A vencer")))))</f>
        <v>0</v>
      </c>
      <c r="J878" s="20">
        <f>IF(OR($E878="",$D878=""),"",IF(AND($L878&gt;0.005,$D878&lt;Hoje),Hoje-$D878,0))</f>
        <v>0</v>
      </c>
      <c r="K878" s="20">
        <f>IF($J878="","",IF($L878&lt;=0.005,"Pago",IF($J878&lt;=0,"A vencer",IF($J878&lt;=15,"1-15 dias",IF($J878&lt;=30,"16-30 dias",IF($J878&lt;=60,"31-60 dias","Mais de 60 dias"))))))</f>
        <v>0</v>
      </c>
      <c r="L878" s="21">
        <f>IF($E878="","",MAX(0,$E878-N($G878)))</f>
        <v>0</v>
      </c>
      <c r="M878" s="21">
        <f>IF(OR($L878="",$J878=""),"",IF($J878&gt;0,ROUND($L878*Multa+$L878*Juros/30*$J878,2),0))</f>
        <v>0</v>
      </c>
      <c r="N878" s="22">
        <f>IF($L878="","",IF($L878&lt;=0.005,0,$L878+N($M878)))</f>
        <v>0</v>
      </c>
      <c r="O878" s="23">
        <f>IF(OR($I878="Vencido",$I878="Vencido (parcial)"),"Olá, "&amp;$A878&amp;"! Consta em aberto '"&amp;$B878&amp;"' com vencimento em "&amp;DAY($D878)&amp;"/"&amp;MONTH($D878)&amp;"/"&amp;YEAR($D878)&amp;", no valor de R$ "&amp;FIXED($N878,2)&amp;" (com multa e juros). Podemos ajudar a regularizar hoje? Obrigado!",IF($I878="Vence hoje","Olá, "&amp;$A878&amp;"! Lembrete: '"&amp;$B878&amp;"' vence hoje, no valor de R$ "&amp;FIXED($L878,2)&amp;". Obrigado!",""))</f>
        <v>0</v>
      </c>
    </row>
    <row r="879" spans="1:15">
      <c r="A879" s="13"/>
      <c r="B879" s="13"/>
      <c r="C879" s="17"/>
      <c r="D879" s="17"/>
      <c r="E879" s="18"/>
      <c r="F879" s="17"/>
      <c r="G879" s="18"/>
      <c r="H879" s="13"/>
      <c r="I879" s="19">
        <f>IF($E879="","",IF($L879&lt;=0.005,"Pago",IF($D879="","Sem vencimento",IF($D879&lt;Hoje,IF(N($G879)&gt;0,"Vencido (parcial)","Vencido"),IF($D879=Hoje,"Vence hoje","A vencer")))))</f>
        <v>0</v>
      </c>
      <c r="J879" s="20">
        <f>IF(OR($E879="",$D879=""),"",IF(AND($L879&gt;0.005,$D879&lt;Hoje),Hoje-$D879,0))</f>
        <v>0</v>
      </c>
      <c r="K879" s="20">
        <f>IF($J879="","",IF($L879&lt;=0.005,"Pago",IF($J879&lt;=0,"A vencer",IF($J879&lt;=15,"1-15 dias",IF($J879&lt;=30,"16-30 dias",IF($J879&lt;=60,"31-60 dias","Mais de 60 dias"))))))</f>
        <v>0</v>
      </c>
      <c r="L879" s="21">
        <f>IF($E879="","",MAX(0,$E879-N($G879)))</f>
        <v>0</v>
      </c>
      <c r="M879" s="21">
        <f>IF(OR($L879="",$J879=""),"",IF($J879&gt;0,ROUND($L879*Multa+$L879*Juros/30*$J879,2),0))</f>
        <v>0</v>
      </c>
      <c r="N879" s="22">
        <f>IF($L879="","",IF($L879&lt;=0.005,0,$L879+N($M879)))</f>
        <v>0</v>
      </c>
      <c r="O879" s="23">
        <f>IF(OR($I879="Vencido",$I879="Vencido (parcial)"),"Olá, "&amp;$A879&amp;"! Consta em aberto '"&amp;$B879&amp;"' com vencimento em "&amp;DAY($D879)&amp;"/"&amp;MONTH($D879)&amp;"/"&amp;YEAR($D879)&amp;", no valor de R$ "&amp;FIXED($N879,2)&amp;" (com multa e juros). Podemos ajudar a regularizar hoje? Obrigado!",IF($I879="Vence hoje","Olá, "&amp;$A879&amp;"! Lembrete: '"&amp;$B879&amp;"' vence hoje, no valor de R$ "&amp;FIXED($L879,2)&amp;". Obrigado!",""))</f>
        <v>0</v>
      </c>
    </row>
    <row r="880" spans="1:15">
      <c r="A880" s="13"/>
      <c r="B880" s="13"/>
      <c r="C880" s="17"/>
      <c r="D880" s="17"/>
      <c r="E880" s="18"/>
      <c r="F880" s="17"/>
      <c r="G880" s="18"/>
      <c r="H880" s="13"/>
      <c r="I880" s="19">
        <f>IF($E880="","",IF($L880&lt;=0.005,"Pago",IF($D880="","Sem vencimento",IF($D880&lt;Hoje,IF(N($G880)&gt;0,"Vencido (parcial)","Vencido"),IF($D880=Hoje,"Vence hoje","A vencer")))))</f>
        <v>0</v>
      </c>
      <c r="J880" s="20">
        <f>IF(OR($E880="",$D880=""),"",IF(AND($L880&gt;0.005,$D880&lt;Hoje),Hoje-$D880,0))</f>
        <v>0</v>
      </c>
      <c r="K880" s="20">
        <f>IF($J880="","",IF($L880&lt;=0.005,"Pago",IF($J880&lt;=0,"A vencer",IF($J880&lt;=15,"1-15 dias",IF($J880&lt;=30,"16-30 dias",IF($J880&lt;=60,"31-60 dias","Mais de 60 dias"))))))</f>
        <v>0</v>
      </c>
      <c r="L880" s="21">
        <f>IF($E880="","",MAX(0,$E880-N($G880)))</f>
        <v>0</v>
      </c>
      <c r="M880" s="21">
        <f>IF(OR($L880="",$J880=""),"",IF($J880&gt;0,ROUND($L880*Multa+$L880*Juros/30*$J880,2),0))</f>
        <v>0</v>
      </c>
      <c r="N880" s="22">
        <f>IF($L880="","",IF($L880&lt;=0.005,0,$L880+N($M880)))</f>
        <v>0</v>
      </c>
      <c r="O880" s="23">
        <f>IF(OR($I880="Vencido",$I880="Vencido (parcial)"),"Olá, "&amp;$A880&amp;"! Consta em aberto '"&amp;$B880&amp;"' com vencimento em "&amp;DAY($D880)&amp;"/"&amp;MONTH($D880)&amp;"/"&amp;YEAR($D880)&amp;", no valor de R$ "&amp;FIXED($N880,2)&amp;" (com multa e juros). Podemos ajudar a regularizar hoje? Obrigado!",IF($I880="Vence hoje","Olá, "&amp;$A880&amp;"! Lembrete: '"&amp;$B880&amp;"' vence hoje, no valor de R$ "&amp;FIXED($L880,2)&amp;". Obrigado!",""))</f>
        <v>0</v>
      </c>
    </row>
    <row r="881" spans="1:15">
      <c r="A881" s="13"/>
      <c r="B881" s="13"/>
      <c r="C881" s="17"/>
      <c r="D881" s="17"/>
      <c r="E881" s="18"/>
      <c r="F881" s="17"/>
      <c r="G881" s="18"/>
      <c r="H881" s="13"/>
      <c r="I881" s="19">
        <f>IF($E881="","",IF($L881&lt;=0.005,"Pago",IF($D881="","Sem vencimento",IF($D881&lt;Hoje,IF(N($G881)&gt;0,"Vencido (parcial)","Vencido"),IF($D881=Hoje,"Vence hoje","A vencer")))))</f>
        <v>0</v>
      </c>
      <c r="J881" s="20">
        <f>IF(OR($E881="",$D881=""),"",IF(AND($L881&gt;0.005,$D881&lt;Hoje),Hoje-$D881,0))</f>
        <v>0</v>
      </c>
      <c r="K881" s="20">
        <f>IF($J881="","",IF($L881&lt;=0.005,"Pago",IF($J881&lt;=0,"A vencer",IF($J881&lt;=15,"1-15 dias",IF($J881&lt;=30,"16-30 dias",IF($J881&lt;=60,"31-60 dias","Mais de 60 dias"))))))</f>
        <v>0</v>
      </c>
      <c r="L881" s="21">
        <f>IF($E881="","",MAX(0,$E881-N($G881)))</f>
        <v>0</v>
      </c>
      <c r="M881" s="21">
        <f>IF(OR($L881="",$J881=""),"",IF($J881&gt;0,ROUND($L881*Multa+$L881*Juros/30*$J881,2),0))</f>
        <v>0</v>
      </c>
      <c r="N881" s="22">
        <f>IF($L881="","",IF($L881&lt;=0.005,0,$L881+N($M881)))</f>
        <v>0</v>
      </c>
      <c r="O881" s="23">
        <f>IF(OR($I881="Vencido",$I881="Vencido (parcial)"),"Olá, "&amp;$A881&amp;"! Consta em aberto '"&amp;$B881&amp;"' com vencimento em "&amp;DAY($D881)&amp;"/"&amp;MONTH($D881)&amp;"/"&amp;YEAR($D881)&amp;", no valor de R$ "&amp;FIXED($N881,2)&amp;" (com multa e juros). Podemos ajudar a regularizar hoje? Obrigado!",IF($I881="Vence hoje","Olá, "&amp;$A881&amp;"! Lembrete: '"&amp;$B881&amp;"' vence hoje, no valor de R$ "&amp;FIXED($L881,2)&amp;". Obrigado!",""))</f>
        <v>0</v>
      </c>
    </row>
    <row r="882" spans="1:15">
      <c r="A882" s="13"/>
      <c r="B882" s="13"/>
      <c r="C882" s="17"/>
      <c r="D882" s="17"/>
      <c r="E882" s="18"/>
      <c r="F882" s="17"/>
      <c r="G882" s="18"/>
      <c r="H882" s="13"/>
      <c r="I882" s="19">
        <f>IF($E882="","",IF($L882&lt;=0.005,"Pago",IF($D882="","Sem vencimento",IF($D882&lt;Hoje,IF(N($G882)&gt;0,"Vencido (parcial)","Vencido"),IF($D882=Hoje,"Vence hoje","A vencer")))))</f>
        <v>0</v>
      </c>
      <c r="J882" s="20">
        <f>IF(OR($E882="",$D882=""),"",IF(AND($L882&gt;0.005,$D882&lt;Hoje),Hoje-$D882,0))</f>
        <v>0</v>
      </c>
      <c r="K882" s="20">
        <f>IF($J882="","",IF($L882&lt;=0.005,"Pago",IF($J882&lt;=0,"A vencer",IF($J882&lt;=15,"1-15 dias",IF($J882&lt;=30,"16-30 dias",IF($J882&lt;=60,"31-60 dias","Mais de 60 dias"))))))</f>
        <v>0</v>
      </c>
      <c r="L882" s="21">
        <f>IF($E882="","",MAX(0,$E882-N($G882)))</f>
        <v>0</v>
      </c>
      <c r="M882" s="21">
        <f>IF(OR($L882="",$J882=""),"",IF($J882&gt;0,ROUND($L882*Multa+$L882*Juros/30*$J882,2),0))</f>
        <v>0</v>
      </c>
      <c r="N882" s="22">
        <f>IF($L882="","",IF($L882&lt;=0.005,0,$L882+N($M882)))</f>
        <v>0</v>
      </c>
      <c r="O882" s="23">
        <f>IF(OR($I882="Vencido",$I882="Vencido (parcial)"),"Olá, "&amp;$A882&amp;"! Consta em aberto '"&amp;$B882&amp;"' com vencimento em "&amp;DAY($D882)&amp;"/"&amp;MONTH($D882)&amp;"/"&amp;YEAR($D882)&amp;", no valor de R$ "&amp;FIXED($N882,2)&amp;" (com multa e juros). Podemos ajudar a regularizar hoje? Obrigado!",IF($I882="Vence hoje","Olá, "&amp;$A882&amp;"! Lembrete: '"&amp;$B882&amp;"' vence hoje, no valor de R$ "&amp;FIXED($L882,2)&amp;". Obrigado!",""))</f>
        <v>0</v>
      </c>
    </row>
    <row r="883" spans="1:15">
      <c r="A883" s="13"/>
      <c r="B883" s="13"/>
      <c r="C883" s="17"/>
      <c r="D883" s="17"/>
      <c r="E883" s="18"/>
      <c r="F883" s="17"/>
      <c r="G883" s="18"/>
      <c r="H883" s="13"/>
      <c r="I883" s="19">
        <f>IF($E883="","",IF($L883&lt;=0.005,"Pago",IF($D883="","Sem vencimento",IF($D883&lt;Hoje,IF(N($G883)&gt;0,"Vencido (parcial)","Vencido"),IF($D883=Hoje,"Vence hoje","A vencer")))))</f>
        <v>0</v>
      </c>
      <c r="J883" s="20">
        <f>IF(OR($E883="",$D883=""),"",IF(AND($L883&gt;0.005,$D883&lt;Hoje),Hoje-$D883,0))</f>
        <v>0</v>
      </c>
      <c r="K883" s="20">
        <f>IF($J883="","",IF($L883&lt;=0.005,"Pago",IF($J883&lt;=0,"A vencer",IF($J883&lt;=15,"1-15 dias",IF($J883&lt;=30,"16-30 dias",IF($J883&lt;=60,"31-60 dias","Mais de 60 dias"))))))</f>
        <v>0</v>
      </c>
      <c r="L883" s="21">
        <f>IF($E883="","",MAX(0,$E883-N($G883)))</f>
        <v>0</v>
      </c>
      <c r="M883" s="21">
        <f>IF(OR($L883="",$J883=""),"",IF($J883&gt;0,ROUND($L883*Multa+$L883*Juros/30*$J883,2),0))</f>
        <v>0</v>
      </c>
      <c r="N883" s="22">
        <f>IF($L883="","",IF($L883&lt;=0.005,0,$L883+N($M883)))</f>
        <v>0</v>
      </c>
      <c r="O883" s="23">
        <f>IF(OR($I883="Vencido",$I883="Vencido (parcial)"),"Olá, "&amp;$A883&amp;"! Consta em aberto '"&amp;$B883&amp;"' com vencimento em "&amp;DAY($D883)&amp;"/"&amp;MONTH($D883)&amp;"/"&amp;YEAR($D883)&amp;", no valor de R$ "&amp;FIXED($N883,2)&amp;" (com multa e juros). Podemos ajudar a regularizar hoje? Obrigado!",IF($I883="Vence hoje","Olá, "&amp;$A883&amp;"! Lembrete: '"&amp;$B883&amp;"' vence hoje, no valor de R$ "&amp;FIXED($L883,2)&amp;". Obrigado!",""))</f>
        <v>0</v>
      </c>
    </row>
    <row r="884" spans="1:15">
      <c r="A884" s="13"/>
      <c r="B884" s="13"/>
      <c r="C884" s="17"/>
      <c r="D884" s="17"/>
      <c r="E884" s="18"/>
      <c r="F884" s="17"/>
      <c r="G884" s="18"/>
      <c r="H884" s="13"/>
      <c r="I884" s="19">
        <f>IF($E884="","",IF($L884&lt;=0.005,"Pago",IF($D884="","Sem vencimento",IF($D884&lt;Hoje,IF(N($G884)&gt;0,"Vencido (parcial)","Vencido"),IF($D884=Hoje,"Vence hoje","A vencer")))))</f>
        <v>0</v>
      </c>
      <c r="J884" s="20">
        <f>IF(OR($E884="",$D884=""),"",IF(AND($L884&gt;0.005,$D884&lt;Hoje),Hoje-$D884,0))</f>
        <v>0</v>
      </c>
      <c r="K884" s="20">
        <f>IF($J884="","",IF($L884&lt;=0.005,"Pago",IF($J884&lt;=0,"A vencer",IF($J884&lt;=15,"1-15 dias",IF($J884&lt;=30,"16-30 dias",IF($J884&lt;=60,"31-60 dias","Mais de 60 dias"))))))</f>
        <v>0</v>
      </c>
      <c r="L884" s="21">
        <f>IF($E884="","",MAX(0,$E884-N($G884)))</f>
        <v>0</v>
      </c>
      <c r="M884" s="21">
        <f>IF(OR($L884="",$J884=""),"",IF($J884&gt;0,ROUND($L884*Multa+$L884*Juros/30*$J884,2),0))</f>
        <v>0</v>
      </c>
      <c r="N884" s="22">
        <f>IF($L884="","",IF($L884&lt;=0.005,0,$L884+N($M884)))</f>
        <v>0</v>
      </c>
      <c r="O884" s="23">
        <f>IF(OR($I884="Vencido",$I884="Vencido (parcial)"),"Olá, "&amp;$A884&amp;"! Consta em aberto '"&amp;$B884&amp;"' com vencimento em "&amp;DAY($D884)&amp;"/"&amp;MONTH($D884)&amp;"/"&amp;YEAR($D884)&amp;", no valor de R$ "&amp;FIXED($N884,2)&amp;" (com multa e juros). Podemos ajudar a regularizar hoje? Obrigado!",IF($I884="Vence hoje","Olá, "&amp;$A884&amp;"! Lembrete: '"&amp;$B884&amp;"' vence hoje, no valor de R$ "&amp;FIXED($L884,2)&amp;". Obrigado!",""))</f>
        <v>0</v>
      </c>
    </row>
    <row r="885" spans="1:15">
      <c r="A885" s="13"/>
      <c r="B885" s="13"/>
      <c r="C885" s="17"/>
      <c r="D885" s="17"/>
      <c r="E885" s="18"/>
      <c r="F885" s="17"/>
      <c r="G885" s="18"/>
      <c r="H885" s="13"/>
      <c r="I885" s="19">
        <f>IF($E885="","",IF($L885&lt;=0.005,"Pago",IF($D885="","Sem vencimento",IF($D885&lt;Hoje,IF(N($G885)&gt;0,"Vencido (parcial)","Vencido"),IF($D885=Hoje,"Vence hoje","A vencer")))))</f>
        <v>0</v>
      </c>
      <c r="J885" s="20">
        <f>IF(OR($E885="",$D885=""),"",IF(AND($L885&gt;0.005,$D885&lt;Hoje),Hoje-$D885,0))</f>
        <v>0</v>
      </c>
      <c r="K885" s="20">
        <f>IF($J885="","",IF($L885&lt;=0.005,"Pago",IF($J885&lt;=0,"A vencer",IF($J885&lt;=15,"1-15 dias",IF($J885&lt;=30,"16-30 dias",IF($J885&lt;=60,"31-60 dias","Mais de 60 dias"))))))</f>
        <v>0</v>
      </c>
      <c r="L885" s="21">
        <f>IF($E885="","",MAX(0,$E885-N($G885)))</f>
        <v>0</v>
      </c>
      <c r="M885" s="21">
        <f>IF(OR($L885="",$J885=""),"",IF($J885&gt;0,ROUND($L885*Multa+$L885*Juros/30*$J885,2),0))</f>
        <v>0</v>
      </c>
      <c r="N885" s="22">
        <f>IF($L885="","",IF($L885&lt;=0.005,0,$L885+N($M885)))</f>
        <v>0</v>
      </c>
      <c r="O885" s="23">
        <f>IF(OR($I885="Vencido",$I885="Vencido (parcial)"),"Olá, "&amp;$A885&amp;"! Consta em aberto '"&amp;$B885&amp;"' com vencimento em "&amp;DAY($D885)&amp;"/"&amp;MONTH($D885)&amp;"/"&amp;YEAR($D885)&amp;", no valor de R$ "&amp;FIXED($N885,2)&amp;" (com multa e juros). Podemos ajudar a regularizar hoje? Obrigado!",IF($I885="Vence hoje","Olá, "&amp;$A885&amp;"! Lembrete: '"&amp;$B885&amp;"' vence hoje, no valor de R$ "&amp;FIXED($L885,2)&amp;". Obrigado!",""))</f>
        <v>0</v>
      </c>
    </row>
    <row r="886" spans="1:15">
      <c r="A886" s="13"/>
      <c r="B886" s="13"/>
      <c r="C886" s="17"/>
      <c r="D886" s="17"/>
      <c r="E886" s="18"/>
      <c r="F886" s="17"/>
      <c r="G886" s="18"/>
      <c r="H886" s="13"/>
      <c r="I886" s="19">
        <f>IF($E886="","",IF($L886&lt;=0.005,"Pago",IF($D886="","Sem vencimento",IF($D886&lt;Hoje,IF(N($G886)&gt;0,"Vencido (parcial)","Vencido"),IF($D886=Hoje,"Vence hoje","A vencer")))))</f>
        <v>0</v>
      </c>
      <c r="J886" s="20">
        <f>IF(OR($E886="",$D886=""),"",IF(AND($L886&gt;0.005,$D886&lt;Hoje),Hoje-$D886,0))</f>
        <v>0</v>
      </c>
      <c r="K886" s="20">
        <f>IF($J886="","",IF($L886&lt;=0.005,"Pago",IF($J886&lt;=0,"A vencer",IF($J886&lt;=15,"1-15 dias",IF($J886&lt;=30,"16-30 dias",IF($J886&lt;=60,"31-60 dias","Mais de 60 dias"))))))</f>
        <v>0</v>
      </c>
      <c r="L886" s="21">
        <f>IF($E886="","",MAX(0,$E886-N($G886)))</f>
        <v>0</v>
      </c>
      <c r="M886" s="21">
        <f>IF(OR($L886="",$J886=""),"",IF($J886&gt;0,ROUND($L886*Multa+$L886*Juros/30*$J886,2),0))</f>
        <v>0</v>
      </c>
      <c r="N886" s="22">
        <f>IF($L886="","",IF($L886&lt;=0.005,0,$L886+N($M886)))</f>
        <v>0</v>
      </c>
      <c r="O886" s="23">
        <f>IF(OR($I886="Vencido",$I886="Vencido (parcial)"),"Olá, "&amp;$A886&amp;"! Consta em aberto '"&amp;$B886&amp;"' com vencimento em "&amp;DAY($D886)&amp;"/"&amp;MONTH($D886)&amp;"/"&amp;YEAR($D886)&amp;", no valor de R$ "&amp;FIXED($N886,2)&amp;" (com multa e juros). Podemos ajudar a regularizar hoje? Obrigado!",IF($I886="Vence hoje","Olá, "&amp;$A886&amp;"! Lembrete: '"&amp;$B886&amp;"' vence hoje, no valor de R$ "&amp;FIXED($L886,2)&amp;". Obrigado!",""))</f>
        <v>0</v>
      </c>
    </row>
    <row r="887" spans="1:15">
      <c r="A887" s="13"/>
      <c r="B887" s="13"/>
      <c r="C887" s="17"/>
      <c r="D887" s="17"/>
      <c r="E887" s="18"/>
      <c r="F887" s="17"/>
      <c r="G887" s="18"/>
      <c r="H887" s="13"/>
      <c r="I887" s="19">
        <f>IF($E887="","",IF($L887&lt;=0.005,"Pago",IF($D887="","Sem vencimento",IF($D887&lt;Hoje,IF(N($G887)&gt;0,"Vencido (parcial)","Vencido"),IF($D887=Hoje,"Vence hoje","A vencer")))))</f>
        <v>0</v>
      </c>
      <c r="J887" s="20">
        <f>IF(OR($E887="",$D887=""),"",IF(AND($L887&gt;0.005,$D887&lt;Hoje),Hoje-$D887,0))</f>
        <v>0</v>
      </c>
      <c r="K887" s="20">
        <f>IF($J887="","",IF($L887&lt;=0.005,"Pago",IF($J887&lt;=0,"A vencer",IF($J887&lt;=15,"1-15 dias",IF($J887&lt;=30,"16-30 dias",IF($J887&lt;=60,"31-60 dias","Mais de 60 dias"))))))</f>
        <v>0</v>
      </c>
      <c r="L887" s="21">
        <f>IF($E887="","",MAX(0,$E887-N($G887)))</f>
        <v>0</v>
      </c>
      <c r="M887" s="21">
        <f>IF(OR($L887="",$J887=""),"",IF($J887&gt;0,ROUND($L887*Multa+$L887*Juros/30*$J887,2),0))</f>
        <v>0</v>
      </c>
      <c r="N887" s="22">
        <f>IF($L887="","",IF($L887&lt;=0.005,0,$L887+N($M887)))</f>
        <v>0</v>
      </c>
      <c r="O887" s="23">
        <f>IF(OR($I887="Vencido",$I887="Vencido (parcial)"),"Olá, "&amp;$A887&amp;"! Consta em aberto '"&amp;$B887&amp;"' com vencimento em "&amp;DAY($D887)&amp;"/"&amp;MONTH($D887)&amp;"/"&amp;YEAR($D887)&amp;", no valor de R$ "&amp;FIXED($N887,2)&amp;" (com multa e juros). Podemos ajudar a regularizar hoje? Obrigado!",IF($I887="Vence hoje","Olá, "&amp;$A887&amp;"! Lembrete: '"&amp;$B887&amp;"' vence hoje, no valor de R$ "&amp;FIXED($L887,2)&amp;". Obrigado!",""))</f>
        <v>0</v>
      </c>
    </row>
    <row r="888" spans="1:15">
      <c r="A888" s="13"/>
      <c r="B888" s="13"/>
      <c r="C888" s="17"/>
      <c r="D888" s="17"/>
      <c r="E888" s="18"/>
      <c r="F888" s="17"/>
      <c r="G888" s="18"/>
      <c r="H888" s="13"/>
      <c r="I888" s="19">
        <f>IF($E888="","",IF($L888&lt;=0.005,"Pago",IF($D888="","Sem vencimento",IF($D888&lt;Hoje,IF(N($G888)&gt;0,"Vencido (parcial)","Vencido"),IF($D888=Hoje,"Vence hoje","A vencer")))))</f>
        <v>0</v>
      </c>
      <c r="J888" s="20">
        <f>IF(OR($E888="",$D888=""),"",IF(AND($L888&gt;0.005,$D888&lt;Hoje),Hoje-$D888,0))</f>
        <v>0</v>
      </c>
      <c r="K888" s="20">
        <f>IF($J888="","",IF($L888&lt;=0.005,"Pago",IF($J888&lt;=0,"A vencer",IF($J888&lt;=15,"1-15 dias",IF($J888&lt;=30,"16-30 dias",IF($J888&lt;=60,"31-60 dias","Mais de 60 dias"))))))</f>
        <v>0</v>
      </c>
      <c r="L888" s="21">
        <f>IF($E888="","",MAX(0,$E888-N($G888)))</f>
        <v>0</v>
      </c>
      <c r="M888" s="21">
        <f>IF(OR($L888="",$J888=""),"",IF($J888&gt;0,ROUND($L888*Multa+$L888*Juros/30*$J888,2),0))</f>
        <v>0</v>
      </c>
      <c r="N888" s="22">
        <f>IF($L888="","",IF($L888&lt;=0.005,0,$L888+N($M888)))</f>
        <v>0</v>
      </c>
      <c r="O888" s="23">
        <f>IF(OR($I888="Vencido",$I888="Vencido (parcial)"),"Olá, "&amp;$A888&amp;"! Consta em aberto '"&amp;$B888&amp;"' com vencimento em "&amp;DAY($D888)&amp;"/"&amp;MONTH($D888)&amp;"/"&amp;YEAR($D888)&amp;", no valor de R$ "&amp;FIXED($N888,2)&amp;" (com multa e juros). Podemos ajudar a regularizar hoje? Obrigado!",IF($I888="Vence hoje","Olá, "&amp;$A888&amp;"! Lembrete: '"&amp;$B888&amp;"' vence hoje, no valor de R$ "&amp;FIXED($L888,2)&amp;". Obrigado!",""))</f>
        <v>0</v>
      </c>
    </row>
    <row r="889" spans="1:15">
      <c r="A889" s="13"/>
      <c r="B889" s="13"/>
      <c r="C889" s="17"/>
      <c r="D889" s="17"/>
      <c r="E889" s="18"/>
      <c r="F889" s="17"/>
      <c r="G889" s="18"/>
      <c r="H889" s="13"/>
      <c r="I889" s="19">
        <f>IF($E889="","",IF($L889&lt;=0.005,"Pago",IF($D889="","Sem vencimento",IF($D889&lt;Hoje,IF(N($G889)&gt;0,"Vencido (parcial)","Vencido"),IF($D889=Hoje,"Vence hoje","A vencer")))))</f>
        <v>0</v>
      </c>
      <c r="J889" s="20">
        <f>IF(OR($E889="",$D889=""),"",IF(AND($L889&gt;0.005,$D889&lt;Hoje),Hoje-$D889,0))</f>
        <v>0</v>
      </c>
      <c r="K889" s="20">
        <f>IF($J889="","",IF($L889&lt;=0.005,"Pago",IF($J889&lt;=0,"A vencer",IF($J889&lt;=15,"1-15 dias",IF($J889&lt;=30,"16-30 dias",IF($J889&lt;=60,"31-60 dias","Mais de 60 dias"))))))</f>
        <v>0</v>
      </c>
      <c r="L889" s="21">
        <f>IF($E889="","",MAX(0,$E889-N($G889)))</f>
        <v>0</v>
      </c>
      <c r="M889" s="21">
        <f>IF(OR($L889="",$J889=""),"",IF($J889&gt;0,ROUND($L889*Multa+$L889*Juros/30*$J889,2),0))</f>
        <v>0</v>
      </c>
      <c r="N889" s="22">
        <f>IF($L889="","",IF($L889&lt;=0.005,0,$L889+N($M889)))</f>
        <v>0</v>
      </c>
      <c r="O889" s="23">
        <f>IF(OR($I889="Vencido",$I889="Vencido (parcial)"),"Olá, "&amp;$A889&amp;"! Consta em aberto '"&amp;$B889&amp;"' com vencimento em "&amp;DAY($D889)&amp;"/"&amp;MONTH($D889)&amp;"/"&amp;YEAR($D889)&amp;", no valor de R$ "&amp;FIXED($N889,2)&amp;" (com multa e juros). Podemos ajudar a regularizar hoje? Obrigado!",IF($I889="Vence hoje","Olá, "&amp;$A889&amp;"! Lembrete: '"&amp;$B889&amp;"' vence hoje, no valor de R$ "&amp;FIXED($L889,2)&amp;". Obrigado!",""))</f>
        <v>0</v>
      </c>
    </row>
    <row r="890" spans="1:15">
      <c r="A890" s="13"/>
      <c r="B890" s="13"/>
      <c r="C890" s="17"/>
      <c r="D890" s="17"/>
      <c r="E890" s="18"/>
      <c r="F890" s="17"/>
      <c r="G890" s="18"/>
      <c r="H890" s="13"/>
      <c r="I890" s="19">
        <f>IF($E890="","",IF($L890&lt;=0.005,"Pago",IF($D890="","Sem vencimento",IF($D890&lt;Hoje,IF(N($G890)&gt;0,"Vencido (parcial)","Vencido"),IF($D890=Hoje,"Vence hoje","A vencer")))))</f>
        <v>0</v>
      </c>
      <c r="J890" s="20">
        <f>IF(OR($E890="",$D890=""),"",IF(AND($L890&gt;0.005,$D890&lt;Hoje),Hoje-$D890,0))</f>
        <v>0</v>
      </c>
      <c r="K890" s="20">
        <f>IF($J890="","",IF($L890&lt;=0.005,"Pago",IF($J890&lt;=0,"A vencer",IF($J890&lt;=15,"1-15 dias",IF($J890&lt;=30,"16-30 dias",IF($J890&lt;=60,"31-60 dias","Mais de 60 dias"))))))</f>
        <v>0</v>
      </c>
      <c r="L890" s="21">
        <f>IF($E890="","",MAX(0,$E890-N($G890)))</f>
        <v>0</v>
      </c>
      <c r="M890" s="21">
        <f>IF(OR($L890="",$J890=""),"",IF($J890&gt;0,ROUND($L890*Multa+$L890*Juros/30*$J890,2),0))</f>
        <v>0</v>
      </c>
      <c r="N890" s="22">
        <f>IF($L890="","",IF($L890&lt;=0.005,0,$L890+N($M890)))</f>
        <v>0</v>
      </c>
      <c r="O890" s="23">
        <f>IF(OR($I890="Vencido",$I890="Vencido (parcial)"),"Olá, "&amp;$A890&amp;"! Consta em aberto '"&amp;$B890&amp;"' com vencimento em "&amp;DAY($D890)&amp;"/"&amp;MONTH($D890)&amp;"/"&amp;YEAR($D890)&amp;", no valor de R$ "&amp;FIXED($N890,2)&amp;" (com multa e juros). Podemos ajudar a regularizar hoje? Obrigado!",IF($I890="Vence hoje","Olá, "&amp;$A890&amp;"! Lembrete: '"&amp;$B890&amp;"' vence hoje, no valor de R$ "&amp;FIXED($L890,2)&amp;". Obrigado!",""))</f>
        <v>0</v>
      </c>
    </row>
    <row r="891" spans="1:15">
      <c r="A891" s="13"/>
      <c r="B891" s="13"/>
      <c r="C891" s="17"/>
      <c r="D891" s="17"/>
      <c r="E891" s="18"/>
      <c r="F891" s="17"/>
      <c r="G891" s="18"/>
      <c r="H891" s="13"/>
      <c r="I891" s="19">
        <f>IF($E891="","",IF($L891&lt;=0.005,"Pago",IF($D891="","Sem vencimento",IF($D891&lt;Hoje,IF(N($G891)&gt;0,"Vencido (parcial)","Vencido"),IF($D891=Hoje,"Vence hoje","A vencer")))))</f>
        <v>0</v>
      </c>
      <c r="J891" s="20">
        <f>IF(OR($E891="",$D891=""),"",IF(AND($L891&gt;0.005,$D891&lt;Hoje),Hoje-$D891,0))</f>
        <v>0</v>
      </c>
      <c r="K891" s="20">
        <f>IF($J891="","",IF($L891&lt;=0.005,"Pago",IF($J891&lt;=0,"A vencer",IF($J891&lt;=15,"1-15 dias",IF($J891&lt;=30,"16-30 dias",IF($J891&lt;=60,"31-60 dias","Mais de 60 dias"))))))</f>
        <v>0</v>
      </c>
      <c r="L891" s="21">
        <f>IF($E891="","",MAX(0,$E891-N($G891)))</f>
        <v>0</v>
      </c>
      <c r="M891" s="21">
        <f>IF(OR($L891="",$J891=""),"",IF($J891&gt;0,ROUND($L891*Multa+$L891*Juros/30*$J891,2),0))</f>
        <v>0</v>
      </c>
      <c r="N891" s="22">
        <f>IF($L891="","",IF($L891&lt;=0.005,0,$L891+N($M891)))</f>
        <v>0</v>
      </c>
      <c r="O891" s="23">
        <f>IF(OR($I891="Vencido",$I891="Vencido (parcial)"),"Olá, "&amp;$A891&amp;"! Consta em aberto '"&amp;$B891&amp;"' com vencimento em "&amp;DAY($D891)&amp;"/"&amp;MONTH($D891)&amp;"/"&amp;YEAR($D891)&amp;", no valor de R$ "&amp;FIXED($N891,2)&amp;" (com multa e juros). Podemos ajudar a regularizar hoje? Obrigado!",IF($I891="Vence hoje","Olá, "&amp;$A891&amp;"! Lembrete: '"&amp;$B891&amp;"' vence hoje, no valor de R$ "&amp;FIXED($L891,2)&amp;". Obrigado!",""))</f>
        <v>0</v>
      </c>
    </row>
    <row r="892" spans="1:15">
      <c r="A892" s="13"/>
      <c r="B892" s="13"/>
      <c r="C892" s="17"/>
      <c r="D892" s="17"/>
      <c r="E892" s="18"/>
      <c r="F892" s="17"/>
      <c r="G892" s="18"/>
      <c r="H892" s="13"/>
      <c r="I892" s="19">
        <f>IF($E892="","",IF($L892&lt;=0.005,"Pago",IF($D892="","Sem vencimento",IF($D892&lt;Hoje,IF(N($G892)&gt;0,"Vencido (parcial)","Vencido"),IF($D892=Hoje,"Vence hoje","A vencer")))))</f>
        <v>0</v>
      </c>
      <c r="J892" s="20">
        <f>IF(OR($E892="",$D892=""),"",IF(AND($L892&gt;0.005,$D892&lt;Hoje),Hoje-$D892,0))</f>
        <v>0</v>
      </c>
      <c r="K892" s="20">
        <f>IF($J892="","",IF($L892&lt;=0.005,"Pago",IF($J892&lt;=0,"A vencer",IF($J892&lt;=15,"1-15 dias",IF($J892&lt;=30,"16-30 dias",IF($J892&lt;=60,"31-60 dias","Mais de 60 dias"))))))</f>
        <v>0</v>
      </c>
      <c r="L892" s="21">
        <f>IF($E892="","",MAX(0,$E892-N($G892)))</f>
        <v>0</v>
      </c>
      <c r="M892" s="21">
        <f>IF(OR($L892="",$J892=""),"",IF($J892&gt;0,ROUND($L892*Multa+$L892*Juros/30*$J892,2),0))</f>
        <v>0</v>
      </c>
      <c r="N892" s="22">
        <f>IF($L892="","",IF($L892&lt;=0.005,0,$L892+N($M892)))</f>
        <v>0</v>
      </c>
      <c r="O892" s="23">
        <f>IF(OR($I892="Vencido",$I892="Vencido (parcial)"),"Olá, "&amp;$A892&amp;"! Consta em aberto '"&amp;$B892&amp;"' com vencimento em "&amp;DAY($D892)&amp;"/"&amp;MONTH($D892)&amp;"/"&amp;YEAR($D892)&amp;", no valor de R$ "&amp;FIXED($N892,2)&amp;" (com multa e juros). Podemos ajudar a regularizar hoje? Obrigado!",IF($I892="Vence hoje","Olá, "&amp;$A892&amp;"! Lembrete: '"&amp;$B892&amp;"' vence hoje, no valor de R$ "&amp;FIXED($L892,2)&amp;". Obrigado!",""))</f>
        <v>0</v>
      </c>
    </row>
    <row r="893" spans="1:15">
      <c r="A893" s="13"/>
      <c r="B893" s="13"/>
      <c r="C893" s="17"/>
      <c r="D893" s="17"/>
      <c r="E893" s="18"/>
      <c r="F893" s="17"/>
      <c r="G893" s="18"/>
      <c r="H893" s="13"/>
      <c r="I893" s="19">
        <f>IF($E893="","",IF($L893&lt;=0.005,"Pago",IF($D893="","Sem vencimento",IF($D893&lt;Hoje,IF(N($G893)&gt;0,"Vencido (parcial)","Vencido"),IF($D893=Hoje,"Vence hoje","A vencer")))))</f>
        <v>0</v>
      </c>
      <c r="J893" s="20">
        <f>IF(OR($E893="",$D893=""),"",IF(AND($L893&gt;0.005,$D893&lt;Hoje),Hoje-$D893,0))</f>
        <v>0</v>
      </c>
      <c r="K893" s="20">
        <f>IF($J893="","",IF($L893&lt;=0.005,"Pago",IF($J893&lt;=0,"A vencer",IF($J893&lt;=15,"1-15 dias",IF($J893&lt;=30,"16-30 dias",IF($J893&lt;=60,"31-60 dias","Mais de 60 dias"))))))</f>
        <v>0</v>
      </c>
      <c r="L893" s="21">
        <f>IF($E893="","",MAX(0,$E893-N($G893)))</f>
        <v>0</v>
      </c>
      <c r="M893" s="21">
        <f>IF(OR($L893="",$J893=""),"",IF($J893&gt;0,ROUND($L893*Multa+$L893*Juros/30*$J893,2),0))</f>
        <v>0</v>
      </c>
      <c r="N893" s="22">
        <f>IF($L893="","",IF($L893&lt;=0.005,0,$L893+N($M893)))</f>
        <v>0</v>
      </c>
      <c r="O893" s="23">
        <f>IF(OR($I893="Vencido",$I893="Vencido (parcial)"),"Olá, "&amp;$A893&amp;"! Consta em aberto '"&amp;$B893&amp;"' com vencimento em "&amp;DAY($D893)&amp;"/"&amp;MONTH($D893)&amp;"/"&amp;YEAR($D893)&amp;", no valor de R$ "&amp;FIXED($N893,2)&amp;" (com multa e juros). Podemos ajudar a regularizar hoje? Obrigado!",IF($I893="Vence hoje","Olá, "&amp;$A893&amp;"! Lembrete: '"&amp;$B893&amp;"' vence hoje, no valor de R$ "&amp;FIXED($L893,2)&amp;". Obrigado!",""))</f>
        <v>0</v>
      </c>
    </row>
    <row r="894" spans="1:15">
      <c r="A894" s="13"/>
      <c r="B894" s="13"/>
      <c r="C894" s="17"/>
      <c r="D894" s="17"/>
      <c r="E894" s="18"/>
      <c r="F894" s="17"/>
      <c r="G894" s="18"/>
      <c r="H894" s="13"/>
      <c r="I894" s="19">
        <f>IF($E894="","",IF($L894&lt;=0.005,"Pago",IF($D894="","Sem vencimento",IF($D894&lt;Hoje,IF(N($G894)&gt;0,"Vencido (parcial)","Vencido"),IF($D894=Hoje,"Vence hoje","A vencer")))))</f>
        <v>0</v>
      </c>
      <c r="J894" s="20">
        <f>IF(OR($E894="",$D894=""),"",IF(AND($L894&gt;0.005,$D894&lt;Hoje),Hoje-$D894,0))</f>
        <v>0</v>
      </c>
      <c r="K894" s="20">
        <f>IF($J894="","",IF($L894&lt;=0.005,"Pago",IF($J894&lt;=0,"A vencer",IF($J894&lt;=15,"1-15 dias",IF($J894&lt;=30,"16-30 dias",IF($J894&lt;=60,"31-60 dias","Mais de 60 dias"))))))</f>
        <v>0</v>
      </c>
      <c r="L894" s="21">
        <f>IF($E894="","",MAX(0,$E894-N($G894)))</f>
        <v>0</v>
      </c>
      <c r="M894" s="21">
        <f>IF(OR($L894="",$J894=""),"",IF($J894&gt;0,ROUND($L894*Multa+$L894*Juros/30*$J894,2),0))</f>
        <v>0</v>
      </c>
      <c r="N894" s="22">
        <f>IF($L894="","",IF($L894&lt;=0.005,0,$L894+N($M894)))</f>
        <v>0</v>
      </c>
      <c r="O894" s="23">
        <f>IF(OR($I894="Vencido",$I894="Vencido (parcial)"),"Olá, "&amp;$A894&amp;"! Consta em aberto '"&amp;$B894&amp;"' com vencimento em "&amp;DAY($D894)&amp;"/"&amp;MONTH($D894)&amp;"/"&amp;YEAR($D894)&amp;", no valor de R$ "&amp;FIXED($N894,2)&amp;" (com multa e juros). Podemos ajudar a regularizar hoje? Obrigado!",IF($I894="Vence hoje","Olá, "&amp;$A894&amp;"! Lembrete: '"&amp;$B894&amp;"' vence hoje, no valor de R$ "&amp;FIXED($L894,2)&amp;". Obrigado!",""))</f>
        <v>0</v>
      </c>
    </row>
    <row r="895" spans="1:15">
      <c r="A895" s="13"/>
      <c r="B895" s="13"/>
      <c r="C895" s="17"/>
      <c r="D895" s="17"/>
      <c r="E895" s="18"/>
      <c r="F895" s="17"/>
      <c r="G895" s="18"/>
      <c r="H895" s="13"/>
      <c r="I895" s="19">
        <f>IF($E895="","",IF($L895&lt;=0.005,"Pago",IF($D895="","Sem vencimento",IF($D895&lt;Hoje,IF(N($G895)&gt;0,"Vencido (parcial)","Vencido"),IF($D895=Hoje,"Vence hoje","A vencer")))))</f>
        <v>0</v>
      </c>
      <c r="J895" s="20">
        <f>IF(OR($E895="",$D895=""),"",IF(AND($L895&gt;0.005,$D895&lt;Hoje),Hoje-$D895,0))</f>
        <v>0</v>
      </c>
      <c r="K895" s="20">
        <f>IF($J895="","",IF($L895&lt;=0.005,"Pago",IF($J895&lt;=0,"A vencer",IF($J895&lt;=15,"1-15 dias",IF($J895&lt;=30,"16-30 dias",IF($J895&lt;=60,"31-60 dias","Mais de 60 dias"))))))</f>
        <v>0</v>
      </c>
      <c r="L895" s="21">
        <f>IF($E895="","",MAX(0,$E895-N($G895)))</f>
        <v>0</v>
      </c>
      <c r="M895" s="21">
        <f>IF(OR($L895="",$J895=""),"",IF($J895&gt;0,ROUND($L895*Multa+$L895*Juros/30*$J895,2),0))</f>
        <v>0</v>
      </c>
      <c r="N895" s="22">
        <f>IF($L895="","",IF($L895&lt;=0.005,0,$L895+N($M895)))</f>
        <v>0</v>
      </c>
      <c r="O895" s="23">
        <f>IF(OR($I895="Vencido",$I895="Vencido (parcial)"),"Olá, "&amp;$A895&amp;"! Consta em aberto '"&amp;$B895&amp;"' com vencimento em "&amp;DAY($D895)&amp;"/"&amp;MONTH($D895)&amp;"/"&amp;YEAR($D895)&amp;", no valor de R$ "&amp;FIXED($N895,2)&amp;" (com multa e juros). Podemos ajudar a regularizar hoje? Obrigado!",IF($I895="Vence hoje","Olá, "&amp;$A895&amp;"! Lembrete: '"&amp;$B895&amp;"' vence hoje, no valor de R$ "&amp;FIXED($L895,2)&amp;". Obrigado!",""))</f>
        <v>0</v>
      </c>
    </row>
    <row r="896" spans="1:15">
      <c r="A896" s="13"/>
      <c r="B896" s="13"/>
      <c r="C896" s="17"/>
      <c r="D896" s="17"/>
      <c r="E896" s="18"/>
      <c r="F896" s="17"/>
      <c r="G896" s="18"/>
      <c r="H896" s="13"/>
      <c r="I896" s="19">
        <f>IF($E896="","",IF($L896&lt;=0.005,"Pago",IF($D896="","Sem vencimento",IF($D896&lt;Hoje,IF(N($G896)&gt;0,"Vencido (parcial)","Vencido"),IF($D896=Hoje,"Vence hoje","A vencer")))))</f>
        <v>0</v>
      </c>
      <c r="J896" s="20">
        <f>IF(OR($E896="",$D896=""),"",IF(AND($L896&gt;0.005,$D896&lt;Hoje),Hoje-$D896,0))</f>
        <v>0</v>
      </c>
      <c r="K896" s="20">
        <f>IF($J896="","",IF($L896&lt;=0.005,"Pago",IF($J896&lt;=0,"A vencer",IF($J896&lt;=15,"1-15 dias",IF($J896&lt;=30,"16-30 dias",IF($J896&lt;=60,"31-60 dias","Mais de 60 dias"))))))</f>
        <v>0</v>
      </c>
      <c r="L896" s="21">
        <f>IF($E896="","",MAX(0,$E896-N($G896)))</f>
        <v>0</v>
      </c>
      <c r="M896" s="21">
        <f>IF(OR($L896="",$J896=""),"",IF($J896&gt;0,ROUND($L896*Multa+$L896*Juros/30*$J896,2),0))</f>
        <v>0</v>
      </c>
      <c r="N896" s="22">
        <f>IF($L896="","",IF($L896&lt;=0.005,0,$L896+N($M896)))</f>
        <v>0</v>
      </c>
      <c r="O896" s="23">
        <f>IF(OR($I896="Vencido",$I896="Vencido (parcial)"),"Olá, "&amp;$A896&amp;"! Consta em aberto '"&amp;$B896&amp;"' com vencimento em "&amp;DAY($D896)&amp;"/"&amp;MONTH($D896)&amp;"/"&amp;YEAR($D896)&amp;", no valor de R$ "&amp;FIXED($N896,2)&amp;" (com multa e juros). Podemos ajudar a regularizar hoje? Obrigado!",IF($I896="Vence hoje","Olá, "&amp;$A896&amp;"! Lembrete: '"&amp;$B896&amp;"' vence hoje, no valor de R$ "&amp;FIXED($L896,2)&amp;". Obrigado!",""))</f>
        <v>0</v>
      </c>
    </row>
    <row r="897" spans="1:15">
      <c r="A897" s="13"/>
      <c r="B897" s="13"/>
      <c r="C897" s="17"/>
      <c r="D897" s="17"/>
      <c r="E897" s="18"/>
      <c r="F897" s="17"/>
      <c r="G897" s="18"/>
      <c r="H897" s="13"/>
      <c r="I897" s="19">
        <f>IF($E897="","",IF($L897&lt;=0.005,"Pago",IF($D897="","Sem vencimento",IF($D897&lt;Hoje,IF(N($G897)&gt;0,"Vencido (parcial)","Vencido"),IF($D897=Hoje,"Vence hoje","A vencer")))))</f>
        <v>0</v>
      </c>
      <c r="J897" s="20">
        <f>IF(OR($E897="",$D897=""),"",IF(AND($L897&gt;0.005,$D897&lt;Hoje),Hoje-$D897,0))</f>
        <v>0</v>
      </c>
      <c r="K897" s="20">
        <f>IF($J897="","",IF($L897&lt;=0.005,"Pago",IF($J897&lt;=0,"A vencer",IF($J897&lt;=15,"1-15 dias",IF($J897&lt;=30,"16-30 dias",IF($J897&lt;=60,"31-60 dias","Mais de 60 dias"))))))</f>
        <v>0</v>
      </c>
      <c r="L897" s="21">
        <f>IF($E897="","",MAX(0,$E897-N($G897)))</f>
        <v>0</v>
      </c>
      <c r="M897" s="21">
        <f>IF(OR($L897="",$J897=""),"",IF($J897&gt;0,ROUND($L897*Multa+$L897*Juros/30*$J897,2),0))</f>
        <v>0</v>
      </c>
      <c r="N897" s="22">
        <f>IF($L897="","",IF($L897&lt;=0.005,0,$L897+N($M897)))</f>
        <v>0</v>
      </c>
      <c r="O897" s="23">
        <f>IF(OR($I897="Vencido",$I897="Vencido (parcial)"),"Olá, "&amp;$A897&amp;"! Consta em aberto '"&amp;$B897&amp;"' com vencimento em "&amp;DAY($D897)&amp;"/"&amp;MONTH($D897)&amp;"/"&amp;YEAR($D897)&amp;", no valor de R$ "&amp;FIXED($N897,2)&amp;" (com multa e juros). Podemos ajudar a regularizar hoje? Obrigado!",IF($I897="Vence hoje","Olá, "&amp;$A897&amp;"! Lembrete: '"&amp;$B897&amp;"' vence hoje, no valor de R$ "&amp;FIXED($L897,2)&amp;". Obrigado!",""))</f>
        <v>0</v>
      </c>
    </row>
    <row r="898" spans="1:15">
      <c r="A898" s="13"/>
      <c r="B898" s="13"/>
      <c r="C898" s="17"/>
      <c r="D898" s="17"/>
      <c r="E898" s="18"/>
      <c r="F898" s="17"/>
      <c r="G898" s="18"/>
      <c r="H898" s="13"/>
      <c r="I898" s="19">
        <f>IF($E898="","",IF($L898&lt;=0.005,"Pago",IF($D898="","Sem vencimento",IF($D898&lt;Hoje,IF(N($G898)&gt;0,"Vencido (parcial)","Vencido"),IF($D898=Hoje,"Vence hoje","A vencer")))))</f>
        <v>0</v>
      </c>
      <c r="J898" s="20">
        <f>IF(OR($E898="",$D898=""),"",IF(AND($L898&gt;0.005,$D898&lt;Hoje),Hoje-$D898,0))</f>
        <v>0</v>
      </c>
      <c r="K898" s="20">
        <f>IF($J898="","",IF($L898&lt;=0.005,"Pago",IF($J898&lt;=0,"A vencer",IF($J898&lt;=15,"1-15 dias",IF($J898&lt;=30,"16-30 dias",IF($J898&lt;=60,"31-60 dias","Mais de 60 dias"))))))</f>
        <v>0</v>
      </c>
      <c r="L898" s="21">
        <f>IF($E898="","",MAX(0,$E898-N($G898)))</f>
        <v>0</v>
      </c>
      <c r="M898" s="21">
        <f>IF(OR($L898="",$J898=""),"",IF($J898&gt;0,ROUND($L898*Multa+$L898*Juros/30*$J898,2),0))</f>
        <v>0</v>
      </c>
      <c r="N898" s="22">
        <f>IF($L898="","",IF($L898&lt;=0.005,0,$L898+N($M898)))</f>
        <v>0</v>
      </c>
      <c r="O898" s="23">
        <f>IF(OR($I898="Vencido",$I898="Vencido (parcial)"),"Olá, "&amp;$A898&amp;"! Consta em aberto '"&amp;$B898&amp;"' com vencimento em "&amp;DAY($D898)&amp;"/"&amp;MONTH($D898)&amp;"/"&amp;YEAR($D898)&amp;", no valor de R$ "&amp;FIXED($N898,2)&amp;" (com multa e juros). Podemos ajudar a regularizar hoje? Obrigado!",IF($I898="Vence hoje","Olá, "&amp;$A898&amp;"! Lembrete: '"&amp;$B898&amp;"' vence hoje, no valor de R$ "&amp;FIXED($L898,2)&amp;". Obrigado!",""))</f>
        <v>0</v>
      </c>
    </row>
    <row r="899" spans="1:15">
      <c r="A899" s="13"/>
      <c r="B899" s="13"/>
      <c r="C899" s="17"/>
      <c r="D899" s="17"/>
      <c r="E899" s="18"/>
      <c r="F899" s="17"/>
      <c r="G899" s="18"/>
      <c r="H899" s="13"/>
      <c r="I899" s="19">
        <f>IF($E899="","",IF($L899&lt;=0.005,"Pago",IF($D899="","Sem vencimento",IF($D899&lt;Hoje,IF(N($G899)&gt;0,"Vencido (parcial)","Vencido"),IF($D899=Hoje,"Vence hoje","A vencer")))))</f>
        <v>0</v>
      </c>
      <c r="J899" s="20">
        <f>IF(OR($E899="",$D899=""),"",IF(AND($L899&gt;0.005,$D899&lt;Hoje),Hoje-$D899,0))</f>
        <v>0</v>
      </c>
      <c r="K899" s="20">
        <f>IF($J899="","",IF($L899&lt;=0.005,"Pago",IF($J899&lt;=0,"A vencer",IF($J899&lt;=15,"1-15 dias",IF($J899&lt;=30,"16-30 dias",IF($J899&lt;=60,"31-60 dias","Mais de 60 dias"))))))</f>
        <v>0</v>
      </c>
      <c r="L899" s="21">
        <f>IF($E899="","",MAX(0,$E899-N($G899)))</f>
        <v>0</v>
      </c>
      <c r="M899" s="21">
        <f>IF(OR($L899="",$J899=""),"",IF($J899&gt;0,ROUND($L899*Multa+$L899*Juros/30*$J899,2),0))</f>
        <v>0</v>
      </c>
      <c r="N899" s="22">
        <f>IF($L899="","",IF($L899&lt;=0.005,0,$L899+N($M899)))</f>
        <v>0</v>
      </c>
      <c r="O899" s="23">
        <f>IF(OR($I899="Vencido",$I899="Vencido (parcial)"),"Olá, "&amp;$A899&amp;"! Consta em aberto '"&amp;$B899&amp;"' com vencimento em "&amp;DAY($D899)&amp;"/"&amp;MONTH($D899)&amp;"/"&amp;YEAR($D899)&amp;", no valor de R$ "&amp;FIXED($N899,2)&amp;" (com multa e juros). Podemos ajudar a regularizar hoje? Obrigado!",IF($I899="Vence hoje","Olá, "&amp;$A899&amp;"! Lembrete: '"&amp;$B899&amp;"' vence hoje, no valor de R$ "&amp;FIXED($L899,2)&amp;". Obrigado!",""))</f>
        <v>0</v>
      </c>
    </row>
    <row r="900" spans="1:15">
      <c r="A900" s="13"/>
      <c r="B900" s="13"/>
      <c r="C900" s="17"/>
      <c r="D900" s="17"/>
      <c r="E900" s="18"/>
      <c r="F900" s="17"/>
      <c r="G900" s="18"/>
      <c r="H900" s="13"/>
      <c r="I900" s="19">
        <f>IF($E900="","",IF($L900&lt;=0.005,"Pago",IF($D900="","Sem vencimento",IF($D900&lt;Hoje,IF(N($G900)&gt;0,"Vencido (parcial)","Vencido"),IF($D900=Hoje,"Vence hoje","A vencer")))))</f>
        <v>0</v>
      </c>
      <c r="J900" s="20">
        <f>IF(OR($E900="",$D900=""),"",IF(AND($L900&gt;0.005,$D900&lt;Hoje),Hoje-$D900,0))</f>
        <v>0</v>
      </c>
      <c r="K900" s="20">
        <f>IF($J900="","",IF($L900&lt;=0.005,"Pago",IF($J900&lt;=0,"A vencer",IF($J900&lt;=15,"1-15 dias",IF($J900&lt;=30,"16-30 dias",IF($J900&lt;=60,"31-60 dias","Mais de 60 dias"))))))</f>
        <v>0</v>
      </c>
      <c r="L900" s="21">
        <f>IF($E900="","",MAX(0,$E900-N($G900)))</f>
        <v>0</v>
      </c>
      <c r="M900" s="21">
        <f>IF(OR($L900="",$J900=""),"",IF($J900&gt;0,ROUND($L900*Multa+$L900*Juros/30*$J900,2),0))</f>
        <v>0</v>
      </c>
      <c r="N900" s="22">
        <f>IF($L900="","",IF($L900&lt;=0.005,0,$L900+N($M900)))</f>
        <v>0</v>
      </c>
      <c r="O900" s="23">
        <f>IF(OR($I900="Vencido",$I900="Vencido (parcial)"),"Olá, "&amp;$A900&amp;"! Consta em aberto '"&amp;$B900&amp;"' com vencimento em "&amp;DAY($D900)&amp;"/"&amp;MONTH($D900)&amp;"/"&amp;YEAR($D900)&amp;", no valor de R$ "&amp;FIXED($N900,2)&amp;" (com multa e juros). Podemos ajudar a regularizar hoje? Obrigado!",IF($I900="Vence hoje","Olá, "&amp;$A900&amp;"! Lembrete: '"&amp;$B900&amp;"' vence hoje, no valor de R$ "&amp;FIXED($L900,2)&amp;". Obrigado!",""))</f>
        <v>0</v>
      </c>
    </row>
    <row r="901" spans="1:15">
      <c r="A901" s="13"/>
      <c r="B901" s="13"/>
      <c r="C901" s="17"/>
      <c r="D901" s="17"/>
      <c r="E901" s="18"/>
      <c r="F901" s="17"/>
      <c r="G901" s="18"/>
      <c r="H901" s="13"/>
      <c r="I901" s="19">
        <f>IF($E901="","",IF($L901&lt;=0.005,"Pago",IF($D901="","Sem vencimento",IF($D901&lt;Hoje,IF(N($G901)&gt;0,"Vencido (parcial)","Vencido"),IF($D901=Hoje,"Vence hoje","A vencer")))))</f>
        <v>0</v>
      </c>
      <c r="J901" s="20">
        <f>IF(OR($E901="",$D901=""),"",IF(AND($L901&gt;0.005,$D901&lt;Hoje),Hoje-$D901,0))</f>
        <v>0</v>
      </c>
      <c r="K901" s="20">
        <f>IF($J901="","",IF($L901&lt;=0.005,"Pago",IF($J901&lt;=0,"A vencer",IF($J901&lt;=15,"1-15 dias",IF($J901&lt;=30,"16-30 dias",IF($J901&lt;=60,"31-60 dias","Mais de 60 dias"))))))</f>
        <v>0</v>
      </c>
      <c r="L901" s="21">
        <f>IF($E901="","",MAX(0,$E901-N($G901)))</f>
        <v>0</v>
      </c>
      <c r="M901" s="21">
        <f>IF(OR($L901="",$J901=""),"",IF($J901&gt;0,ROUND($L901*Multa+$L901*Juros/30*$J901,2),0))</f>
        <v>0</v>
      </c>
      <c r="N901" s="22">
        <f>IF($L901="","",IF($L901&lt;=0.005,0,$L901+N($M901)))</f>
        <v>0</v>
      </c>
      <c r="O901" s="23">
        <f>IF(OR($I901="Vencido",$I901="Vencido (parcial)"),"Olá, "&amp;$A901&amp;"! Consta em aberto '"&amp;$B901&amp;"' com vencimento em "&amp;DAY($D901)&amp;"/"&amp;MONTH($D901)&amp;"/"&amp;YEAR($D901)&amp;", no valor de R$ "&amp;FIXED($N901,2)&amp;" (com multa e juros). Podemos ajudar a regularizar hoje? Obrigado!",IF($I901="Vence hoje","Olá, "&amp;$A901&amp;"! Lembrete: '"&amp;$B901&amp;"' vence hoje, no valor de R$ "&amp;FIXED($L901,2)&amp;". Obrigado!",""))</f>
        <v>0</v>
      </c>
    </row>
    <row r="902" spans="1:15">
      <c r="A902" s="13"/>
      <c r="B902" s="13"/>
      <c r="C902" s="17"/>
      <c r="D902" s="17"/>
      <c r="E902" s="18"/>
      <c r="F902" s="17"/>
      <c r="G902" s="18"/>
      <c r="H902" s="13"/>
      <c r="I902" s="19">
        <f>IF($E902="","",IF($L902&lt;=0.005,"Pago",IF($D902="","Sem vencimento",IF($D902&lt;Hoje,IF(N($G902)&gt;0,"Vencido (parcial)","Vencido"),IF($D902=Hoje,"Vence hoje","A vencer")))))</f>
        <v>0</v>
      </c>
      <c r="J902" s="20">
        <f>IF(OR($E902="",$D902=""),"",IF(AND($L902&gt;0.005,$D902&lt;Hoje),Hoje-$D902,0))</f>
        <v>0</v>
      </c>
      <c r="K902" s="20">
        <f>IF($J902="","",IF($L902&lt;=0.005,"Pago",IF($J902&lt;=0,"A vencer",IF($J902&lt;=15,"1-15 dias",IF($J902&lt;=30,"16-30 dias",IF($J902&lt;=60,"31-60 dias","Mais de 60 dias"))))))</f>
        <v>0</v>
      </c>
      <c r="L902" s="21">
        <f>IF($E902="","",MAX(0,$E902-N($G902)))</f>
        <v>0</v>
      </c>
      <c r="M902" s="21">
        <f>IF(OR($L902="",$J902=""),"",IF($J902&gt;0,ROUND($L902*Multa+$L902*Juros/30*$J902,2),0))</f>
        <v>0</v>
      </c>
      <c r="N902" s="22">
        <f>IF($L902="","",IF($L902&lt;=0.005,0,$L902+N($M902)))</f>
        <v>0</v>
      </c>
      <c r="O902" s="23">
        <f>IF(OR($I902="Vencido",$I902="Vencido (parcial)"),"Olá, "&amp;$A902&amp;"! Consta em aberto '"&amp;$B902&amp;"' com vencimento em "&amp;DAY($D902)&amp;"/"&amp;MONTH($D902)&amp;"/"&amp;YEAR($D902)&amp;", no valor de R$ "&amp;FIXED($N902,2)&amp;" (com multa e juros). Podemos ajudar a regularizar hoje? Obrigado!",IF($I902="Vence hoje","Olá, "&amp;$A902&amp;"! Lembrete: '"&amp;$B902&amp;"' vence hoje, no valor de R$ "&amp;FIXED($L902,2)&amp;". Obrigado!",""))</f>
        <v>0</v>
      </c>
    </row>
    <row r="903" spans="1:15">
      <c r="A903" s="13"/>
      <c r="B903" s="13"/>
      <c r="C903" s="17"/>
      <c r="D903" s="17"/>
      <c r="E903" s="18"/>
      <c r="F903" s="17"/>
      <c r="G903" s="18"/>
      <c r="H903" s="13"/>
      <c r="I903" s="19">
        <f>IF($E903="","",IF($L903&lt;=0.005,"Pago",IF($D903="","Sem vencimento",IF($D903&lt;Hoje,IF(N($G903)&gt;0,"Vencido (parcial)","Vencido"),IF($D903=Hoje,"Vence hoje","A vencer")))))</f>
        <v>0</v>
      </c>
      <c r="J903" s="20">
        <f>IF(OR($E903="",$D903=""),"",IF(AND($L903&gt;0.005,$D903&lt;Hoje),Hoje-$D903,0))</f>
        <v>0</v>
      </c>
      <c r="K903" s="20">
        <f>IF($J903="","",IF($L903&lt;=0.005,"Pago",IF($J903&lt;=0,"A vencer",IF($J903&lt;=15,"1-15 dias",IF($J903&lt;=30,"16-30 dias",IF($J903&lt;=60,"31-60 dias","Mais de 60 dias"))))))</f>
        <v>0</v>
      </c>
      <c r="L903" s="21">
        <f>IF($E903="","",MAX(0,$E903-N($G903)))</f>
        <v>0</v>
      </c>
      <c r="M903" s="21">
        <f>IF(OR($L903="",$J903=""),"",IF($J903&gt;0,ROUND($L903*Multa+$L903*Juros/30*$J903,2),0))</f>
        <v>0</v>
      </c>
      <c r="N903" s="22">
        <f>IF($L903="","",IF($L903&lt;=0.005,0,$L903+N($M903)))</f>
        <v>0</v>
      </c>
      <c r="O903" s="23">
        <f>IF(OR($I903="Vencido",$I903="Vencido (parcial)"),"Olá, "&amp;$A903&amp;"! Consta em aberto '"&amp;$B903&amp;"' com vencimento em "&amp;DAY($D903)&amp;"/"&amp;MONTH($D903)&amp;"/"&amp;YEAR($D903)&amp;", no valor de R$ "&amp;FIXED($N903,2)&amp;" (com multa e juros). Podemos ajudar a regularizar hoje? Obrigado!",IF($I903="Vence hoje","Olá, "&amp;$A903&amp;"! Lembrete: '"&amp;$B903&amp;"' vence hoje, no valor de R$ "&amp;FIXED($L903,2)&amp;". Obrigado!",""))</f>
        <v>0</v>
      </c>
    </row>
    <row r="904" spans="1:15">
      <c r="A904" s="13"/>
      <c r="B904" s="13"/>
      <c r="C904" s="17"/>
      <c r="D904" s="17"/>
      <c r="E904" s="18"/>
      <c r="F904" s="17"/>
      <c r="G904" s="18"/>
      <c r="H904" s="13"/>
      <c r="I904" s="19">
        <f>IF($E904="","",IF($L904&lt;=0.005,"Pago",IF($D904="","Sem vencimento",IF($D904&lt;Hoje,IF(N($G904)&gt;0,"Vencido (parcial)","Vencido"),IF($D904=Hoje,"Vence hoje","A vencer")))))</f>
        <v>0</v>
      </c>
      <c r="J904" s="20">
        <f>IF(OR($E904="",$D904=""),"",IF(AND($L904&gt;0.005,$D904&lt;Hoje),Hoje-$D904,0))</f>
        <v>0</v>
      </c>
      <c r="K904" s="20">
        <f>IF($J904="","",IF($L904&lt;=0.005,"Pago",IF($J904&lt;=0,"A vencer",IF($J904&lt;=15,"1-15 dias",IF($J904&lt;=30,"16-30 dias",IF($J904&lt;=60,"31-60 dias","Mais de 60 dias"))))))</f>
        <v>0</v>
      </c>
      <c r="L904" s="21">
        <f>IF($E904="","",MAX(0,$E904-N($G904)))</f>
        <v>0</v>
      </c>
      <c r="M904" s="21">
        <f>IF(OR($L904="",$J904=""),"",IF($J904&gt;0,ROUND($L904*Multa+$L904*Juros/30*$J904,2),0))</f>
        <v>0</v>
      </c>
      <c r="N904" s="22">
        <f>IF($L904="","",IF($L904&lt;=0.005,0,$L904+N($M904)))</f>
        <v>0</v>
      </c>
      <c r="O904" s="23">
        <f>IF(OR($I904="Vencido",$I904="Vencido (parcial)"),"Olá, "&amp;$A904&amp;"! Consta em aberto '"&amp;$B904&amp;"' com vencimento em "&amp;DAY($D904)&amp;"/"&amp;MONTH($D904)&amp;"/"&amp;YEAR($D904)&amp;", no valor de R$ "&amp;FIXED($N904,2)&amp;" (com multa e juros). Podemos ajudar a regularizar hoje? Obrigado!",IF($I904="Vence hoje","Olá, "&amp;$A904&amp;"! Lembrete: '"&amp;$B904&amp;"' vence hoje, no valor de R$ "&amp;FIXED($L904,2)&amp;". Obrigado!",""))</f>
        <v>0</v>
      </c>
    </row>
    <row r="905" spans="1:15">
      <c r="A905" s="13"/>
      <c r="B905" s="13"/>
      <c r="C905" s="17"/>
      <c r="D905" s="17"/>
      <c r="E905" s="18"/>
      <c r="F905" s="17"/>
      <c r="G905" s="18"/>
      <c r="H905" s="13"/>
      <c r="I905" s="19">
        <f>IF($E905="","",IF($L905&lt;=0.005,"Pago",IF($D905="","Sem vencimento",IF($D905&lt;Hoje,IF(N($G905)&gt;0,"Vencido (parcial)","Vencido"),IF($D905=Hoje,"Vence hoje","A vencer")))))</f>
        <v>0</v>
      </c>
      <c r="J905" s="20">
        <f>IF(OR($E905="",$D905=""),"",IF(AND($L905&gt;0.005,$D905&lt;Hoje),Hoje-$D905,0))</f>
        <v>0</v>
      </c>
      <c r="K905" s="20">
        <f>IF($J905="","",IF($L905&lt;=0.005,"Pago",IF($J905&lt;=0,"A vencer",IF($J905&lt;=15,"1-15 dias",IF($J905&lt;=30,"16-30 dias",IF($J905&lt;=60,"31-60 dias","Mais de 60 dias"))))))</f>
        <v>0</v>
      </c>
      <c r="L905" s="21">
        <f>IF($E905="","",MAX(0,$E905-N($G905)))</f>
        <v>0</v>
      </c>
      <c r="M905" s="21">
        <f>IF(OR($L905="",$J905=""),"",IF($J905&gt;0,ROUND($L905*Multa+$L905*Juros/30*$J905,2),0))</f>
        <v>0</v>
      </c>
      <c r="N905" s="22">
        <f>IF($L905="","",IF($L905&lt;=0.005,0,$L905+N($M905)))</f>
        <v>0</v>
      </c>
      <c r="O905" s="23">
        <f>IF(OR($I905="Vencido",$I905="Vencido (parcial)"),"Olá, "&amp;$A905&amp;"! Consta em aberto '"&amp;$B905&amp;"' com vencimento em "&amp;DAY($D905)&amp;"/"&amp;MONTH($D905)&amp;"/"&amp;YEAR($D905)&amp;", no valor de R$ "&amp;FIXED($N905,2)&amp;" (com multa e juros). Podemos ajudar a regularizar hoje? Obrigado!",IF($I905="Vence hoje","Olá, "&amp;$A905&amp;"! Lembrete: '"&amp;$B905&amp;"' vence hoje, no valor de R$ "&amp;FIXED($L905,2)&amp;". Obrigado!",""))</f>
        <v>0</v>
      </c>
    </row>
    <row r="906" spans="1:15">
      <c r="A906" s="13"/>
      <c r="B906" s="13"/>
      <c r="C906" s="17"/>
      <c r="D906" s="17"/>
      <c r="E906" s="18"/>
      <c r="F906" s="17"/>
      <c r="G906" s="18"/>
      <c r="H906" s="13"/>
      <c r="I906" s="19">
        <f>IF($E906="","",IF($L906&lt;=0.005,"Pago",IF($D906="","Sem vencimento",IF($D906&lt;Hoje,IF(N($G906)&gt;0,"Vencido (parcial)","Vencido"),IF($D906=Hoje,"Vence hoje","A vencer")))))</f>
        <v>0</v>
      </c>
      <c r="J906" s="20">
        <f>IF(OR($E906="",$D906=""),"",IF(AND($L906&gt;0.005,$D906&lt;Hoje),Hoje-$D906,0))</f>
        <v>0</v>
      </c>
      <c r="K906" s="20">
        <f>IF($J906="","",IF($L906&lt;=0.005,"Pago",IF($J906&lt;=0,"A vencer",IF($J906&lt;=15,"1-15 dias",IF($J906&lt;=30,"16-30 dias",IF($J906&lt;=60,"31-60 dias","Mais de 60 dias"))))))</f>
        <v>0</v>
      </c>
      <c r="L906" s="21">
        <f>IF($E906="","",MAX(0,$E906-N($G906)))</f>
        <v>0</v>
      </c>
      <c r="M906" s="21">
        <f>IF(OR($L906="",$J906=""),"",IF($J906&gt;0,ROUND($L906*Multa+$L906*Juros/30*$J906,2),0))</f>
        <v>0</v>
      </c>
      <c r="N906" s="22">
        <f>IF($L906="","",IF($L906&lt;=0.005,0,$L906+N($M906)))</f>
        <v>0</v>
      </c>
      <c r="O906" s="23">
        <f>IF(OR($I906="Vencido",$I906="Vencido (parcial)"),"Olá, "&amp;$A906&amp;"! Consta em aberto '"&amp;$B906&amp;"' com vencimento em "&amp;DAY($D906)&amp;"/"&amp;MONTH($D906)&amp;"/"&amp;YEAR($D906)&amp;", no valor de R$ "&amp;FIXED($N906,2)&amp;" (com multa e juros). Podemos ajudar a regularizar hoje? Obrigado!",IF($I906="Vence hoje","Olá, "&amp;$A906&amp;"! Lembrete: '"&amp;$B906&amp;"' vence hoje, no valor de R$ "&amp;FIXED($L906,2)&amp;". Obrigado!",""))</f>
        <v>0</v>
      </c>
    </row>
    <row r="907" spans="1:15">
      <c r="A907" s="13"/>
      <c r="B907" s="13"/>
      <c r="C907" s="17"/>
      <c r="D907" s="17"/>
      <c r="E907" s="18"/>
      <c r="F907" s="17"/>
      <c r="G907" s="18"/>
      <c r="H907" s="13"/>
      <c r="I907" s="19">
        <f>IF($E907="","",IF($L907&lt;=0.005,"Pago",IF($D907="","Sem vencimento",IF($D907&lt;Hoje,IF(N($G907)&gt;0,"Vencido (parcial)","Vencido"),IF($D907=Hoje,"Vence hoje","A vencer")))))</f>
        <v>0</v>
      </c>
      <c r="J907" s="20">
        <f>IF(OR($E907="",$D907=""),"",IF(AND($L907&gt;0.005,$D907&lt;Hoje),Hoje-$D907,0))</f>
        <v>0</v>
      </c>
      <c r="K907" s="20">
        <f>IF($J907="","",IF($L907&lt;=0.005,"Pago",IF($J907&lt;=0,"A vencer",IF($J907&lt;=15,"1-15 dias",IF($J907&lt;=30,"16-30 dias",IF($J907&lt;=60,"31-60 dias","Mais de 60 dias"))))))</f>
        <v>0</v>
      </c>
      <c r="L907" s="21">
        <f>IF($E907="","",MAX(0,$E907-N($G907)))</f>
        <v>0</v>
      </c>
      <c r="M907" s="21">
        <f>IF(OR($L907="",$J907=""),"",IF($J907&gt;0,ROUND($L907*Multa+$L907*Juros/30*$J907,2),0))</f>
        <v>0</v>
      </c>
      <c r="N907" s="22">
        <f>IF($L907="","",IF($L907&lt;=0.005,0,$L907+N($M907)))</f>
        <v>0</v>
      </c>
      <c r="O907" s="23">
        <f>IF(OR($I907="Vencido",$I907="Vencido (parcial)"),"Olá, "&amp;$A907&amp;"! Consta em aberto '"&amp;$B907&amp;"' com vencimento em "&amp;DAY($D907)&amp;"/"&amp;MONTH($D907)&amp;"/"&amp;YEAR($D907)&amp;", no valor de R$ "&amp;FIXED($N907,2)&amp;" (com multa e juros). Podemos ajudar a regularizar hoje? Obrigado!",IF($I907="Vence hoje","Olá, "&amp;$A907&amp;"! Lembrete: '"&amp;$B907&amp;"' vence hoje, no valor de R$ "&amp;FIXED($L907,2)&amp;". Obrigado!",""))</f>
        <v>0</v>
      </c>
    </row>
    <row r="908" spans="1:15">
      <c r="A908" s="13"/>
      <c r="B908" s="13"/>
      <c r="C908" s="17"/>
      <c r="D908" s="17"/>
      <c r="E908" s="18"/>
      <c r="F908" s="17"/>
      <c r="G908" s="18"/>
      <c r="H908" s="13"/>
      <c r="I908" s="19">
        <f>IF($E908="","",IF($L908&lt;=0.005,"Pago",IF($D908="","Sem vencimento",IF($D908&lt;Hoje,IF(N($G908)&gt;0,"Vencido (parcial)","Vencido"),IF($D908=Hoje,"Vence hoje","A vencer")))))</f>
        <v>0</v>
      </c>
      <c r="J908" s="20">
        <f>IF(OR($E908="",$D908=""),"",IF(AND($L908&gt;0.005,$D908&lt;Hoje),Hoje-$D908,0))</f>
        <v>0</v>
      </c>
      <c r="K908" s="20">
        <f>IF($J908="","",IF($L908&lt;=0.005,"Pago",IF($J908&lt;=0,"A vencer",IF($J908&lt;=15,"1-15 dias",IF($J908&lt;=30,"16-30 dias",IF($J908&lt;=60,"31-60 dias","Mais de 60 dias"))))))</f>
        <v>0</v>
      </c>
      <c r="L908" s="21">
        <f>IF($E908="","",MAX(0,$E908-N($G908)))</f>
        <v>0</v>
      </c>
      <c r="M908" s="21">
        <f>IF(OR($L908="",$J908=""),"",IF($J908&gt;0,ROUND($L908*Multa+$L908*Juros/30*$J908,2),0))</f>
        <v>0</v>
      </c>
      <c r="N908" s="22">
        <f>IF($L908="","",IF($L908&lt;=0.005,0,$L908+N($M908)))</f>
        <v>0</v>
      </c>
      <c r="O908" s="23">
        <f>IF(OR($I908="Vencido",$I908="Vencido (parcial)"),"Olá, "&amp;$A908&amp;"! Consta em aberto '"&amp;$B908&amp;"' com vencimento em "&amp;DAY($D908)&amp;"/"&amp;MONTH($D908)&amp;"/"&amp;YEAR($D908)&amp;", no valor de R$ "&amp;FIXED($N908,2)&amp;" (com multa e juros). Podemos ajudar a regularizar hoje? Obrigado!",IF($I908="Vence hoje","Olá, "&amp;$A908&amp;"! Lembrete: '"&amp;$B908&amp;"' vence hoje, no valor de R$ "&amp;FIXED($L908,2)&amp;". Obrigado!",""))</f>
        <v>0</v>
      </c>
    </row>
    <row r="909" spans="1:15">
      <c r="A909" s="13"/>
      <c r="B909" s="13"/>
      <c r="C909" s="17"/>
      <c r="D909" s="17"/>
      <c r="E909" s="18"/>
      <c r="F909" s="17"/>
      <c r="G909" s="18"/>
      <c r="H909" s="13"/>
      <c r="I909" s="19">
        <f>IF($E909="","",IF($L909&lt;=0.005,"Pago",IF($D909="","Sem vencimento",IF($D909&lt;Hoje,IF(N($G909)&gt;0,"Vencido (parcial)","Vencido"),IF($D909=Hoje,"Vence hoje","A vencer")))))</f>
        <v>0</v>
      </c>
      <c r="J909" s="20">
        <f>IF(OR($E909="",$D909=""),"",IF(AND($L909&gt;0.005,$D909&lt;Hoje),Hoje-$D909,0))</f>
        <v>0</v>
      </c>
      <c r="K909" s="20">
        <f>IF($J909="","",IF($L909&lt;=0.005,"Pago",IF($J909&lt;=0,"A vencer",IF($J909&lt;=15,"1-15 dias",IF($J909&lt;=30,"16-30 dias",IF($J909&lt;=60,"31-60 dias","Mais de 60 dias"))))))</f>
        <v>0</v>
      </c>
      <c r="L909" s="21">
        <f>IF($E909="","",MAX(0,$E909-N($G909)))</f>
        <v>0</v>
      </c>
      <c r="M909" s="21">
        <f>IF(OR($L909="",$J909=""),"",IF($J909&gt;0,ROUND($L909*Multa+$L909*Juros/30*$J909,2),0))</f>
        <v>0</v>
      </c>
      <c r="N909" s="22">
        <f>IF($L909="","",IF($L909&lt;=0.005,0,$L909+N($M909)))</f>
        <v>0</v>
      </c>
      <c r="O909" s="23">
        <f>IF(OR($I909="Vencido",$I909="Vencido (parcial)"),"Olá, "&amp;$A909&amp;"! Consta em aberto '"&amp;$B909&amp;"' com vencimento em "&amp;DAY($D909)&amp;"/"&amp;MONTH($D909)&amp;"/"&amp;YEAR($D909)&amp;", no valor de R$ "&amp;FIXED($N909,2)&amp;" (com multa e juros). Podemos ajudar a regularizar hoje? Obrigado!",IF($I909="Vence hoje","Olá, "&amp;$A909&amp;"! Lembrete: '"&amp;$B909&amp;"' vence hoje, no valor de R$ "&amp;FIXED($L909,2)&amp;". Obrigado!",""))</f>
        <v>0</v>
      </c>
    </row>
    <row r="910" spans="1:15">
      <c r="A910" s="13"/>
      <c r="B910" s="13"/>
      <c r="C910" s="17"/>
      <c r="D910" s="17"/>
      <c r="E910" s="18"/>
      <c r="F910" s="17"/>
      <c r="G910" s="18"/>
      <c r="H910" s="13"/>
      <c r="I910" s="19">
        <f>IF($E910="","",IF($L910&lt;=0.005,"Pago",IF($D910="","Sem vencimento",IF($D910&lt;Hoje,IF(N($G910)&gt;0,"Vencido (parcial)","Vencido"),IF($D910=Hoje,"Vence hoje","A vencer")))))</f>
        <v>0</v>
      </c>
      <c r="J910" s="20">
        <f>IF(OR($E910="",$D910=""),"",IF(AND($L910&gt;0.005,$D910&lt;Hoje),Hoje-$D910,0))</f>
        <v>0</v>
      </c>
      <c r="K910" s="20">
        <f>IF($J910="","",IF($L910&lt;=0.005,"Pago",IF($J910&lt;=0,"A vencer",IF($J910&lt;=15,"1-15 dias",IF($J910&lt;=30,"16-30 dias",IF($J910&lt;=60,"31-60 dias","Mais de 60 dias"))))))</f>
        <v>0</v>
      </c>
      <c r="L910" s="21">
        <f>IF($E910="","",MAX(0,$E910-N($G910)))</f>
        <v>0</v>
      </c>
      <c r="M910" s="21">
        <f>IF(OR($L910="",$J910=""),"",IF($J910&gt;0,ROUND($L910*Multa+$L910*Juros/30*$J910,2),0))</f>
        <v>0</v>
      </c>
      <c r="N910" s="22">
        <f>IF($L910="","",IF($L910&lt;=0.005,0,$L910+N($M910)))</f>
        <v>0</v>
      </c>
      <c r="O910" s="23">
        <f>IF(OR($I910="Vencido",$I910="Vencido (parcial)"),"Olá, "&amp;$A910&amp;"! Consta em aberto '"&amp;$B910&amp;"' com vencimento em "&amp;DAY($D910)&amp;"/"&amp;MONTH($D910)&amp;"/"&amp;YEAR($D910)&amp;", no valor de R$ "&amp;FIXED($N910,2)&amp;" (com multa e juros). Podemos ajudar a regularizar hoje? Obrigado!",IF($I910="Vence hoje","Olá, "&amp;$A910&amp;"! Lembrete: '"&amp;$B910&amp;"' vence hoje, no valor de R$ "&amp;FIXED($L910,2)&amp;". Obrigado!",""))</f>
        <v>0</v>
      </c>
    </row>
    <row r="911" spans="1:15">
      <c r="A911" s="13"/>
      <c r="B911" s="13"/>
      <c r="C911" s="17"/>
      <c r="D911" s="17"/>
      <c r="E911" s="18"/>
      <c r="F911" s="17"/>
      <c r="G911" s="18"/>
      <c r="H911" s="13"/>
      <c r="I911" s="19">
        <f>IF($E911="","",IF($L911&lt;=0.005,"Pago",IF($D911="","Sem vencimento",IF($D911&lt;Hoje,IF(N($G911)&gt;0,"Vencido (parcial)","Vencido"),IF($D911=Hoje,"Vence hoje","A vencer")))))</f>
        <v>0</v>
      </c>
      <c r="J911" s="20">
        <f>IF(OR($E911="",$D911=""),"",IF(AND($L911&gt;0.005,$D911&lt;Hoje),Hoje-$D911,0))</f>
        <v>0</v>
      </c>
      <c r="K911" s="20">
        <f>IF($J911="","",IF($L911&lt;=0.005,"Pago",IF($J911&lt;=0,"A vencer",IF($J911&lt;=15,"1-15 dias",IF($J911&lt;=30,"16-30 dias",IF($J911&lt;=60,"31-60 dias","Mais de 60 dias"))))))</f>
        <v>0</v>
      </c>
      <c r="L911" s="21">
        <f>IF($E911="","",MAX(0,$E911-N($G911)))</f>
        <v>0</v>
      </c>
      <c r="M911" s="21">
        <f>IF(OR($L911="",$J911=""),"",IF($J911&gt;0,ROUND($L911*Multa+$L911*Juros/30*$J911,2),0))</f>
        <v>0</v>
      </c>
      <c r="N911" s="22">
        <f>IF($L911="","",IF($L911&lt;=0.005,0,$L911+N($M911)))</f>
        <v>0</v>
      </c>
      <c r="O911" s="23">
        <f>IF(OR($I911="Vencido",$I911="Vencido (parcial)"),"Olá, "&amp;$A911&amp;"! Consta em aberto '"&amp;$B911&amp;"' com vencimento em "&amp;DAY($D911)&amp;"/"&amp;MONTH($D911)&amp;"/"&amp;YEAR($D911)&amp;", no valor de R$ "&amp;FIXED($N911,2)&amp;" (com multa e juros). Podemos ajudar a regularizar hoje? Obrigado!",IF($I911="Vence hoje","Olá, "&amp;$A911&amp;"! Lembrete: '"&amp;$B911&amp;"' vence hoje, no valor de R$ "&amp;FIXED($L911,2)&amp;". Obrigado!",""))</f>
        <v>0</v>
      </c>
    </row>
    <row r="912" spans="1:15">
      <c r="A912" s="13"/>
      <c r="B912" s="13"/>
      <c r="C912" s="17"/>
      <c r="D912" s="17"/>
      <c r="E912" s="18"/>
      <c r="F912" s="17"/>
      <c r="G912" s="18"/>
      <c r="H912" s="13"/>
      <c r="I912" s="19">
        <f>IF($E912="","",IF($L912&lt;=0.005,"Pago",IF($D912="","Sem vencimento",IF($D912&lt;Hoje,IF(N($G912)&gt;0,"Vencido (parcial)","Vencido"),IF($D912=Hoje,"Vence hoje","A vencer")))))</f>
        <v>0</v>
      </c>
      <c r="J912" s="20">
        <f>IF(OR($E912="",$D912=""),"",IF(AND($L912&gt;0.005,$D912&lt;Hoje),Hoje-$D912,0))</f>
        <v>0</v>
      </c>
      <c r="K912" s="20">
        <f>IF($J912="","",IF($L912&lt;=0.005,"Pago",IF($J912&lt;=0,"A vencer",IF($J912&lt;=15,"1-15 dias",IF($J912&lt;=30,"16-30 dias",IF($J912&lt;=60,"31-60 dias","Mais de 60 dias"))))))</f>
        <v>0</v>
      </c>
      <c r="L912" s="21">
        <f>IF($E912="","",MAX(0,$E912-N($G912)))</f>
        <v>0</v>
      </c>
      <c r="M912" s="21">
        <f>IF(OR($L912="",$J912=""),"",IF($J912&gt;0,ROUND($L912*Multa+$L912*Juros/30*$J912,2),0))</f>
        <v>0</v>
      </c>
      <c r="N912" s="22">
        <f>IF($L912="","",IF($L912&lt;=0.005,0,$L912+N($M912)))</f>
        <v>0</v>
      </c>
      <c r="O912" s="23">
        <f>IF(OR($I912="Vencido",$I912="Vencido (parcial)"),"Olá, "&amp;$A912&amp;"! Consta em aberto '"&amp;$B912&amp;"' com vencimento em "&amp;DAY($D912)&amp;"/"&amp;MONTH($D912)&amp;"/"&amp;YEAR($D912)&amp;", no valor de R$ "&amp;FIXED($N912,2)&amp;" (com multa e juros). Podemos ajudar a regularizar hoje? Obrigado!",IF($I912="Vence hoje","Olá, "&amp;$A912&amp;"! Lembrete: '"&amp;$B912&amp;"' vence hoje, no valor de R$ "&amp;FIXED($L912,2)&amp;". Obrigado!",""))</f>
        <v>0</v>
      </c>
    </row>
    <row r="913" spans="1:15">
      <c r="A913" s="13"/>
      <c r="B913" s="13"/>
      <c r="C913" s="17"/>
      <c r="D913" s="17"/>
      <c r="E913" s="18"/>
      <c r="F913" s="17"/>
      <c r="G913" s="18"/>
      <c r="H913" s="13"/>
      <c r="I913" s="19">
        <f>IF($E913="","",IF($L913&lt;=0.005,"Pago",IF($D913="","Sem vencimento",IF($D913&lt;Hoje,IF(N($G913)&gt;0,"Vencido (parcial)","Vencido"),IF($D913=Hoje,"Vence hoje","A vencer")))))</f>
        <v>0</v>
      </c>
      <c r="J913" s="20">
        <f>IF(OR($E913="",$D913=""),"",IF(AND($L913&gt;0.005,$D913&lt;Hoje),Hoje-$D913,0))</f>
        <v>0</v>
      </c>
      <c r="K913" s="20">
        <f>IF($J913="","",IF($L913&lt;=0.005,"Pago",IF($J913&lt;=0,"A vencer",IF($J913&lt;=15,"1-15 dias",IF($J913&lt;=30,"16-30 dias",IF($J913&lt;=60,"31-60 dias","Mais de 60 dias"))))))</f>
        <v>0</v>
      </c>
      <c r="L913" s="21">
        <f>IF($E913="","",MAX(0,$E913-N($G913)))</f>
        <v>0</v>
      </c>
      <c r="M913" s="21">
        <f>IF(OR($L913="",$J913=""),"",IF($J913&gt;0,ROUND($L913*Multa+$L913*Juros/30*$J913,2),0))</f>
        <v>0</v>
      </c>
      <c r="N913" s="22">
        <f>IF($L913="","",IF($L913&lt;=0.005,0,$L913+N($M913)))</f>
        <v>0</v>
      </c>
      <c r="O913" s="23">
        <f>IF(OR($I913="Vencido",$I913="Vencido (parcial)"),"Olá, "&amp;$A913&amp;"! Consta em aberto '"&amp;$B913&amp;"' com vencimento em "&amp;DAY($D913)&amp;"/"&amp;MONTH($D913)&amp;"/"&amp;YEAR($D913)&amp;", no valor de R$ "&amp;FIXED($N913,2)&amp;" (com multa e juros). Podemos ajudar a regularizar hoje? Obrigado!",IF($I913="Vence hoje","Olá, "&amp;$A913&amp;"! Lembrete: '"&amp;$B913&amp;"' vence hoje, no valor de R$ "&amp;FIXED($L913,2)&amp;". Obrigado!",""))</f>
        <v>0</v>
      </c>
    </row>
    <row r="914" spans="1:15">
      <c r="A914" s="13"/>
      <c r="B914" s="13"/>
      <c r="C914" s="17"/>
      <c r="D914" s="17"/>
      <c r="E914" s="18"/>
      <c r="F914" s="17"/>
      <c r="G914" s="18"/>
      <c r="H914" s="13"/>
      <c r="I914" s="19">
        <f>IF($E914="","",IF($L914&lt;=0.005,"Pago",IF($D914="","Sem vencimento",IF($D914&lt;Hoje,IF(N($G914)&gt;0,"Vencido (parcial)","Vencido"),IF($D914=Hoje,"Vence hoje","A vencer")))))</f>
        <v>0</v>
      </c>
      <c r="J914" s="20">
        <f>IF(OR($E914="",$D914=""),"",IF(AND($L914&gt;0.005,$D914&lt;Hoje),Hoje-$D914,0))</f>
        <v>0</v>
      </c>
      <c r="K914" s="20">
        <f>IF($J914="","",IF($L914&lt;=0.005,"Pago",IF($J914&lt;=0,"A vencer",IF($J914&lt;=15,"1-15 dias",IF($J914&lt;=30,"16-30 dias",IF($J914&lt;=60,"31-60 dias","Mais de 60 dias"))))))</f>
        <v>0</v>
      </c>
      <c r="L914" s="21">
        <f>IF($E914="","",MAX(0,$E914-N($G914)))</f>
        <v>0</v>
      </c>
      <c r="M914" s="21">
        <f>IF(OR($L914="",$J914=""),"",IF($J914&gt;0,ROUND($L914*Multa+$L914*Juros/30*$J914,2),0))</f>
        <v>0</v>
      </c>
      <c r="N914" s="22">
        <f>IF($L914="","",IF($L914&lt;=0.005,0,$L914+N($M914)))</f>
        <v>0</v>
      </c>
      <c r="O914" s="23">
        <f>IF(OR($I914="Vencido",$I914="Vencido (parcial)"),"Olá, "&amp;$A914&amp;"! Consta em aberto '"&amp;$B914&amp;"' com vencimento em "&amp;DAY($D914)&amp;"/"&amp;MONTH($D914)&amp;"/"&amp;YEAR($D914)&amp;", no valor de R$ "&amp;FIXED($N914,2)&amp;" (com multa e juros). Podemos ajudar a regularizar hoje? Obrigado!",IF($I914="Vence hoje","Olá, "&amp;$A914&amp;"! Lembrete: '"&amp;$B914&amp;"' vence hoje, no valor de R$ "&amp;FIXED($L914,2)&amp;". Obrigado!",""))</f>
        <v>0</v>
      </c>
    </row>
    <row r="915" spans="1:15">
      <c r="A915" s="13"/>
      <c r="B915" s="13"/>
      <c r="C915" s="17"/>
      <c r="D915" s="17"/>
      <c r="E915" s="18"/>
      <c r="F915" s="17"/>
      <c r="G915" s="18"/>
      <c r="H915" s="13"/>
      <c r="I915" s="19">
        <f>IF($E915="","",IF($L915&lt;=0.005,"Pago",IF($D915="","Sem vencimento",IF($D915&lt;Hoje,IF(N($G915)&gt;0,"Vencido (parcial)","Vencido"),IF($D915=Hoje,"Vence hoje","A vencer")))))</f>
        <v>0</v>
      </c>
      <c r="J915" s="20">
        <f>IF(OR($E915="",$D915=""),"",IF(AND($L915&gt;0.005,$D915&lt;Hoje),Hoje-$D915,0))</f>
        <v>0</v>
      </c>
      <c r="K915" s="20">
        <f>IF($J915="","",IF($L915&lt;=0.005,"Pago",IF($J915&lt;=0,"A vencer",IF($J915&lt;=15,"1-15 dias",IF($J915&lt;=30,"16-30 dias",IF($J915&lt;=60,"31-60 dias","Mais de 60 dias"))))))</f>
        <v>0</v>
      </c>
      <c r="L915" s="21">
        <f>IF($E915="","",MAX(0,$E915-N($G915)))</f>
        <v>0</v>
      </c>
      <c r="M915" s="21">
        <f>IF(OR($L915="",$J915=""),"",IF($J915&gt;0,ROUND($L915*Multa+$L915*Juros/30*$J915,2),0))</f>
        <v>0</v>
      </c>
      <c r="N915" s="22">
        <f>IF($L915="","",IF($L915&lt;=0.005,0,$L915+N($M915)))</f>
        <v>0</v>
      </c>
      <c r="O915" s="23">
        <f>IF(OR($I915="Vencido",$I915="Vencido (parcial)"),"Olá, "&amp;$A915&amp;"! Consta em aberto '"&amp;$B915&amp;"' com vencimento em "&amp;DAY($D915)&amp;"/"&amp;MONTH($D915)&amp;"/"&amp;YEAR($D915)&amp;", no valor de R$ "&amp;FIXED($N915,2)&amp;" (com multa e juros). Podemos ajudar a regularizar hoje? Obrigado!",IF($I915="Vence hoje","Olá, "&amp;$A915&amp;"! Lembrete: '"&amp;$B915&amp;"' vence hoje, no valor de R$ "&amp;FIXED($L915,2)&amp;". Obrigado!",""))</f>
        <v>0</v>
      </c>
    </row>
    <row r="916" spans="1:15">
      <c r="A916" s="13"/>
      <c r="B916" s="13"/>
      <c r="C916" s="17"/>
      <c r="D916" s="17"/>
      <c r="E916" s="18"/>
      <c r="F916" s="17"/>
      <c r="G916" s="18"/>
      <c r="H916" s="13"/>
      <c r="I916" s="19">
        <f>IF($E916="","",IF($L916&lt;=0.005,"Pago",IF($D916="","Sem vencimento",IF($D916&lt;Hoje,IF(N($G916)&gt;0,"Vencido (parcial)","Vencido"),IF($D916=Hoje,"Vence hoje","A vencer")))))</f>
        <v>0</v>
      </c>
      <c r="J916" s="20">
        <f>IF(OR($E916="",$D916=""),"",IF(AND($L916&gt;0.005,$D916&lt;Hoje),Hoje-$D916,0))</f>
        <v>0</v>
      </c>
      <c r="K916" s="20">
        <f>IF($J916="","",IF($L916&lt;=0.005,"Pago",IF($J916&lt;=0,"A vencer",IF($J916&lt;=15,"1-15 dias",IF($J916&lt;=30,"16-30 dias",IF($J916&lt;=60,"31-60 dias","Mais de 60 dias"))))))</f>
        <v>0</v>
      </c>
      <c r="L916" s="21">
        <f>IF($E916="","",MAX(0,$E916-N($G916)))</f>
        <v>0</v>
      </c>
      <c r="M916" s="21">
        <f>IF(OR($L916="",$J916=""),"",IF($J916&gt;0,ROUND($L916*Multa+$L916*Juros/30*$J916,2),0))</f>
        <v>0</v>
      </c>
      <c r="N916" s="22">
        <f>IF($L916="","",IF($L916&lt;=0.005,0,$L916+N($M916)))</f>
        <v>0</v>
      </c>
      <c r="O916" s="23">
        <f>IF(OR($I916="Vencido",$I916="Vencido (parcial)"),"Olá, "&amp;$A916&amp;"! Consta em aberto '"&amp;$B916&amp;"' com vencimento em "&amp;DAY($D916)&amp;"/"&amp;MONTH($D916)&amp;"/"&amp;YEAR($D916)&amp;", no valor de R$ "&amp;FIXED($N916,2)&amp;" (com multa e juros). Podemos ajudar a regularizar hoje? Obrigado!",IF($I916="Vence hoje","Olá, "&amp;$A916&amp;"! Lembrete: '"&amp;$B916&amp;"' vence hoje, no valor de R$ "&amp;FIXED($L916,2)&amp;". Obrigado!",""))</f>
        <v>0</v>
      </c>
    </row>
    <row r="917" spans="1:15">
      <c r="A917" s="13"/>
      <c r="B917" s="13"/>
      <c r="C917" s="17"/>
      <c r="D917" s="17"/>
      <c r="E917" s="18"/>
      <c r="F917" s="17"/>
      <c r="G917" s="18"/>
      <c r="H917" s="13"/>
      <c r="I917" s="19">
        <f>IF($E917="","",IF($L917&lt;=0.005,"Pago",IF($D917="","Sem vencimento",IF($D917&lt;Hoje,IF(N($G917)&gt;0,"Vencido (parcial)","Vencido"),IF($D917=Hoje,"Vence hoje","A vencer")))))</f>
        <v>0</v>
      </c>
      <c r="J917" s="20">
        <f>IF(OR($E917="",$D917=""),"",IF(AND($L917&gt;0.005,$D917&lt;Hoje),Hoje-$D917,0))</f>
        <v>0</v>
      </c>
      <c r="K917" s="20">
        <f>IF($J917="","",IF($L917&lt;=0.005,"Pago",IF($J917&lt;=0,"A vencer",IF($J917&lt;=15,"1-15 dias",IF($J917&lt;=30,"16-30 dias",IF($J917&lt;=60,"31-60 dias","Mais de 60 dias"))))))</f>
        <v>0</v>
      </c>
      <c r="L917" s="21">
        <f>IF($E917="","",MAX(0,$E917-N($G917)))</f>
        <v>0</v>
      </c>
      <c r="M917" s="21">
        <f>IF(OR($L917="",$J917=""),"",IF($J917&gt;0,ROUND($L917*Multa+$L917*Juros/30*$J917,2),0))</f>
        <v>0</v>
      </c>
      <c r="N917" s="22">
        <f>IF($L917="","",IF($L917&lt;=0.005,0,$L917+N($M917)))</f>
        <v>0</v>
      </c>
      <c r="O917" s="23">
        <f>IF(OR($I917="Vencido",$I917="Vencido (parcial)"),"Olá, "&amp;$A917&amp;"! Consta em aberto '"&amp;$B917&amp;"' com vencimento em "&amp;DAY($D917)&amp;"/"&amp;MONTH($D917)&amp;"/"&amp;YEAR($D917)&amp;", no valor de R$ "&amp;FIXED($N917,2)&amp;" (com multa e juros). Podemos ajudar a regularizar hoje? Obrigado!",IF($I917="Vence hoje","Olá, "&amp;$A917&amp;"! Lembrete: '"&amp;$B917&amp;"' vence hoje, no valor de R$ "&amp;FIXED($L917,2)&amp;". Obrigado!",""))</f>
        <v>0</v>
      </c>
    </row>
    <row r="918" spans="1:15">
      <c r="A918" s="13"/>
      <c r="B918" s="13"/>
      <c r="C918" s="17"/>
      <c r="D918" s="17"/>
      <c r="E918" s="18"/>
      <c r="F918" s="17"/>
      <c r="G918" s="18"/>
      <c r="H918" s="13"/>
      <c r="I918" s="19">
        <f>IF($E918="","",IF($L918&lt;=0.005,"Pago",IF($D918="","Sem vencimento",IF($D918&lt;Hoje,IF(N($G918)&gt;0,"Vencido (parcial)","Vencido"),IF($D918=Hoje,"Vence hoje","A vencer")))))</f>
        <v>0</v>
      </c>
      <c r="J918" s="20">
        <f>IF(OR($E918="",$D918=""),"",IF(AND($L918&gt;0.005,$D918&lt;Hoje),Hoje-$D918,0))</f>
        <v>0</v>
      </c>
      <c r="K918" s="20">
        <f>IF($J918="","",IF($L918&lt;=0.005,"Pago",IF($J918&lt;=0,"A vencer",IF($J918&lt;=15,"1-15 dias",IF($J918&lt;=30,"16-30 dias",IF($J918&lt;=60,"31-60 dias","Mais de 60 dias"))))))</f>
        <v>0</v>
      </c>
      <c r="L918" s="21">
        <f>IF($E918="","",MAX(0,$E918-N($G918)))</f>
        <v>0</v>
      </c>
      <c r="M918" s="21">
        <f>IF(OR($L918="",$J918=""),"",IF($J918&gt;0,ROUND($L918*Multa+$L918*Juros/30*$J918,2),0))</f>
        <v>0</v>
      </c>
      <c r="N918" s="22">
        <f>IF($L918="","",IF($L918&lt;=0.005,0,$L918+N($M918)))</f>
        <v>0</v>
      </c>
      <c r="O918" s="23">
        <f>IF(OR($I918="Vencido",$I918="Vencido (parcial)"),"Olá, "&amp;$A918&amp;"! Consta em aberto '"&amp;$B918&amp;"' com vencimento em "&amp;DAY($D918)&amp;"/"&amp;MONTH($D918)&amp;"/"&amp;YEAR($D918)&amp;", no valor de R$ "&amp;FIXED($N918,2)&amp;" (com multa e juros). Podemos ajudar a regularizar hoje? Obrigado!",IF($I918="Vence hoje","Olá, "&amp;$A918&amp;"! Lembrete: '"&amp;$B918&amp;"' vence hoje, no valor de R$ "&amp;FIXED($L918,2)&amp;". Obrigado!",""))</f>
        <v>0</v>
      </c>
    </row>
    <row r="919" spans="1:15">
      <c r="A919" s="13"/>
      <c r="B919" s="13"/>
      <c r="C919" s="17"/>
      <c r="D919" s="17"/>
      <c r="E919" s="18"/>
      <c r="F919" s="17"/>
      <c r="G919" s="18"/>
      <c r="H919" s="13"/>
      <c r="I919" s="19">
        <f>IF($E919="","",IF($L919&lt;=0.005,"Pago",IF($D919="","Sem vencimento",IF($D919&lt;Hoje,IF(N($G919)&gt;0,"Vencido (parcial)","Vencido"),IF($D919=Hoje,"Vence hoje","A vencer")))))</f>
        <v>0</v>
      </c>
      <c r="J919" s="20">
        <f>IF(OR($E919="",$D919=""),"",IF(AND($L919&gt;0.005,$D919&lt;Hoje),Hoje-$D919,0))</f>
        <v>0</v>
      </c>
      <c r="K919" s="20">
        <f>IF($J919="","",IF($L919&lt;=0.005,"Pago",IF($J919&lt;=0,"A vencer",IF($J919&lt;=15,"1-15 dias",IF($J919&lt;=30,"16-30 dias",IF($J919&lt;=60,"31-60 dias","Mais de 60 dias"))))))</f>
        <v>0</v>
      </c>
      <c r="L919" s="21">
        <f>IF($E919="","",MAX(0,$E919-N($G919)))</f>
        <v>0</v>
      </c>
      <c r="M919" s="21">
        <f>IF(OR($L919="",$J919=""),"",IF($J919&gt;0,ROUND($L919*Multa+$L919*Juros/30*$J919,2),0))</f>
        <v>0</v>
      </c>
      <c r="N919" s="22">
        <f>IF($L919="","",IF($L919&lt;=0.005,0,$L919+N($M919)))</f>
        <v>0</v>
      </c>
      <c r="O919" s="23">
        <f>IF(OR($I919="Vencido",$I919="Vencido (parcial)"),"Olá, "&amp;$A919&amp;"! Consta em aberto '"&amp;$B919&amp;"' com vencimento em "&amp;DAY($D919)&amp;"/"&amp;MONTH($D919)&amp;"/"&amp;YEAR($D919)&amp;", no valor de R$ "&amp;FIXED($N919,2)&amp;" (com multa e juros). Podemos ajudar a regularizar hoje? Obrigado!",IF($I919="Vence hoje","Olá, "&amp;$A919&amp;"! Lembrete: '"&amp;$B919&amp;"' vence hoje, no valor de R$ "&amp;FIXED($L919,2)&amp;". Obrigado!",""))</f>
        <v>0</v>
      </c>
    </row>
    <row r="920" spans="1:15">
      <c r="A920" s="13"/>
      <c r="B920" s="13"/>
      <c r="C920" s="17"/>
      <c r="D920" s="17"/>
      <c r="E920" s="18"/>
      <c r="F920" s="17"/>
      <c r="G920" s="18"/>
      <c r="H920" s="13"/>
      <c r="I920" s="19">
        <f>IF($E920="","",IF($L920&lt;=0.005,"Pago",IF($D920="","Sem vencimento",IF($D920&lt;Hoje,IF(N($G920)&gt;0,"Vencido (parcial)","Vencido"),IF($D920=Hoje,"Vence hoje","A vencer")))))</f>
        <v>0</v>
      </c>
      <c r="J920" s="20">
        <f>IF(OR($E920="",$D920=""),"",IF(AND($L920&gt;0.005,$D920&lt;Hoje),Hoje-$D920,0))</f>
        <v>0</v>
      </c>
      <c r="K920" s="20">
        <f>IF($J920="","",IF($L920&lt;=0.005,"Pago",IF($J920&lt;=0,"A vencer",IF($J920&lt;=15,"1-15 dias",IF($J920&lt;=30,"16-30 dias",IF($J920&lt;=60,"31-60 dias","Mais de 60 dias"))))))</f>
        <v>0</v>
      </c>
      <c r="L920" s="21">
        <f>IF($E920="","",MAX(0,$E920-N($G920)))</f>
        <v>0</v>
      </c>
      <c r="M920" s="21">
        <f>IF(OR($L920="",$J920=""),"",IF($J920&gt;0,ROUND($L920*Multa+$L920*Juros/30*$J920,2),0))</f>
        <v>0</v>
      </c>
      <c r="N920" s="22">
        <f>IF($L920="","",IF($L920&lt;=0.005,0,$L920+N($M920)))</f>
        <v>0</v>
      </c>
      <c r="O920" s="23">
        <f>IF(OR($I920="Vencido",$I920="Vencido (parcial)"),"Olá, "&amp;$A920&amp;"! Consta em aberto '"&amp;$B920&amp;"' com vencimento em "&amp;DAY($D920)&amp;"/"&amp;MONTH($D920)&amp;"/"&amp;YEAR($D920)&amp;", no valor de R$ "&amp;FIXED($N920,2)&amp;" (com multa e juros). Podemos ajudar a regularizar hoje? Obrigado!",IF($I920="Vence hoje","Olá, "&amp;$A920&amp;"! Lembrete: '"&amp;$B920&amp;"' vence hoje, no valor de R$ "&amp;FIXED($L920,2)&amp;". Obrigado!",""))</f>
        <v>0</v>
      </c>
    </row>
    <row r="921" spans="1:15">
      <c r="A921" s="13"/>
      <c r="B921" s="13"/>
      <c r="C921" s="17"/>
      <c r="D921" s="17"/>
      <c r="E921" s="18"/>
      <c r="F921" s="17"/>
      <c r="G921" s="18"/>
      <c r="H921" s="13"/>
      <c r="I921" s="19">
        <f>IF($E921="","",IF($L921&lt;=0.005,"Pago",IF($D921="","Sem vencimento",IF($D921&lt;Hoje,IF(N($G921)&gt;0,"Vencido (parcial)","Vencido"),IF($D921=Hoje,"Vence hoje","A vencer")))))</f>
        <v>0</v>
      </c>
      <c r="J921" s="20">
        <f>IF(OR($E921="",$D921=""),"",IF(AND($L921&gt;0.005,$D921&lt;Hoje),Hoje-$D921,0))</f>
        <v>0</v>
      </c>
      <c r="K921" s="20">
        <f>IF($J921="","",IF($L921&lt;=0.005,"Pago",IF($J921&lt;=0,"A vencer",IF($J921&lt;=15,"1-15 dias",IF($J921&lt;=30,"16-30 dias",IF($J921&lt;=60,"31-60 dias","Mais de 60 dias"))))))</f>
        <v>0</v>
      </c>
      <c r="L921" s="21">
        <f>IF($E921="","",MAX(0,$E921-N($G921)))</f>
        <v>0</v>
      </c>
      <c r="M921" s="21">
        <f>IF(OR($L921="",$J921=""),"",IF($J921&gt;0,ROUND($L921*Multa+$L921*Juros/30*$J921,2),0))</f>
        <v>0</v>
      </c>
      <c r="N921" s="22">
        <f>IF($L921="","",IF($L921&lt;=0.005,0,$L921+N($M921)))</f>
        <v>0</v>
      </c>
      <c r="O921" s="23">
        <f>IF(OR($I921="Vencido",$I921="Vencido (parcial)"),"Olá, "&amp;$A921&amp;"! Consta em aberto '"&amp;$B921&amp;"' com vencimento em "&amp;DAY($D921)&amp;"/"&amp;MONTH($D921)&amp;"/"&amp;YEAR($D921)&amp;", no valor de R$ "&amp;FIXED($N921,2)&amp;" (com multa e juros). Podemos ajudar a regularizar hoje? Obrigado!",IF($I921="Vence hoje","Olá, "&amp;$A921&amp;"! Lembrete: '"&amp;$B921&amp;"' vence hoje, no valor de R$ "&amp;FIXED($L921,2)&amp;". Obrigado!",""))</f>
        <v>0</v>
      </c>
    </row>
    <row r="922" spans="1:15">
      <c r="A922" s="13"/>
      <c r="B922" s="13"/>
      <c r="C922" s="17"/>
      <c r="D922" s="17"/>
      <c r="E922" s="18"/>
      <c r="F922" s="17"/>
      <c r="G922" s="18"/>
      <c r="H922" s="13"/>
      <c r="I922" s="19">
        <f>IF($E922="","",IF($L922&lt;=0.005,"Pago",IF($D922="","Sem vencimento",IF($D922&lt;Hoje,IF(N($G922)&gt;0,"Vencido (parcial)","Vencido"),IF($D922=Hoje,"Vence hoje","A vencer")))))</f>
        <v>0</v>
      </c>
      <c r="J922" s="20">
        <f>IF(OR($E922="",$D922=""),"",IF(AND($L922&gt;0.005,$D922&lt;Hoje),Hoje-$D922,0))</f>
        <v>0</v>
      </c>
      <c r="K922" s="20">
        <f>IF($J922="","",IF($L922&lt;=0.005,"Pago",IF($J922&lt;=0,"A vencer",IF($J922&lt;=15,"1-15 dias",IF($J922&lt;=30,"16-30 dias",IF($J922&lt;=60,"31-60 dias","Mais de 60 dias"))))))</f>
        <v>0</v>
      </c>
      <c r="L922" s="21">
        <f>IF($E922="","",MAX(0,$E922-N($G922)))</f>
        <v>0</v>
      </c>
      <c r="M922" s="21">
        <f>IF(OR($L922="",$J922=""),"",IF($J922&gt;0,ROUND($L922*Multa+$L922*Juros/30*$J922,2),0))</f>
        <v>0</v>
      </c>
      <c r="N922" s="22">
        <f>IF($L922="","",IF($L922&lt;=0.005,0,$L922+N($M922)))</f>
        <v>0</v>
      </c>
      <c r="O922" s="23">
        <f>IF(OR($I922="Vencido",$I922="Vencido (parcial)"),"Olá, "&amp;$A922&amp;"! Consta em aberto '"&amp;$B922&amp;"' com vencimento em "&amp;DAY($D922)&amp;"/"&amp;MONTH($D922)&amp;"/"&amp;YEAR($D922)&amp;", no valor de R$ "&amp;FIXED($N922,2)&amp;" (com multa e juros). Podemos ajudar a regularizar hoje? Obrigado!",IF($I922="Vence hoje","Olá, "&amp;$A922&amp;"! Lembrete: '"&amp;$B922&amp;"' vence hoje, no valor de R$ "&amp;FIXED($L922,2)&amp;". Obrigado!",""))</f>
        <v>0</v>
      </c>
    </row>
    <row r="923" spans="1:15">
      <c r="A923" s="13"/>
      <c r="B923" s="13"/>
      <c r="C923" s="17"/>
      <c r="D923" s="17"/>
      <c r="E923" s="18"/>
      <c r="F923" s="17"/>
      <c r="G923" s="18"/>
      <c r="H923" s="13"/>
      <c r="I923" s="19">
        <f>IF($E923="","",IF($L923&lt;=0.005,"Pago",IF($D923="","Sem vencimento",IF($D923&lt;Hoje,IF(N($G923)&gt;0,"Vencido (parcial)","Vencido"),IF($D923=Hoje,"Vence hoje","A vencer")))))</f>
        <v>0</v>
      </c>
      <c r="J923" s="20">
        <f>IF(OR($E923="",$D923=""),"",IF(AND($L923&gt;0.005,$D923&lt;Hoje),Hoje-$D923,0))</f>
        <v>0</v>
      </c>
      <c r="K923" s="20">
        <f>IF($J923="","",IF($L923&lt;=0.005,"Pago",IF($J923&lt;=0,"A vencer",IF($J923&lt;=15,"1-15 dias",IF($J923&lt;=30,"16-30 dias",IF($J923&lt;=60,"31-60 dias","Mais de 60 dias"))))))</f>
        <v>0</v>
      </c>
      <c r="L923" s="21">
        <f>IF($E923="","",MAX(0,$E923-N($G923)))</f>
        <v>0</v>
      </c>
      <c r="M923" s="21">
        <f>IF(OR($L923="",$J923=""),"",IF($J923&gt;0,ROUND($L923*Multa+$L923*Juros/30*$J923,2),0))</f>
        <v>0</v>
      </c>
      <c r="N923" s="22">
        <f>IF($L923="","",IF($L923&lt;=0.005,0,$L923+N($M923)))</f>
        <v>0</v>
      </c>
      <c r="O923" s="23">
        <f>IF(OR($I923="Vencido",$I923="Vencido (parcial)"),"Olá, "&amp;$A923&amp;"! Consta em aberto '"&amp;$B923&amp;"' com vencimento em "&amp;DAY($D923)&amp;"/"&amp;MONTH($D923)&amp;"/"&amp;YEAR($D923)&amp;", no valor de R$ "&amp;FIXED($N923,2)&amp;" (com multa e juros). Podemos ajudar a regularizar hoje? Obrigado!",IF($I923="Vence hoje","Olá, "&amp;$A923&amp;"! Lembrete: '"&amp;$B923&amp;"' vence hoje, no valor de R$ "&amp;FIXED($L923,2)&amp;". Obrigado!",""))</f>
        <v>0</v>
      </c>
    </row>
    <row r="924" spans="1:15">
      <c r="A924" s="13"/>
      <c r="B924" s="13"/>
      <c r="C924" s="17"/>
      <c r="D924" s="17"/>
      <c r="E924" s="18"/>
      <c r="F924" s="17"/>
      <c r="G924" s="18"/>
      <c r="H924" s="13"/>
      <c r="I924" s="19">
        <f>IF($E924="","",IF($L924&lt;=0.005,"Pago",IF($D924="","Sem vencimento",IF($D924&lt;Hoje,IF(N($G924)&gt;0,"Vencido (parcial)","Vencido"),IF($D924=Hoje,"Vence hoje","A vencer")))))</f>
        <v>0</v>
      </c>
      <c r="J924" s="20">
        <f>IF(OR($E924="",$D924=""),"",IF(AND($L924&gt;0.005,$D924&lt;Hoje),Hoje-$D924,0))</f>
        <v>0</v>
      </c>
      <c r="K924" s="20">
        <f>IF($J924="","",IF($L924&lt;=0.005,"Pago",IF($J924&lt;=0,"A vencer",IF($J924&lt;=15,"1-15 dias",IF($J924&lt;=30,"16-30 dias",IF($J924&lt;=60,"31-60 dias","Mais de 60 dias"))))))</f>
        <v>0</v>
      </c>
      <c r="L924" s="21">
        <f>IF($E924="","",MAX(0,$E924-N($G924)))</f>
        <v>0</v>
      </c>
      <c r="M924" s="21">
        <f>IF(OR($L924="",$J924=""),"",IF($J924&gt;0,ROUND($L924*Multa+$L924*Juros/30*$J924,2),0))</f>
        <v>0</v>
      </c>
      <c r="N924" s="22">
        <f>IF($L924="","",IF($L924&lt;=0.005,0,$L924+N($M924)))</f>
        <v>0</v>
      </c>
      <c r="O924" s="23">
        <f>IF(OR($I924="Vencido",$I924="Vencido (parcial)"),"Olá, "&amp;$A924&amp;"! Consta em aberto '"&amp;$B924&amp;"' com vencimento em "&amp;DAY($D924)&amp;"/"&amp;MONTH($D924)&amp;"/"&amp;YEAR($D924)&amp;", no valor de R$ "&amp;FIXED($N924,2)&amp;" (com multa e juros). Podemos ajudar a regularizar hoje? Obrigado!",IF($I924="Vence hoje","Olá, "&amp;$A924&amp;"! Lembrete: '"&amp;$B924&amp;"' vence hoje, no valor de R$ "&amp;FIXED($L924,2)&amp;". Obrigado!",""))</f>
        <v>0</v>
      </c>
    </row>
    <row r="925" spans="1:15">
      <c r="A925" s="13"/>
      <c r="B925" s="13"/>
      <c r="C925" s="17"/>
      <c r="D925" s="17"/>
      <c r="E925" s="18"/>
      <c r="F925" s="17"/>
      <c r="G925" s="18"/>
      <c r="H925" s="13"/>
      <c r="I925" s="19">
        <f>IF($E925="","",IF($L925&lt;=0.005,"Pago",IF($D925="","Sem vencimento",IF($D925&lt;Hoje,IF(N($G925)&gt;0,"Vencido (parcial)","Vencido"),IF($D925=Hoje,"Vence hoje","A vencer")))))</f>
        <v>0</v>
      </c>
      <c r="J925" s="20">
        <f>IF(OR($E925="",$D925=""),"",IF(AND($L925&gt;0.005,$D925&lt;Hoje),Hoje-$D925,0))</f>
        <v>0</v>
      </c>
      <c r="K925" s="20">
        <f>IF($J925="","",IF($L925&lt;=0.005,"Pago",IF($J925&lt;=0,"A vencer",IF($J925&lt;=15,"1-15 dias",IF($J925&lt;=30,"16-30 dias",IF($J925&lt;=60,"31-60 dias","Mais de 60 dias"))))))</f>
        <v>0</v>
      </c>
      <c r="L925" s="21">
        <f>IF($E925="","",MAX(0,$E925-N($G925)))</f>
        <v>0</v>
      </c>
      <c r="M925" s="21">
        <f>IF(OR($L925="",$J925=""),"",IF($J925&gt;0,ROUND($L925*Multa+$L925*Juros/30*$J925,2),0))</f>
        <v>0</v>
      </c>
      <c r="N925" s="22">
        <f>IF($L925="","",IF($L925&lt;=0.005,0,$L925+N($M925)))</f>
        <v>0</v>
      </c>
      <c r="O925" s="23">
        <f>IF(OR($I925="Vencido",$I925="Vencido (parcial)"),"Olá, "&amp;$A925&amp;"! Consta em aberto '"&amp;$B925&amp;"' com vencimento em "&amp;DAY($D925)&amp;"/"&amp;MONTH($D925)&amp;"/"&amp;YEAR($D925)&amp;", no valor de R$ "&amp;FIXED($N925,2)&amp;" (com multa e juros). Podemos ajudar a regularizar hoje? Obrigado!",IF($I925="Vence hoje","Olá, "&amp;$A925&amp;"! Lembrete: '"&amp;$B925&amp;"' vence hoje, no valor de R$ "&amp;FIXED($L925,2)&amp;". Obrigado!",""))</f>
        <v>0</v>
      </c>
    </row>
    <row r="926" spans="1:15">
      <c r="A926" s="13"/>
      <c r="B926" s="13"/>
      <c r="C926" s="17"/>
      <c r="D926" s="17"/>
      <c r="E926" s="18"/>
      <c r="F926" s="17"/>
      <c r="G926" s="18"/>
      <c r="H926" s="13"/>
      <c r="I926" s="19">
        <f>IF($E926="","",IF($L926&lt;=0.005,"Pago",IF($D926="","Sem vencimento",IF($D926&lt;Hoje,IF(N($G926)&gt;0,"Vencido (parcial)","Vencido"),IF($D926=Hoje,"Vence hoje","A vencer")))))</f>
        <v>0</v>
      </c>
      <c r="J926" s="20">
        <f>IF(OR($E926="",$D926=""),"",IF(AND($L926&gt;0.005,$D926&lt;Hoje),Hoje-$D926,0))</f>
        <v>0</v>
      </c>
      <c r="K926" s="20">
        <f>IF($J926="","",IF($L926&lt;=0.005,"Pago",IF($J926&lt;=0,"A vencer",IF($J926&lt;=15,"1-15 dias",IF($J926&lt;=30,"16-30 dias",IF($J926&lt;=60,"31-60 dias","Mais de 60 dias"))))))</f>
        <v>0</v>
      </c>
      <c r="L926" s="21">
        <f>IF($E926="","",MAX(0,$E926-N($G926)))</f>
        <v>0</v>
      </c>
      <c r="M926" s="21">
        <f>IF(OR($L926="",$J926=""),"",IF($J926&gt;0,ROUND($L926*Multa+$L926*Juros/30*$J926,2),0))</f>
        <v>0</v>
      </c>
      <c r="N926" s="22">
        <f>IF($L926="","",IF($L926&lt;=0.005,0,$L926+N($M926)))</f>
        <v>0</v>
      </c>
      <c r="O926" s="23">
        <f>IF(OR($I926="Vencido",$I926="Vencido (parcial)"),"Olá, "&amp;$A926&amp;"! Consta em aberto '"&amp;$B926&amp;"' com vencimento em "&amp;DAY($D926)&amp;"/"&amp;MONTH($D926)&amp;"/"&amp;YEAR($D926)&amp;", no valor de R$ "&amp;FIXED($N926,2)&amp;" (com multa e juros). Podemos ajudar a regularizar hoje? Obrigado!",IF($I926="Vence hoje","Olá, "&amp;$A926&amp;"! Lembrete: '"&amp;$B926&amp;"' vence hoje, no valor de R$ "&amp;FIXED($L926,2)&amp;". Obrigado!",""))</f>
        <v>0</v>
      </c>
    </row>
    <row r="927" spans="1:15">
      <c r="A927" s="13"/>
      <c r="B927" s="13"/>
      <c r="C927" s="17"/>
      <c r="D927" s="17"/>
      <c r="E927" s="18"/>
      <c r="F927" s="17"/>
      <c r="G927" s="18"/>
      <c r="H927" s="13"/>
      <c r="I927" s="19">
        <f>IF($E927="","",IF($L927&lt;=0.005,"Pago",IF($D927="","Sem vencimento",IF($D927&lt;Hoje,IF(N($G927)&gt;0,"Vencido (parcial)","Vencido"),IF($D927=Hoje,"Vence hoje","A vencer")))))</f>
        <v>0</v>
      </c>
      <c r="J927" s="20">
        <f>IF(OR($E927="",$D927=""),"",IF(AND($L927&gt;0.005,$D927&lt;Hoje),Hoje-$D927,0))</f>
        <v>0</v>
      </c>
      <c r="K927" s="20">
        <f>IF($J927="","",IF($L927&lt;=0.005,"Pago",IF($J927&lt;=0,"A vencer",IF($J927&lt;=15,"1-15 dias",IF($J927&lt;=30,"16-30 dias",IF($J927&lt;=60,"31-60 dias","Mais de 60 dias"))))))</f>
        <v>0</v>
      </c>
      <c r="L927" s="21">
        <f>IF($E927="","",MAX(0,$E927-N($G927)))</f>
        <v>0</v>
      </c>
      <c r="M927" s="21">
        <f>IF(OR($L927="",$J927=""),"",IF($J927&gt;0,ROUND($L927*Multa+$L927*Juros/30*$J927,2),0))</f>
        <v>0</v>
      </c>
      <c r="N927" s="22">
        <f>IF($L927="","",IF($L927&lt;=0.005,0,$L927+N($M927)))</f>
        <v>0</v>
      </c>
      <c r="O927" s="23">
        <f>IF(OR($I927="Vencido",$I927="Vencido (parcial)"),"Olá, "&amp;$A927&amp;"! Consta em aberto '"&amp;$B927&amp;"' com vencimento em "&amp;DAY($D927)&amp;"/"&amp;MONTH($D927)&amp;"/"&amp;YEAR($D927)&amp;", no valor de R$ "&amp;FIXED($N927,2)&amp;" (com multa e juros). Podemos ajudar a regularizar hoje? Obrigado!",IF($I927="Vence hoje","Olá, "&amp;$A927&amp;"! Lembrete: '"&amp;$B927&amp;"' vence hoje, no valor de R$ "&amp;FIXED($L927,2)&amp;". Obrigado!",""))</f>
        <v>0</v>
      </c>
    </row>
    <row r="928" spans="1:15">
      <c r="A928" s="13"/>
      <c r="B928" s="13"/>
      <c r="C928" s="17"/>
      <c r="D928" s="17"/>
      <c r="E928" s="18"/>
      <c r="F928" s="17"/>
      <c r="G928" s="18"/>
      <c r="H928" s="13"/>
      <c r="I928" s="19">
        <f>IF($E928="","",IF($L928&lt;=0.005,"Pago",IF($D928="","Sem vencimento",IF($D928&lt;Hoje,IF(N($G928)&gt;0,"Vencido (parcial)","Vencido"),IF($D928=Hoje,"Vence hoje","A vencer")))))</f>
        <v>0</v>
      </c>
      <c r="J928" s="20">
        <f>IF(OR($E928="",$D928=""),"",IF(AND($L928&gt;0.005,$D928&lt;Hoje),Hoje-$D928,0))</f>
        <v>0</v>
      </c>
      <c r="K928" s="20">
        <f>IF($J928="","",IF($L928&lt;=0.005,"Pago",IF($J928&lt;=0,"A vencer",IF($J928&lt;=15,"1-15 dias",IF($J928&lt;=30,"16-30 dias",IF($J928&lt;=60,"31-60 dias","Mais de 60 dias"))))))</f>
        <v>0</v>
      </c>
      <c r="L928" s="21">
        <f>IF($E928="","",MAX(0,$E928-N($G928)))</f>
        <v>0</v>
      </c>
      <c r="M928" s="21">
        <f>IF(OR($L928="",$J928=""),"",IF($J928&gt;0,ROUND($L928*Multa+$L928*Juros/30*$J928,2),0))</f>
        <v>0</v>
      </c>
      <c r="N928" s="22">
        <f>IF($L928="","",IF($L928&lt;=0.005,0,$L928+N($M928)))</f>
        <v>0</v>
      </c>
      <c r="O928" s="23">
        <f>IF(OR($I928="Vencido",$I928="Vencido (parcial)"),"Olá, "&amp;$A928&amp;"! Consta em aberto '"&amp;$B928&amp;"' com vencimento em "&amp;DAY($D928)&amp;"/"&amp;MONTH($D928)&amp;"/"&amp;YEAR($D928)&amp;", no valor de R$ "&amp;FIXED($N928,2)&amp;" (com multa e juros). Podemos ajudar a regularizar hoje? Obrigado!",IF($I928="Vence hoje","Olá, "&amp;$A928&amp;"! Lembrete: '"&amp;$B928&amp;"' vence hoje, no valor de R$ "&amp;FIXED($L928,2)&amp;". Obrigado!",""))</f>
        <v>0</v>
      </c>
    </row>
    <row r="929" spans="1:15">
      <c r="A929" s="13"/>
      <c r="B929" s="13"/>
      <c r="C929" s="17"/>
      <c r="D929" s="17"/>
      <c r="E929" s="18"/>
      <c r="F929" s="17"/>
      <c r="G929" s="18"/>
      <c r="H929" s="13"/>
      <c r="I929" s="19">
        <f>IF($E929="","",IF($L929&lt;=0.005,"Pago",IF($D929="","Sem vencimento",IF($D929&lt;Hoje,IF(N($G929)&gt;0,"Vencido (parcial)","Vencido"),IF($D929=Hoje,"Vence hoje","A vencer")))))</f>
        <v>0</v>
      </c>
      <c r="J929" s="20">
        <f>IF(OR($E929="",$D929=""),"",IF(AND($L929&gt;0.005,$D929&lt;Hoje),Hoje-$D929,0))</f>
        <v>0</v>
      </c>
      <c r="K929" s="20">
        <f>IF($J929="","",IF($L929&lt;=0.005,"Pago",IF($J929&lt;=0,"A vencer",IF($J929&lt;=15,"1-15 dias",IF($J929&lt;=30,"16-30 dias",IF($J929&lt;=60,"31-60 dias","Mais de 60 dias"))))))</f>
        <v>0</v>
      </c>
      <c r="L929" s="21">
        <f>IF($E929="","",MAX(0,$E929-N($G929)))</f>
        <v>0</v>
      </c>
      <c r="M929" s="21">
        <f>IF(OR($L929="",$J929=""),"",IF($J929&gt;0,ROUND($L929*Multa+$L929*Juros/30*$J929,2),0))</f>
        <v>0</v>
      </c>
      <c r="N929" s="22">
        <f>IF($L929="","",IF($L929&lt;=0.005,0,$L929+N($M929)))</f>
        <v>0</v>
      </c>
      <c r="O929" s="23">
        <f>IF(OR($I929="Vencido",$I929="Vencido (parcial)"),"Olá, "&amp;$A929&amp;"! Consta em aberto '"&amp;$B929&amp;"' com vencimento em "&amp;DAY($D929)&amp;"/"&amp;MONTH($D929)&amp;"/"&amp;YEAR($D929)&amp;", no valor de R$ "&amp;FIXED($N929,2)&amp;" (com multa e juros). Podemos ajudar a regularizar hoje? Obrigado!",IF($I929="Vence hoje","Olá, "&amp;$A929&amp;"! Lembrete: '"&amp;$B929&amp;"' vence hoje, no valor de R$ "&amp;FIXED($L929,2)&amp;". Obrigado!",""))</f>
        <v>0</v>
      </c>
    </row>
    <row r="930" spans="1:15">
      <c r="A930" s="13"/>
      <c r="B930" s="13"/>
      <c r="C930" s="17"/>
      <c r="D930" s="17"/>
      <c r="E930" s="18"/>
      <c r="F930" s="17"/>
      <c r="G930" s="18"/>
      <c r="H930" s="13"/>
      <c r="I930" s="19">
        <f>IF($E930="","",IF($L930&lt;=0.005,"Pago",IF($D930="","Sem vencimento",IF($D930&lt;Hoje,IF(N($G930)&gt;0,"Vencido (parcial)","Vencido"),IF($D930=Hoje,"Vence hoje","A vencer")))))</f>
        <v>0</v>
      </c>
      <c r="J930" s="20">
        <f>IF(OR($E930="",$D930=""),"",IF(AND($L930&gt;0.005,$D930&lt;Hoje),Hoje-$D930,0))</f>
        <v>0</v>
      </c>
      <c r="K930" s="20">
        <f>IF($J930="","",IF($L930&lt;=0.005,"Pago",IF($J930&lt;=0,"A vencer",IF($J930&lt;=15,"1-15 dias",IF($J930&lt;=30,"16-30 dias",IF($J930&lt;=60,"31-60 dias","Mais de 60 dias"))))))</f>
        <v>0</v>
      </c>
      <c r="L930" s="21">
        <f>IF($E930="","",MAX(0,$E930-N($G930)))</f>
        <v>0</v>
      </c>
      <c r="M930" s="21">
        <f>IF(OR($L930="",$J930=""),"",IF($J930&gt;0,ROUND($L930*Multa+$L930*Juros/30*$J930,2),0))</f>
        <v>0</v>
      </c>
      <c r="N930" s="22">
        <f>IF($L930="","",IF($L930&lt;=0.005,0,$L930+N($M930)))</f>
        <v>0</v>
      </c>
      <c r="O930" s="23">
        <f>IF(OR($I930="Vencido",$I930="Vencido (parcial)"),"Olá, "&amp;$A930&amp;"! Consta em aberto '"&amp;$B930&amp;"' com vencimento em "&amp;DAY($D930)&amp;"/"&amp;MONTH($D930)&amp;"/"&amp;YEAR($D930)&amp;", no valor de R$ "&amp;FIXED($N930,2)&amp;" (com multa e juros). Podemos ajudar a regularizar hoje? Obrigado!",IF($I930="Vence hoje","Olá, "&amp;$A930&amp;"! Lembrete: '"&amp;$B930&amp;"' vence hoje, no valor de R$ "&amp;FIXED($L930,2)&amp;". Obrigado!",""))</f>
        <v>0</v>
      </c>
    </row>
    <row r="931" spans="1:15">
      <c r="A931" s="13"/>
      <c r="B931" s="13"/>
      <c r="C931" s="17"/>
      <c r="D931" s="17"/>
      <c r="E931" s="18"/>
      <c r="F931" s="17"/>
      <c r="G931" s="18"/>
      <c r="H931" s="13"/>
      <c r="I931" s="19">
        <f>IF($E931="","",IF($L931&lt;=0.005,"Pago",IF($D931="","Sem vencimento",IF($D931&lt;Hoje,IF(N($G931)&gt;0,"Vencido (parcial)","Vencido"),IF($D931=Hoje,"Vence hoje","A vencer")))))</f>
        <v>0</v>
      </c>
      <c r="J931" s="20">
        <f>IF(OR($E931="",$D931=""),"",IF(AND($L931&gt;0.005,$D931&lt;Hoje),Hoje-$D931,0))</f>
        <v>0</v>
      </c>
      <c r="K931" s="20">
        <f>IF($J931="","",IF($L931&lt;=0.005,"Pago",IF($J931&lt;=0,"A vencer",IF($J931&lt;=15,"1-15 dias",IF($J931&lt;=30,"16-30 dias",IF($J931&lt;=60,"31-60 dias","Mais de 60 dias"))))))</f>
        <v>0</v>
      </c>
      <c r="L931" s="21">
        <f>IF($E931="","",MAX(0,$E931-N($G931)))</f>
        <v>0</v>
      </c>
      <c r="M931" s="21">
        <f>IF(OR($L931="",$J931=""),"",IF($J931&gt;0,ROUND($L931*Multa+$L931*Juros/30*$J931,2),0))</f>
        <v>0</v>
      </c>
      <c r="N931" s="22">
        <f>IF($L931="","",IF($L931&lt;=0.005,0,$L931+N($M931)))</f>
        <v>0</v>
      </c>
      <c r="O931" s="23">
        <f>IF(OR($I931="Vencido",$I931="Vencido (parcial)"),"Olá, "&amp;$A931&amp;"! Consta em aberto '"&amp;$B931&amp;"' com vencimento em "&amp;DAY($D931)&amp;"/"&amp;MONTH($D931)&amp;"/"&amp;YEAR($D931)&amp;", no valor de R$ "&amp;FIXED($N931,2)&amp;" (com multa e juros). Podemos ajudar a regularizar hoje? Obrigado!",IF($I931="Vence hoje","Olá, "&amp;$A931&amp;"! Lembrete: '"&amp;$B931&amp;"' vence hoje, no valor de R$ "&amp;FIXED($L931,2)&amp;". Obrigado!",""))</f>
        <v>0</v>
      </c>
    </row>
    <row r="932" spans="1:15">
      <c r="A932" s="13"/>
      <c r="B932" s="13"/>
      <c r="C932" s="17"/>
      <c r="D932" s="17"/>
      <c r="E932" s="18"/>
      <c r="F932" s="17"/>
      <c r="G932" s="18"/>
      <c r="H932" s="13"/>
      <c r="I932" s="19">
        <f>IF($E932="","",IF($L932&lt;=0.005,"Pago",IF($D932="","Sem vencimento",IF($D932&lt;Hoje,IF(N($G932)&gt;0,"Vencido (parcial)","Vencido"),IF($D932=Hoje,"Vence hoje","A vencer")))))</f>
        <v>0</v>
      </c>
      <c r="J932" s="20">
        <f>IF(OR($E932="",$D932=""),"",IF(AND($L932&gt;0.005,$D932&lt;Hoje),Hoje-$D932,0))</f>
        <v>0</v>
      </c>
      <c r="K932" s="20">
        <f>IF($J932="","",IF($L932&lt;=0.005,"Pago",IF($J932&lt;=0,"A vencer",IF($J932&lt;=15,"1-15 dias",IF($J932&lt;=30,"16-30 dias",IF($J932&lt;=60,"31-60 dias","Mais de 60 dias"))))))</f>
        <v>0</v>
      </c>
      <c r="L932" s="21">
        <f>IF($E932="","",MAX(0,$E932-N($G932)))</f>
        <v>0</v>
      </c>
      <c r="M932" s="21">
        <f>IF(OR($L932="",$J932=""),"",IF($J932&gt;0,ROUND($L932*Multa+$L932*Juros/30*$J932,2),0))</f>
        <v>0</v>
      </c>
      <c r="N932" s="22">
        <f>IF($L932="","",IF($L932&lt;=0.005,0,$L932+N($M932)))</f>
        <v>0</v>
      </c>
      <c r="O932" s="23">
        <f>IF(OR($I932="Vencido",$I932="Vencido (parcial)"),"Olá, "&amp;$A932&amp;"! Consta em aberto '"&amp;$B932&amp;"' com vencimento em "&amp;DAY($D932)&amp;"/"&amp;MONTH($D932)&amp;"/"&amp;YEAR($D932)&amp;", no valor de R$ "&amp;FIXED($N932,2)&amp;" (com multa e juros). Podemos ajudar a regularizar hoje? Obrigado!",IF($I932="Vence hoje","Olá, "&amp;$A932&amp;"! Lembrete: '"&amp;$B932&amp;"' vence hoje, no valor de R$ "&amp;FIXED($L932,2)&amp;". Obrigado!",""))</f>
        <v>0</v>
      </c>
    </row>
    <row r="933" spans="1:15">
      <c r="A933" s="13"/>
      <c r="B933" s="13"/>
      <c r="C933" s="17"/>
      <c r="D933" s="17"/>
      <c r="E933" s="18"/>
      <c r="F933" s="17"/>
      <c r="G933" s="18"/>
      <c r="H933" s="13"/>
      <c r="I933" s="19">
        <f>IF($E933="","",IF($L933&lt;=0.005,"Pago",IF($D933="","Sem vencimento",IF($D933&lt;Hoje,IF(N($G933)&gt;0,"Vencido (parcial)","Vencido"),IF($D933=Hoje,"Vence hoje","A vencer")))))</f>
        <v>0</v>
      </c>
      <c r="J933" s="20">
        <f>IF(OR($E933="",$D933=""),"",IF(AND($L933&gt;0.005,$D933&lt;Hoje),Hoje-$D933,0))</f>
        <v>0</v>
      </c>
      <c r="K933" s="20">
        <f>IF($J933="","",IF($L933&lt;=0.005,"Pago",IF($J933&lt;=0,"A vencer",IF($J933&lt;=15,"1-15 dias",IF($J933&lt;=30,"16-30 dias",IF($J933&lt;=60,"31-60 dias","Mais de 60 dias"))))))</f>
        <v>0</v>
      </c>
      <c r="L933" s="21">
        <f>IF($E933="","",MAX(0,$E933-N($G933)))</f>
        <v>0</v>
      </c>
      <c r="M933" s="21">
        <f>IF(OR($L933="",$J933=""),"",IF($J933&gt;0,ROUND($L933*Multa+$L933*Juros/30*$J933,2),0))</f>
        <v>0</v>
      </c>
      <c r="N933" s="22">
        <f>IF($L933="","",IF($L933&lt;=0.005,0,$L933+N($M933)))</f>
        <v>0</v>
      </c>
      <c r="O933" s="23">
        <f>IF(OR($I933="Vencido",$I933="Vencido (parcial)"),"Olá, "&amp;$A933&amp;"! Consta em aberto '"&amp;$B933&amp;"' com vencimento em "&amp;DAY($D933)&amp;"/"&amp;MONTH($D933)&amp;"/"&amp;YEAR($D933)&amp;", no valor de R$ "&amp;FIXED($N933,2)&amp;" (com multa e juros). Podemos ajudar a regularizar hoje? Obrigado!",IF($I933="Vence hoje","Olá, "&amp;$A933&amp;"! Lembrete: '"&amp;$B933&amp;"' vence hoje, no valor de R$ "&amp;FIXED($L933,2)&amp;". Obrigado!",""))</f>
        <v>0</v>
      </c>
    </row>
    <row r="934" spans="1:15">
      <c r="A934" s="13"/>
      <c r="B934" s="13"/>
      <c r="C934" s="17"/>
      <c r="D934" s="17"/>
      <c r="E934" s="18"/>
      <c r="F934" s="17"/>
      <c r="G934" s="18"/>
      <c r="H934" s="13"/>
      <c r="I934" s="19">
        <f>IF($E934="","",IF($L934&lt;=0.005,"Pago",IF($D934="","Sem vencimento",IF($D934&lt;Hoje,IF(N($G934)&gt;0,"Vencido (parcial)","Vencido"),IF($D934=Hoje,"Vence hoje","A vencer")))))</f>
        <v>0</v>
      </c>
      <c r="J934" s="20">
        <f>IF(OR($E934="",$D934=""),"",IF(AND($L934&gt;0.005,$D934&lt;Hoje),Hoje-$D934,0))</f>
        <v>0</v>
      </c>
      <c r="K934" s="20">
        <f>IF($J934="","",IF($L934&lt;=0.005,"Pago",IF($J934&lt;=0,"A vencer",IF($J934&lt;=15,"1-15 dias",IF($J934&lt;=30,"16-30 dias",IF($J934&lt;=60,"31-60 dias","Mais de 60 dias"))))))</f>
        <v>0</v>
      </c>
      <c r="L934" s="21">
        <f>IF($E934="","",MAX(0,$E934-N($G934)))</f>
        <v>0</v>
      </c>
      <c r="M934" s="21">
        <f>IF(OR($L934="",$J934=""),"",IF($J934&gt;0,ROUND($L934*Multa+$L934*Juros/30*$J934,2),0))</f>
        <v>0</v>
      </c>
      <c r="N934" s="22">
        <f>IF($L934="","",IF($L934&lt;=0.005,0,$L934+N($M934)))</f>
        <v>0</v>
      </c>
      <c r="O934" s="23">
        <f>IF(OR($I934="Vencido",$I934="Vencido (parcial)"),"Olá, "&amp;$A934&amp;"! Consta em aberto '"&amp;$B934&amp;"' com vencimento em "&amp;DAY($D934)&amp;"/"&amp;MONTH($D934)&amp;"/"&amp;YEAR($D934)&amp;", no valor de R$ "&amp;FIXED($N934,2)&amp;" (com multa e juros). Podemos ajudar a regularizar hoje? Obrigado!",IF($I934="Vence hoje","Olá, "&amp;$A934&amp;"! Lembrete: '"&amp;$B934&amp;"' vence hoje, no valor de R$ "&amp;FIXED($L934,2)&amp;". Obrigado!",""))</f>
        <v>0</v>
      </c>
    </row>
    <row r="935" spans="1:15">
      <c r="A935" s="13"/>
      <c r="B935" s="13"/>
      <c r="C935" s="17"/>
      <c r="D935" s="17"/>
      <c r="E935" s="18"/>
      <c r="F935" s="17"/>
      <c r="G935" s="18"/>
      <c r="H935" s="13"/>
      <c r="I935" s="19">
        <f>IF($E935="","",IF($L935&lt;=0.005,"Pago",IF($D935="","Sem vencimento",IF($D935&lt;Hoje,IF(N($G935)&gt;0,"Vencido (parcial)","Vencido"),IF($D935=Hoje,"Vence hoje","A vencer")))))</f>
        <v>0</v>
      </c>
      <c r="J935" s="20">
        <f>IF(OR($E935="",$D935=""),"",IF(AND($L935&gt;0.005,$D935&lt;Hoje),Hoje-$D935,0))</f>
        <v>0</v>
      </c>
      <c r="K935" s="20">
        <f>IF($J935="","",IF($L935&lt;=0.005,"Pago",IF($J935&lt;=0,"A vencer",IF($J935&lt;=15,"1-15 dias",IF($J935&lt;=30,"16-30 dias",IF($J935&lt;=60,"31-60 dias","Mais de 60 dias"))))))</f>
        <v>0</v>
      </c>
      <c r="L935" s="21">
        <f>IF($E935="","",MAX(0,$E935-N($G935)))</f>
        <v>0</v>
      </c>
      <c r="M935" s="21">
        <f>IF(OR($L935="",$J935=""),"",IF($J935&gt;0,ROUND($L935*Multa+$L935*Juros/30*$J935,2),0))</f>
        <v>0</v>
      </c>
      <c r="N935" s="22">
        <f>IF($L935="","",IF($L935&lt;=0.005,0,$L935+N($M935)))</f>
        <v>0</v>
      </c>
      <c r="O935" s="23">
        <f>IF(OR($I935="Vencido",$I935="Vencido (parcial)"),"Olá, "&amp;$A935&amp;"! Consta em aberto '"&amp;$B935&amp;"' com vencimento em "&amp;DAY($D935)&amp;"/"&amp;MONTH($D935)&amp;"/"&amp;YEAR($D935)&amp;", no valor de R$ "&amp;FIXED($N935,2)&amp;" (com multa e juros). Podemos ajudar a regularizar hoje? Obrigado!",IF($I935="Vence hoje","Olá, "&amp;$A935&amp;"! Lembrete: '"&amp;$B935&amp;"' vence hoje, no valor de R$ "&amp;FIXED($L935,2)&amp;". Obrigado!",""))</f>
        <v>0</v>
      </c>
    </row>
    <row r="936" spans="1:15">
      <c r="A936" s="13"/>
      <c r="B936" s="13"/>
      <c r="C936" s="17"/>
      <c r="D936" s="17"/>
      <c r="E936" s="18"/>
      <c r="F936" s="17"/>
      <c r="G936" s="18"/>
      <c r="H936" s="13"/>
      <c r="I936" s="19">
        <f>IF($E936="","",IF($L936&lt;=0.005,"Pago",IF($D936="","Sem vencimento",IF($D936&lt;Hoje,IF(N($G936)&gt;0,"Vencido (parcial)","Vencido"),IF($D936=Hoje,"Vence hoje","A vencer")))))</f>
        <v>0</v>
      </c>
      <c r="J936" s="20">
        <f>IF(OR($E936="",$D936=""),"",IF(AND($L936&gt;0.005,$D936&lt;Hoje),Hoje-$D936,0))</f>
        <v>0</v>
      </c>
      <c r="K936" s="20">
        <f>IF($J936="","",IF($L936&lt;=0.005,"Pago",IF($J936&lt;=0,"A vencer",IF($J936&lt;=15,"1-15 dias",IF($J936&lt;=30,"16-30 dias",IF($J936&lt;=60,"31-60 dias","Mais de 60 dias"))))))</f>
        <v>0</v>
      </c>
      <c r="L936" s="21">
        <f>IF($E936="","",MAX(0,$E936-N($G936)))</f>
        <v>0</v>
      </c>
      <c r="M936" s="21">
        <f>IF(OR($L936="",$J936=""),"",IF($J936&gt;0,ROUND($L936*Multa+$L936*Juros/30*$J936,2),0))</f>
        <v>0</v>
      </c>
      <c r="N936" s="22">
        <f>IF($L936="","",IF($L936&lt;=0.005,0,$L936+N($M936)))</f>
        <v>0</v>
      </c>
      <c r="O936" s="23">
        <f>IF(OR($I936="Vencido",$I936="Vencido (parcial)"),"Olá, "&amp;$A936&amp;"! Consta em aberto '"&amp;$B936&amp;"' com vencimento em "&amp;DAY($D936)&amp;"/"&amp;MONTH($D936)&amp;"/"&amp;YEAR($D936)&amp;", no valor de R$ "&amp;FIXED($N936,2)&amp;" (com multa e juros). Podemos ajudar a regularizar hoje? Obrigado!",IF($I936="Vence hoje","Olá, "&amp;$A936&amp;"! Lembrete: '"&amp;$B936&amp;"' vence hoje, no valor de R$ "&amp;FIXED($L936,2)&amp;". Obrigado!",""))</f>
        <v>0</v>
      </c>
    </row>
    <row r="937" spans="1:15">
      <c r="A937" s="13"/>
      <c r="B937" s="13"/>
      <c r="C937" s="17"/>
      <c r="D937" s="17"/>
      <c r="E937" s="18"/>
      <c r="F937" s="17"/>
      <c r="G937" s="18"/>
      <c r="H937" s="13"/>
      <c r="I937" s="19">
        <f>IF($E937="","",IF($L937&lt;=0.005,"Pago",IF($D937="","Sem vencimento",IF($D937&lt;Hoje,IF(N($G937)&gt;0,"Vencido (parcial)","Vencido"),IF($D937=Hoje,"Vence hoje","A vencer")))))</f>
        <v>0</v>
      </c>
      <c r="J937" s="20">
        <f>IF(OR($E937="",$D937=""),"",IF(AND($L937&gt;0.005,$D937&lt;Hoje),Hoje-$D937,0))</f>
        <v>0</v>
      </c>
      <c r="K937" s="20">
        <f>IF($J937="","",IF($L937&lt;=0.005,"Pago",IF($J937&lt;=0,"A vencer",IF($J937&lt;=15,"1-15 dias",IF($J937&lt;=30,"16-30 dias",IF($J937&lt;=60,"31-60 dias","Mais de 60 dias"))))))</f>
        <v>0</v>
      </c>
      <c r="L937" s="21">
        <f>IF($E937="","",MAX(0,$E937-N($G937)))</f>
        <v>0</v>
      </c>
      <c r="M937" s="21">
        <f>IF(OR($L937="",$J937=""),"",IF($J937&gt;0,ROUND($L937*Multa+$L937*Juros/30*$J937,2),0))</f>
        <v>0</v>
      </c>
      <c r="N937" s="22">
        <f>IF($L937="","",IF($L937&lt;=0.005,0,$L937+N($M937)))</f>
        <v>0</v>
      </c>
      <c r="O937" s="23">
        <f>IF(OR($I937="Vencido",$I937="Vencido (parcial)"),"Olá, "&amp;$A937&amp;"! Consta em aberto '"&amp;$B937&amp;"' com vencimento em "&amp;DAY($D937)&amp;"/"&amp;MONTH($D937)&amp;"/"&amp;YEAR($D937)&amp;", no valor de R$ "&amp;FIXED($N937,2)&amp;" (com multa e juros). Podemos ajudar a regularizar hoje? Obrigado!",IF($I937="Vence hoje","Olá, "&amp;$A937&amp;"! Lembrete: '"&amp;$B937&amp;"' vence hoje, no valor de R$ "&amp;FIXED($L937,2)&amp;". Obrigado!",""))</f>
        <v>0</v>
      </c>
    </row>
    <row r="938" spans="1:15">
      <c r="A938" s="13"/>
      <c r="B938" s="13"/>
      <c r="C938" s="17"/>
      <c r="D938" s="17"/>
      <c r="E938" s="18"/>
      <c r="F938" s="17"/>
      <c r="G938" s="18"/>
      <c r="H938" s="13"/>
      <c r="I938" s="19">
        <f>IF($E938="","",IF($L938&lt;=0.005,"Pago",IF($D938="","Sem vencimento",IF($D938&lt;Hoje,IF(N($G938)&gt;0,"Vencido (parcial)","Vencido"),IF($D938=Hoje,"Vence hoje","A vencer")))))</f>
        <v>0</v>
      </c>
      <c r="J938" s="20">
        <f>IF(OR($E938="",$D938=""),"",IF(AND($L938&gt;0.005,$D938&lt;Hoje),Hoje-$D938,0))</f>
        <v>0</v>
      </c>
      <c r="K938" s="20">
        <f>IF($J938="","",IF($L938&lt;=0.005,"Pago",IF($J938&lt;=0,"A vencer",IF($J938&lt;=15,"1-15 dias",IF($J938&lt;=30,"16-30 dias",IF($J938&lt;=60,"31-60 dias","Mais de 60 dias"))))))</f>
        <v>0</v>
      </c>
      <c r="L938" s="21">
        <f>IF($E938="","",MAX(0,$E938-N($G938)))</f>
        <v>0</v>
      </c>
      <c r="M938" s="21">
        <f>IF(OR($L938="",$J938=""),"",IF($J938&gt;0,ROUND($L938*Multa+$L938*Juros/30*$J938,2),0))</f>
        <v>0</v>
      </c>
      <c r="N938" s="22">
        <f>IF($L938="","",IF($L938&lt;=0.005,0,$L938+N($M938)))</f>
        <v>0</v>
      </c>
      <c r="O938" s="23">
        <f>IF(OR($I938="Vencido",$I938="Vencido (parcial)"),"Olá, "&amp;$A938&amp;"! Consta em aberto '"&amp;$B938&amp;"' com vencimento em "&amp;DAY($D938)&amp;"/"&amp;MONTH($D938)&amp;"/"&amp;YEAR($D938)&amp;", no valor de R$ "&amp;FIXED($N938,2)&amp;" (com multa e juros). Podemos ajudar a regularizar hoje? Obrigado!",IF($I938="Vence hoje","Olá, "&amp;$A938&amp;"! Lembrete: '"&amp;$B938&amp;"' vence hoje, no valor de R$ "&amp;FIXED($L938,2)&amp;". Obrigado!",""))</f>
        <v>0</v>
      </c>
    </row>
    <row r="939" spans="1:15">
      <c r="A939" s="13"/>
      <c r="B939" s="13"/>
      <c r="C939" s="17"/>
      <c r="D939" s="17"/>
      <c r="E939" s="18"/>
      <c r="F939" s="17"/>
      <c r="G939" s="18"/>
      <c r="H939" s="13"/>
      <c r="I939" s="19">
        <f>IF($E939="","",IF($L939&lt;=0.005,"Pago",IF($D939="","Sem vencimento",IF($D939&lt;Hoje,IF(N($G939)&gt;0,"Vencido (parcial)","Vencido"),IF($D939=Hoje,"Vence hoje","A vencer")))))</f>
        <v>0</v>
      </c>
      <c r="J939" s="20">
        <f>IF(OR($E939="",$D939=""),"",IF(AND($L939&gt;0.005,$D939&lt;Hoje),Hoje-$D939,0))</f>
        <v>0</v>
      </c>
      <c r="K939" s="20">
        <f>IF($J939="","",IF($L939&lt;=0.005,"Pago",IF($J939&lt;=0,"A vencer",IF($J939&lt;=15,"1-15 dias",IF($J939&lt;=30,"16-30 dias",IF($J939&lt;=60,"31-60 dias","Mais de 60 dias"))))))</f>
        <v>0</v>
      </c>
      <c r="L939" s="21">
        <f>IF($E939="","",MAX(0,$E939-N($G939)))</f>
        <v>0</v>
      </c>
      <c r="M939" s="21">
        <f>IF(OR($L939="",$J939=""),"",IF($J939&gt;0,ROUND($L939*Multa+$L939*Juros/30*$J939,2),0))</f>
        <v>0</v>
      </c>
      <c r="N939" s="22">
        <f>IF($L939="","",IF($L939&lt;=0.005,0,$L939+N($M939)))</f>
        <v>0</v>
      </c>
      <c r="O939" s="23">
        <f>IF(OR($I939="Vencido",$I939="Vencido (parcial)"),"Olá, "&amp;$A939&amp;"! Consta em aberto '"&amp;$B939&amp;"' com vencimento em "&amp;DAY($D939)&amp;"/"&amp;MONTH($D939)&amp;"/"&amp;YEAR($D939)&amp;", no valor de R$ "&amp;FIXED($N939,2)&amp;" (com multa e juros). Podemos ajudar a regularizar hoje? Obrigado!",IF($I939="Vence hoje","Olá, "&amp;$A939&amp;"! Lembrete: '"&amp;$B939&amp;"' vence hoje, no valor de R$ "&amp;FIXED($L939,2)&amp;". Obrigado!",""))</f>
        <v>0</v>
      </c>
    </row>
    <row r="940" spans="1:15">
      <c r="A940" s="13"/>
      <c r="B940" s="13"/>
      <c r="C940" s="17"/>
      <c r="D940" s="17"/>
      <c r="E940" s="18"/>
      <c r="F940" s="17"/>
      <c r="G940" s="18"/>
      <c r="H940" s="13"/>
      <c r="I940" s="19">
        <f>IF($E940="","",IF($L940&lt;=0.005,"Pago",IF($D940="","Sem vencimento",IF($D940&lt;Hoje,IF(N($G940)&gt;0,"Vencido (parcial)","Vencido"),IF($D940=Hoje,"Vence hoje","A vencer")))))</f>
        <v>0</v>
      </c>
      <c r="J940" s="20">
        <f>IF(OR($E940="",$D940=""),"",IF(AND($L940&gt;0.005,$D940&lt;Hoje),Hoje-$D940,0))</f>
        <v>0</v>
      </c>
      <c r="K940" s="20">
        <f>IF($J940="","",IF($L940&lt;=0.005,"Pago",IF($J940&lt;=0,"A vencer",IF($J940&lt;=15,"1-15 dias",IF($J940&lt;=30,"16-30 dias",IF($J940&lt;=60,"31-60 dias","Mais de 60 dias"))))))</f>
        <v>0</v>
      </c>
      <c r="L940" s="21">
        <f>IF($E940="","",MAX(0,$E940-N($G940)))</f>
        <v>0</v>
      </c>
      <c r="M940" s="21">
        <f>IF(OR($L940="",$J940=""),"",IF($J940&gt;0,ROUND($L940*Multa+$L940*Juros/30*$J940,2),0))</f>
        <v>0</v>
      </c>
      <c r="N940" s="22">
        <f>IF($L940="","",IF($L940&lt;=0.005,0,$L940+N($M940)))</f>
        <v>0</v>
      </c>
      <c r="O940" s="23">
        <f>IF(OR($I940="Vencido",$I940="Vencido (parcial)"),"Olá, "&amp;$A940&amp;"! Consta em aberto '"&amp;$B940&amp;"' com vencimento em "&amp;DAY($D940)&amp;"/"&amp;MONTH($D940)&amp;"/"&amp;YEAR($D940)&amp;", no valor de R$ "&amp;FIXED($N940,2)&amp;" (com multa e juros). Podemos ajudar a regularizar hoje? Obrigado!",IF($I940="Vence hoje","Olá, "&amp;$A940&amp;"! Lembrete: '"&amp;$B940&amp;"' vence hoje, no valor de R$ "&amp;FIXED($L940,2)&amp;". Obrigado!",""))</f>
        <v>0</v>
      </c>
    </row>
    <row r="941" spans="1:15">
      <c r="A941" s="13"/>
      <c r="B941" s="13"/>
      <c r="C941" s="17"/>
      <c r="D941" s="17"/>
      <c r="E941" s="18"/>
      <c r="F941" s="17"/>
      <c r="G941" s="18"/>
      <c r="H941" s="13"/>
      <c r="I941" s="19">
        <f>IF($E941="","",IF($L941&lt;=0.005,"Pago",IF($D941="","Sem vencimento",IF($D941&lt;Hoje,IF(N($G941)&gt;0,"Vencido (parcial)","Vencido"),IF($D941=Hoje,"Vence hoje","A vencer")))))</f>
        <v>0</v>
      </c>
      <c r="J941" s="20">
        <f>IF(OR($E941="",$D941=""),"",IF(AND($L941&gt;0.005,$D941&lt;Hoje),Hoje-$D941,0))</f>
        <v>0</v>
      </c>
      <c r="K941" s="20">
        <f>IF($J941="","",IF($L941&lt;=0.005,"Pago",IF($J941&lt;=0,"A vencer",IF($J941&lt;=15,"1-15 dias",IF($J941&lt;=30,"16-30 dias",IF($J941&lt;=60,"31-60 dias","Mais de 60 dias"))))))</f>
        <v>0</v>
      </c>
      <c r="L941" s="21">
        <f>IF($E941="","",MAX(0,$E941-N($G941)))</f>
        <v>0</v>
      </c>
      <c r="M941" s="21">
        <f>IF(OR($L941="",$J941=""),"",IF($J941&gt;0,ROUND($L941*Multa+$L941*Juros/30*$J941,2),0))</f>
        <v>0</v>
      </c>
      <c r="N941" s="22">
        <f>IF($L941="","",IF($L941&lt;=0.005,0,$L941+N($M941)))</f>
        <v>0</v>
      </c>
      <c r="O941" s="23">
        <f>IF(OR($I941="Vencido",$I941="Vencido (parcial)"),"Olá, "&amp;$A941&amp;"! Consta em aberto '"&amp;$B941&amp;"' com vencimento em "&amp;DAY($D941)&amp;"/"&amp;MONTH($D941)&amp;"/"&amp;YEAR($D941)&amp;", no valor de R$ "&amp;FIXED($N941,2)&amp;" (com multa e juros). Podemos ajudar a regularizar hoje? Obrigado!",IF($I941="Vence hoje","Olá, "&amp;$A941&amp;"! Lembrete: '"&amp;$B941&amp;"' vence hoje, no valor de R$ "&amp;FIXED($L941,2)&amp;". Obrigado!",""))</f>
        <v>0</v>
      </c>
    </row>
    <row r="942" spans="1:15">
      <c r="A942" s="13"/>
      <c r="B942" s="13"/>
      <c r="C942" s="17"/>
      <c r="D942" s="17"/>
      <c r="E942" s="18"/>
      <c r="F942" s="17"/>
      <c r="G942" s="18"/>
      <c r="H942" s="13"/>
      <c r="I942" s="19">
        <f>IF($E942="","",IF($L942&lt;=0.005,"Pago",IF($D942="","Sem vencimento",IF($D942&lt;Hoje,IF(N($G942)&gt;0,"Vencido (parcial)","Vencido"),IF($D942=Hoje,"Vence hoje","A vencer")))))</f>
        <v>0</v>
      </c>
      <c r="J942" s="20">
        <f>IF(OR($E942="",$D942=""),"",IF(AND($L942&gt;0.005,$D942&lt;Hoje),Hoje-$D942,0))</f>
        <v>0</v>
      </c>
      <c r="K942" s="20">
        <f>IF($J942="","",IF($L942&lt;=0.005,"Pago",IF($J942&lt;=0,"A vencer",IF($J942&lt;=15,"1-15 dias",IF($J942&lt;=30,"16-30 dias",IF($J942&lt;=60,"31-60 dias","Mais de 60 dias"))))))</f>
        <v>0</v>
      </c>
      <c r="L942" s="21">
        <f>IF($E942="","",MAX(0,$E942-N($G942)))</f>
        <v>0</v>
      </c>
      <c r="M942" s="21">
        <f>IF(OR($L942="",$J942=""),"",IF($J942&gt;0,ROUND($L942*Multa+$L942*Juros/30*$J942,2),0))</f>
        <v>0</v>
      </c>
      <c r="N942" s="22">
        <f>IF($L942="","",IF($L942&lt;=0.005,0,$L942+N($M942)))</f>
        <v>0</v>
      </c>
      <c r="O942" s="23">
        <f>IF(OR($I942="Vencido",$I942="Vencido (parcial)"),"Olá, "&amp;$A942&amp;"! Consta em aberto '"&amp;$B942&amp;"' com vencimento em "&amp;DAY($D942)&amp;"/"&amp;MONTH($D942)&amp;"/"&amp;YEAR($D942)&amp;", no valor de R$ "&amp;FIXED($N942,2)&amp;" (com multa e juros). Podemos ajudar a regularizar hoje? Obrigado!",IF($I942="Vence hoje","Olá, "&amp;$A942&amp;"! Lembrete: '"&amp;$B942&amp;"' vence hoje, no valor de R$ "&amp;FIXED($L942,2)&amp;". Obrigado!",""))</f>
        <v>0</v>
      </c>
    </row>
    <row r="943" spans="1:15">
      <c r="A943" s="13"/>
      <c r="B943" s="13"/>
      <c r="C943" s="17"/>
      <c r="D943" s="17"/>
      <c r="E943" s="18"/>
      <c r="F943" s="17"/>
      <c r="G943" s="18"/>
      <c r="H943" s="13"/>
      <c r="I943" s="19">
        <f>IF($E943="","",IF($L943&lt;=0.005,"Pago",IF($D943="","Sem vencimento",IF($D943&lt;Hoje,IF(N($G943)&gt;0,"Vencido (parcial)","Vencido"),IF($D943=Hoje,"Vence hoje","A vencer")))))</f>
        <v>0</v>
      </c>
      <c r="J943" s="20">
        <f>IF(OR($E943="",$D943=""),"",IF(AND($L943&gt;0.005,$D943&lt;Hoje),Hoje-$D943,0))</f>
        <v>0</v>
      </c>
      <c r="K943" s="20">
        <f>IF($J943="","",IF($L943&lt;=0.005,"Pago",IF($J943&lt;=0,"A vencer",IF($J943&lt;=15,"1-15 dias",IF($J943&lt;=30,"16-30 dias",IF($J943&lt;=60,"31-60 dias","Mais de 60 dias"))))))</f>
        <v>0</v>
      </c>
      <c r="L943" s="21">
        <f>IF($E943="","",MAX(0,$E943-N($G943)))</f>
        <v>0</v>
      </c>
      <c r="M943" s="21">
        <f>IF(OR($L943="",$J943=""),"",IF($J943&gt;0,ROUND($L943*Multa+$L943*Juros/30*$J943,2),0))</f>
        <v>0</v>
      </c>
      <c r="N943" s="22">
        <f>IF($L943="","",IF($L943&lt;=0.005,0,$L943+N($M943)))</f>
        <v>0</v>
      </c>
      <c r="O943" s="23">
        <f>IF(OR($I943="Vencido",$I943="Vencido (parcial)"),"Olá, "&amp;$A943&amp;"! Consta em aberto '"&amp;$B943&amp;"' com vencimento em "&amp;DAY($D943)&amp;"/"&amp;MONTH($D943)&amp;"/"&amp;YEAR($D943)&amp;", no valor de R$ "&amp;FIXED($N943,2)&amp;" (com multa e juros). Podemos ajudar a regularizar hoje? Obrigado!",IF($I943="Vence hoje","Olá, "&amp;$A943&amp;"! Lembrete: '"&amp;$B943&amp;"' vence hoje, no valor de R$ "&amp;FIXED($L943,2)&amp;". Obrigado!",""))</f>
        <v>0</v>
      </c>
    </row>
    <row r="944" spans="1:15">
      <c r="A944" s="13"/>
      <c r="B944" s="13"/>
      <c r="C944" s="17"/>
      <c r="D944" s="17"/>
      <c r="E944" s="18"/>
      <c r="F944" s="17"/>
      <c r="G944" s="18"/>
      <c r="H944" s="13"/>
      <c r="I944" s="19">
        <f>IF($E944="","",IF($L944&lt;=0.005,"Pago",IF($D944="","Sem vencimento",IF($D944&lt;Hoje,IF(N($G944)&gt;0,"Vencido (parcial)","Vencido"),IF($D944=Hoje,"Vence hoje","A vencer")))))</f>
        <v>0</v>
      </c>
      <c r="J944" s="20">
        <f>IF(OR($E944="",$D944=""),"",IF(AND($L944&gt;0.005,$D944&lt;Hoje),Hoje-$D944,0))</f>
        <v>0</v>
      </c>
      <c r="K944" s="20">
        <f>IF($J944="","",IF($L944&lt;=0.005,"Pago",IF($J944&lt;=0,"A vencer",IF($J944&lt;=15,"1-15 dias",IF($J944&lt;=30,"16-30 dias",IF($J944&lt;=60,"31-60 dias","Mais de 60 dias"))))))</f>
        <v>0</v>
      </c>
      <c r="L944" s="21">
        <f>IF($E944="","",MAX(0,$E944-N($G944)))</f>
        <v>0</v>
      </c>
      <c r="M944" s="21">
        <f>IF(OR($L944="",$J944=""),"",IF($J944&gt;0,ROUND($L944*Multa+$L944*Juros/30*$J944,2),0))</f>
        <v>0</v>
      </c>
      <c r="N944" s="22">
        <f>IF($L944="","",IF($L944&lt;=0.005,0,$L944+N($M944)))</f>
        <v>0</v>
      </c>
      <c r="O944" s="23">
        <f>IF(OR($I944="Vencido",$I944="Vencido (parcial)"),"Olá, "&amp;$A944&amp;"! Consta em aberto '"&amp;$B944&amp;"' com vencimento em "&amp;DAY($D944)&amp;"/"&amp;MONTH($D944)&amp;"/"&amp;YEAR($D944)&amp;", no valor de R$ "&amp;FIXED($N944,2)&amp;" (com multa e juros). Podemos ajudar a regularizar hoje? Obrigado!",IF($I944="Vence hoje","Olá, "&amp;$A944&amp;"! Lembrete: '"&amp;$B944&amp;"' vence hoje, no valor de R$ "&amp;FIXED($L944,2)&amp;". Obrigado!",""))</f>
        <v>0</v>
      </c>
    </row>
    <row r="945" spans="1:15">
      <c r="A945" s="13"/>
      <c r="B945" s="13"/>
      <c r="C945" s="17"/>
      <c r="D945" s="17"/>
      <c r="E945" s="18"/>
      <c r="F945" s="17"/>
      <c r="G945" s="18"/>
      <c r="H945" s="13"/>
      <c r="I945" s="19">
        <f>IF($E945="","",IF($L945&lt;=0.005,"Pago",IF($D945="","Sem vencimento",IF($D945&lt;Hoje,IF(N($G945)&gt;0,"Vencido (parcial)","Vencido"),IF($D945=Hoje,"Vence hoje","A vencer")))))</f>
        <v>0</v>
      </c>
      <c r="J945" s="20">
        <f>IF(OR($E945="",$D945=""),"",IF(AND($L945&gt;0.005,$D945&lt;Hoje),Hoje-$D945,0))</f>
        <v>0</v>
      </c>
      <c r="K945" s="20">
        <f>IF($J945="","",IF($L945&lt;=0.005,"Pago",IF($J945&lt;=0,"A vencer",IF($J945&lt;=15,"1-15 dias",IF($J945&lt;=30,"16-30 dias",IF($J945&lt;=60,"31-60 dias","Mais de 60 dias"))))))</f>
        <v>0</v>
      </c>
      <c r="L945" s="21">
        <f>IF($E945="","",MAX(0,$E945-N($G945)))</f>
        <v>0</v>
      </c>
      <c r="M945" s="21">
        <f>IF(OR($L945="",$J945=""),"",IF($J945&gt;0,ROUND($L945*Multa+$L945*Juros/30*$J945,2),0))</f>
        <v>0</v>
      </c>
      <c r="N945" s="22">
        <f>IF($L945="","",IF($L945&lt;=0.005,0,$L945+N($M945)))</f>
        <v>0</v>
      </c>
      <c r="O945" s="23">
        <f>IF(OR($I945="Vencido",$I945="Vencido (parcial)"),"Olá, "&amp;$A945&amp;"! Consta em aberto '"&amp;$B945&amp;"' com vencimento em "&amp;DAY($D945)&amp;"/"&amp;MONTH($D945)&amp;"/"&amp;YEAR($D945)&amp;", no valor de R$ "&amp;FIXED($N945,2)&amp;" (com multa e juros). Podemos ajudar a regularizar hoje? Obrigado!",IF($I945="Vence hoje","Olá, "&amp;$A945&amp;"! Lembrete: '"&amp;$B945&amp;"' vence hoje, no valor de R$ "&amp;FIXED($L945,2)&amp;". Obrigado!",""))</f>
        <v>0</v>
      </c>
    </row>
    <row r="946" spans="1:15">
      <c r="A946" s="13"/>
      <c r="B946" s="13"/>
      <c r="C946" s="17"/>
      <c r="D946" s="17"/>
      <c r="E946" s="18"/>
      <c r="F946" s="17"/>
      <c r="G946" s="18"/>
      <c r="H946" s="13"/>
      <c r="I946" s="19">
        <f>IF($E946="","",IF($L946&lt;=0.005,"Pago",IF($D946="","Sem vencimento",IF($D946&lt;Hoje,IF(N($G946)&gt;0,"Vencido (parcial)","Vencido"),IF($D946=Hoje,"Vence hoje","A vencer")))))</f>
        <v>0</v>
      </c>
      <c r="J946" s="20">
        <f>IF(OR($E946="",$D946=""),"",IF(AND($L946&gt;0.005,$D946&lt;Hoje),Hoje-$D946,0))</f>
        <v>0</v>
      </c>
      <c r="K946" s="20">
        <f>IF($J946="","",IF($L946&lt;=0.005,"Pago",IF($J946&lt;=0,"A vencer",IF($J946&lt;=15,"1-15 dias",IF($J946&lt;=30,"16-30 dias",IF($J946&lt;=60,"31-60 dias","Mais de 60 dias"))))))</f>
        <v>0</v>
      </c>
      <c r="L946" s="21">
        <f>IF($E946="","",MAX(0,$E946-N($G946)))</f>
        <v>0</v>
      </c>
      <c r="M946" s="21">
        <f>IF(OR($L946="",$J946=""),"",IF($J946&gt;0,ROUND($L946*Multa+$L946*Juros/30*$J946,2),0))</f>
        <v>0</v>
      </c>
      <c r="N946" s="22">
        <f>IF($L946="","",IF($L946&lt;=0.005,0,$L946+N($M946)))</f>
        <v>0</v>
      </c>
      <c r="O946" s="23">
        <f>IF(OR($I946="Vencido",$I946="Vencido (parcial)"),"Olá, "&amp;$A946&amp;"! Consta em aberto '"&amp;$B946&amp;"' com vencimento em "&amp;DAY($D946)&amp;"/"&amp;MONTH($D946)&amp;"/"&amp;YEAR($D946)&amp;", no valor de R$ "&amp;FIXED($N946,2)&amp;" (com multa e juros). Podemos ajudar a regularizar hoje? Obrigado!",IF($I946="Vence hoje","Olá, "&amp;$A946&amp;"! Lembrete: '"&amp;$B946&amp;"' vence hoje, no valor de R$ "&amp;FIXED($L946,2)&amp;". Obrigado!",""))</f>
        <v>0</v>
      </c>
    </row>
    <row r="947" spans="1:15">
      <c r="A947" s="13"/>
      <c r="B947" s="13"/>
      <c r="C947" s="17"/>
      <c r="D947" s="17"/>
      <c r="E947" s="18"/>
      <c r="F947" s="17"/>
      <c r="G947" s="18"/>
      <c r="H947" s="13"/>
      <c r="I947" s="19">
        <f>IF($E947="","",IF($L947&lt;=0.005,"Pago",IF($D947="","Sem vencimento",IF($D947&lt;Hoje,IF(N($G947)&gt;0,"Vencido (parcial)","Vencido"),IF($D947=Hoje,"Vence hoje","A vencer")))))</f>
        <v>0</v>
      </c>
      <c r="J947" s="20">
        <f>IF(OR($E947="",$D947=""),"",IF(AND($L947&gt;0.005,$D947&lt;Hoje),Hoje-$D947,0))</f>
        <v>0</v>
      </c>
      <c r="K947" s="20">
        <f>IF($J947="","",IF($L947&lt;=0.005,"Pago",IF($J947&lt;=0,"A vencer",IF($J947&lt;=15,"1-15 dias",IF($J947&lt;=30,"16-30 dias",IF($J947&lt;=60,"31-60 dias","Mais de 60 dias"))))))</f>
        <v>0</v>
      </c>
      <c r="L947" s="21">
        <f>IF($E947="","",MAX(0,$E947-N($G947)))</f>
        <v>0</v>
      </c>
      <c r="M947" s="21">
        <f>IF(OR($L947="",$J947=""),"",IF($J947&gt;0,ROUND($L947*Multa+$L947*Juros/30*$J947,2),0))</f>
        <v>0</v>
      </c>
      <c r="N947" s="22">
        <f>IF($L947="","",IF($L947&lt;=0.005,0,$L947+N($M947)))</f>
        <v>0</v>
      </c>
      <c r="O947" s="23">
        <f>IF(OR($I947="Vencido",$I947="Vencido (parcial)"),"Olá, "&amp;$A947&amp;"! Consta em aberto '"&amp;$B947&amp;"' com vencimento em "&amp;DAY($D947)&amp;"/"&amp;MONTH($D947)&amp;"/"&amp;YEAR($D947)&amp;", no valor de R$ "&amp;FIXED($N947,2)&amp;" (com multa e juros). Podemos ajudar a regularizar hoje? Obrigado!",IF($I947="Vence hoje","Olá, "&amp;$A947&amp;"! Lembrete: '"&amp;$B947&amp;"' vence hoje, no valor de R$ "&amp;FIXED($L947,2)&amp;". Obrigado!",""))</f>
        <v>0</v>
      </c>
    </row>
    <row r="948" spans="1:15">
      <c r="A948" s="13"/>
      <c r="B948" s="13"/>
      <c r="C948" s="17"/>
      <c r="D948" s="17"/>
      <c r="E948" s="18"/>
      <c r="F948" s="17"/>
      <c r="G948" s="18"/>
      <c r="H948" s="13"/>
      <c r="I948" s="19">
        <f>IF($E948="","",IF($L948&lt;=0.005,"Pago",IF($D948="","Sem vencimento",IF($D948&lt;Hoje,IF(N($G948)&gt;0,"Vencido (parcial)","Vencido"),IF($D948=Hoje,"Vence hoje","A vencer")))))</f>
        <v>0</v>
      </c>
      <c r="J948" s="20">
        <f>IF(OR($E948="",$D948=""),"",IF(AND($L948&gt;0.005,$D948&lt;Hoje),Hoje-$D948,0))</f>
        <v>0</v>
      </c>
      <c r="K948" s="20">
        <f>IF($J948="","",IF($L948&lt;=0.005,"Pago",IF($J948&lt;=0,"A vencer",IF($J948&lt;=15,"1-15 dias",IF($J948&lt;=30,"16-30 dias",IF($J948&lt;=60,"31-60 dias","Mais de 60 dias"))))))</f>
        <v>0</v>
      </c>
      <c r="L948" s="21">
        <f>IF($E948="","",MAX(0,$E948-N($G948)))</f>
        <v>0</v>
      </c>
      <c r="M948" s="21">
        <f>IF(OR($L948="",$J948=""),"",IF($J948&gt;0,ROUND($L948*Multa+$L948*Juros/30*$J948,2),0))</f>
        <v>0</v>
      </c>
      <c r="N948" s="22">
        <f>IF($L948="","",IF($L948&lt;=0.005,0,$L948+N($M948)))</f>
        <v>0</v>
      </c>
      <c r="O948" s="23">
        <f>IF(OR($I948="Vencido",$I948="Vencido (parcial)"),"Olá, "&amp;$A948&amp;"! Consta em aberto '"&amp;$B948&amp;"' com vencimento em "&amp;DAY($D948)&amp;"/"&amp;MONTH($D948)&amp;"/"&amp;YEAR($D948)&amp;", no valor de R$ "&amp;FIXED($N948,2)&amp;" (com multa e juros). Podemos ajudar a regularizar hoje? Obrigado!",IF($I948="Vence hoje","Olá, "&amp;$A948&amp;"! Lembrete: '"&amp;$B948&amp;"' vence hoje, no valor de R$ "&amp;FIXED($L948,2)&amp;". Obrigado!",""))</f>
        <v>0</v>
      </c>
    </row>
    <row r="949" spans="1:15">
      <c r="A949" s="13"/>
      <c r="B949" s="13"/>
      <c r="C949" s="17"/>
      <c r="D949" s="17"/>
      <c r="E949" s="18"/>
      <c r="F949" s="17"/>
      <c r="G949" s="18"/>
      <c r="H949" s="13"/>
      <c r="I949" s="19">
        <f>IF($E949="","",IF($L949&lt;=0.005,"Pago",IF($D949="","Sem vencimento",IF($D949&lt;Hoje,IF(N($G949)&gt;0,"Vencido (parcial)","Vencido"),IF($D949=Hoje,"Vence hoje","A vencer")))))</f>
        <v>0</v>
      </c>
      <c r="J949" s="20">
        <f>IF(OR($E949="",$D949=""),"",IF(AND($L949&gt;0.005,$D949&lt;Hoje),Hoje-$D949,0))</f>
        <v>0</v>
      </c>
      <c r="K949" s="20">
        <f>IF($J949="","",IF($L949&lt;=0.005,"Pago",IF($J949&lt;=0,"A vencer",IF($J949&lt;=15,"1-15 dias",IF($J949&lt;=30,"16-30 dias",IF($J949&lt;=60,"31-60 dias","Mais de 60 dias"))))))</f>
        <v>0</v>
      </c>
      <c r="L949" s="21">
        <f>IF($E949="","",MAX(0,$E949-N($G949)))</f>
        <v>0</v>
      </c>
      <c r="M949" s="21">
        <f>IF(OR($L949="",$J949=""),"",IF($J949&gt;0,ROUND($L949*Multa+$L949*Juros/30*$J949,2),0))</f>
        <v>0</v>
      </c>
      <c r="N949" s="22">
        <f>IF($L949="","",IF($L949&lt;=0.005,0,$L949+N($M949)))</f>
        <v>0</v>
      </c>
      <c r="O949" s="23">
        <f>IF(OR($I949="Vencido",$I949="Vencido (parcial)"),"Olá, "&amp;$A949&amp;"! Consta em aberto '"&amp;$B949&amp;"' com vencimento em "&amp;DAY($D949)&amp;"/"&amp;MONTH($D949)&amp;"/"&amp;YEAR($D949)&amp;", no valor de R$ "&amp;FIXED($N949,2)&amp;" (com multa e juros). Podemos ajudar a regularizar hoje? Obrigado!",IF($I949="Vence hoje","Olá, "&amp;$A949&amp;"! Lembrete: '"&amp;$B949&amp;"' vence hoje, no valor de R$ "&amp;FIXED($L949,2)&amp;". Obrigado!",""))</f>
        <v>0</v>
      </c>
    </row>
    <row r="950" spans="1:15">
      <c r="A950" s="13"/>
      <c r="B950" s="13"/>
      <c r="C950" s="17"/>
      <c r="D950" s="17"/>
      <c r="E950" s="18"/>
      <c r="F950" s="17"/>
      <c r="G950" s="18"/>
      <c r="H950" s="13"/>
      <c r="I950" s="19">
        <f>IF($E950="","",IF($L950&lt;=0.005,"Pago",IF($D950="","Sem vencimento",IF($D950&lt;Hoje,IF(N($G950)&gt;0,"Vencido (parcial)","Vencido"),IF($D950=Hoje,"Vence hoje","A vencer")))))</f>
        <v>0</v>
      </c>
      <c r="J950" s="20">
        <f>IF(OR($E950="",$D950=""),"",IF(AND($L950&gt;0.005,$D950&lt;Hoje),Hoje-$D950,0))</f>
        <v>0</v>
      </c>
      <c r="K950" s="20">
        <f>IF($J950="","",IF($L950&lt;=0.005,"Pago",IF($J950&lt;=0,"A vencer",IF($J950&lt;=15,"1-15 dias",IF($J950&lt;=30,"16-30 dias",IF($J950&lt;=60,"31-60 dias","Mais de 60 dias"))))))</f>
        <v>0</v>
      </c>
      <c r="L950" s="21">
        <f>IF($E950="","",MAX(0,$E950-N($G950)))</f>
        <v>0</v>
      </c>
      <c r="M950" s="21">
        <f>IF(OR($L950="",$J950=""),"",IF($J950&gt;0,ROUND($L950*Multa+$L950*Juros/30*$J950,2),0))</f>
        <v>0</v>
      </c>
      <c r="N950" s="22">
        <f>IF($L950="","",IF($L950&lt;=0.005,0,$L950+N($M950)))</f>
        <v>0</v>
      </c>
      <c r="O950" s="23">
        <f>IF(OR($I950="Vencido",$I950="Vencido (parcial)"),"Olá, "&amp;$A950&amp;"! Consta em aberto '"&amp;$B950&amp;"' com vencimento em "&amp;DAY($D950)&amp;"/"&amp;MONTH($D950)&amp;"/"&amp;YEAR($D950)&amp;", no valor de R$ "&amp;FIXED($N950,2)&amp;" (com multa e juros). Podemos ajudar a regularizar hoje? Obrigado!",IF($I950="Vence hoje","Olá, "&amp;$A950&amp;"! Lembrete: '"&amp;$B950&amp;"' vence hoje, no valor de R$ "&amp;FIXED($L950,2)&amp;". Obrigado!",""))</f>
        <v>0</v>
      </c>
    </row>
    <row r="951" spans="1:15">
      <c r="A951" s="13"/>
      <c r="B951" s="13"/>
      <c r="C951" s="17"/>
      <c r="D951" s="17"/>
      <c r="E951" s="18"/>
      <c r="F951" s="17"/>
      <c r="G951" s="18"/>
      <c r="H951" s="13"/>
      <c r="I951" s="19">
        <f>IF($E951="","",IF($L951&lt;=0.005,"Pago",IF($D951="","Sem vencimento",IF($D951&lt;Hoje,IF(N($G951)&gt;0,"Vencido (parcial)","Vencido"),IF($D951=Hoje,"Vence hoje","A vencer")))))</f>
        <v>0</v>
      </c>
      <c r="J951" s="20">
        <f>IF(OR($E951="",$D951=""),"",IF(AND($L951&gt;0.005,$D951&lt;Hoje),Hoje-$D951,0))</f>
        <v>0</v>
      </c>
      <c r="K951" s="20">
        <f>IF($J951="","",IF($L951&lt;=0.005,"Pago",IF($J951&lt;=0,"A vencer",IF($J951&lt;=15,"1-15 dias",IF($J951&lt;=30,"16-30 dias",IF($J951&lt;=60,"31-60 dias","Mais de 60 dias"))))))</f>
        <v>0</v>
      </c>
      <c r="L951" s="21">
        <f>IF($E951="","",MAX(0,$E951-N($G951)))</f>
        <v>0</v>
      </c>
      <c r="M951" s="21">
        <f>IF(OR($L951="",$J951=""),"",IF($J951&gt;0,ROUND($L951*Multa+$L951*Juros/30*$J951,2),0))</f>
        <v>0</v>
      </c>
      <c r="N951" s="22">
        <f>IF($L951="","",IF($L951&lt;=0.005,0,$L951+N($M951)))</f>
        <v>0</v>
      </c>
      <c r="O951" s="23">
        <f>IF(OR($I951="Vencido",$I951="Vencido (parcial)"),"Olá, "&amp;$A951&amp;"! Consta em aberto '"&amp;$B951&amp;"' com vencimento em "&amp;DAY($D951)&amp;"/"&amp;MONTH($D951)&amp;"/"&amp;YEAR($D951)&amp;", no valor de R$ "&amp;FIXED($N951,2)&amp;" (com multa e juros). Podemos ajudar a regularizar hoje? Obrigado!",IF($I951="Vence hoje","Olá, "&amp;$A951&amp;"! Lembrete: '"&amp;$B951&amp;"' vence hoje, no valor de R$ "&amp;FIXED($L951,2)&amp;". Obrigado!",""))</f>
        <v>0</v>
      </c>
    </row>
    <row r="952" spans="1:15">
      <c r="A952" s="13"/>
      <c r="B952" s="13"/>
      <c r="C952" s="17"/>
      <c r="D952" s="17"/>
      <c r="E952" s="18"/>
      <c r="F952" s="17"/>
      <c r="G952" s="18"/>
      <c r="H952" s="13"/>
      <c r="I952" s="19">
        <f>IF($E952="","",IF($L952&lt;=0.005,"Pago",IF($D952="","Sem vencimento",IF($D952&lt;Hoje,IF(N($G952)&gt;0,"Vencido (parcial)","Vencido"),IF($D952=Hoje,"Vence hoje","A vencer")))))</f>
        <v>0</v>
      </c>
      <c r="J952" s="20">
        <f>IF(OR($E952="",$D952=""),"",IF(AND($L952&gt;0.005,$D952&lt;Hoje),Hoje-$D952,0))</f>
        <v>0</v>
      </c>
      <c r="K952" s="20">
        <f>IF($J952="","",IF($L952&lt;=0.005,"Pago",IF($J952&lt;=0,"A vencer",IF($J952&lt;=15,"1-15 dias",IF($J952&lt;=30,"16-30 dias",IF($J952&lt;=60,"31-60 dias","Mais de 60 dias"))))))</f>
        <v>0</v>
      </c>
      <c r="L952" s="21">
        <f>IF($E952="","",MAX(0,$E952-N($G952)))</f>
        <v>0</v>
      </c>
      <c r="M952" s="21">
        <f>IF(OR($L952="",$J952=""),"",IF($J952&gt;0,ROUND($L952*Multa+$L952*Juros/30*$J952,2),0))</f>
        <v>0</v>
      </c>
      <c r="N952" s="22">
        <f>IF($L952="","",IF($L952&lt;=0.005,0,$L952+N($M952)))</f>
        <v>0</v>
      </c>
      <c r="O952" s="23">
        <f>IF(OR($I952="Vencido",$I952="Vencido (parcial)"),"Olá, "&amp;$A952&amp;"! Consta em aberto '"&amp;$B952&amp;"' com vencimento em "&amp;DAY($D952)&amp;"/"&amp;MONTH($D952)&amp;"/"&amp;YEAR($D952)&amp;", no valor de R$ "&amp;FIXED($N952,2)&amp;" (com multa e juros). Podemos ajudar a regularizar hoje? Obrigado!",IF($I952="Vence hoje","Olá, "&amp;$A952&amp;"! Lembrete: '"&amp;$B952&amp;"' vence hoje, no valor de R$ "&amp;FIXED($L952,2)&amp;". Obrigado!",""))</f>
        <v>0</v>
      </c>
    </row>
    <row r="953" spans="1:15">
      <c r="A953" s="13"/>
      <c r="B953" s="13"/>
      <c r="C953" s="17"/>
      <c r="D953" s="17"/>
      <c r="E953" s="18"/>
      <c r="F953" s="17"/>
      <c r="G953" s="18"/>
      <c r="H953" s="13"/>
      <c r="I953" s="19">
        <f>IF($E953="","",IF($L953&lt;=0.005,"Pago",IF($D953="","Sem vencimento",IF($D953&lt;Hoje,IF(N($G953)&gt;0,"Vencido (parcial)","Vencido"),IF($D953=Hoje,"Vence hoje","A vencer")))))</f>
        <v>0</v>
      </c>
      <c r="J953" s="20">
        <f>IF(OR($E953="",$D953=""),"",IF(AND($L953&gt;0.005,$D953&lt;Hoje),Hoje-$D953,0))</f>
        <v>0</v>
      </c>
      <c r="K953" s="20">
        <f>IF($J953="","",IF($L953&lt;=0.005,"Pago",IF($J953&lt;=0,"A vencer",IF($J953&lt;=15,"1-15 dias",IF($J953&lt;=30,"16-30 dias",IF($J953&lt;=60,"31-60 dias","Mais de 60 dias"))))))</f>
        <v>0</v>
      </c>
      <c r="L953" s="21">
        <f>IF($E953="","",MAX(0,$E953-N($G953)))</f>
        <v>0</v>
      </c>
      <c r="M953" s="21">
        <f>IF(OR($L953="",$J953=""),"",IF($J953&gt;0,ROUND($L953*Multa+$L953*Juros/30*$J953,2),0))</f>
        <v>0</v>
      </c>
      <c r="N953" s="22">
        <f>IF($L953="","",IF($L953&lt;=0.005,0,$L953+N($M953)))</f>
        <v>0</v>
      </c>
      <c r="O953" s="23">
        <f>IF(OR($I953="Vencido",$I953="Vencido (parcial)"),"Olá, "&amp;$A953&amp;"! Consta em aberto '"&amp;$B953&amp;"' com vencimento em "&amp;DAY($D953)&amp;"/"&amp;MONTH($D953)&amp;"/"&amp;YEAR($D953)&amp;", no valor de R$ "&amp;FIXED($N953,2)&amp;" (com multa e juros). Podemos ajudar a regularizar hoje? Obrigado!",IF($I953="Vence hoje","Olá, "&amp;$A953&amp;"! Lembrete: '"&amp;$B953&amp;"' vence hoje, no valor de R$ "&amp;FIXED($L953,2)&amp;". Obrigado!",""))</f>
        <v>0</v>
      </c>
    </row>
    <row r="954" spans="1:15">
      <c r="A954" s="13"/>
      <c r="B954" s="13"/>
      <c r="C954" s="17"/>
      <c r="D954" s="17"/>
      <c r="E954" s="18"/>
      <c r="F954" s="17"/>
      <c r="G954" s="18"/>
      <c r="H954" s="13"/>
      <c r="I954" s="19">
        <f>IF($E954="","",IF($L954&lt;=0.005,"Pago",IF($D954="","Sem vencimento",IF($D954&lt;Hoje,IF(N($G954)&gt;0,"Vencido (parcial)","Vencido"),IF($D954=Hoje,"Vence hoje","A vencer")))))</f>
        <v>0</v>
      </c>
      <c r="J954" s="20">
        <f>IF(OR($E954="",$D954=""),"",IF(AND($L954&gt;0.005,$D954&lt;Hoje),Hoje-$D954,0))</f>
        <v>0</v>
      </c>
      <c r="K954" s="20">
        <f>IF($J954="","",IF($L954&lt;=0.005,"Pago",IF($J954&lt;=0,"A vencer",IF($J954&lt;=15,"1-15 dias",IF($J954&lt;=30,"16-30 dias",IF($J954&lt;=60,"31-60 dias","Mais de 60 dias"))))))</f>
        <v>0</v>
      </c>
      <c r="L954" s="21">
        <f>IF($E954="","",MAX(0,$E954-N($G954)))</f>
        <v>0</v>
      </c>
      <c r="M954" s="21">
        <f>IF(OR($L954="",$J954=""),"",IF($J954&gt;0,ROUND($L954*Multa+$L954*Juros/30*$J954,2),0))</f>
        <v>0</v>
      </c>
      <c r="N954" s="22">
        <f>IF($L954="","",IF($L954&lt;=0.005,0,$L954+N($M954)))</f>
        <v>0</v>
      </c>
      <c r="O954" s="23">
        <f>IF(OR($I954="Vencido",$I954="Vencido (parcial)"),"Olá, "&amp;$A954&amp;"! Consta em aberto '"&amp;$B954&amp;"' com vencimento em "&amp;DAY($D954)&amp;"/"&amp;MONTH($D954)&amp;"/"&amp;YEAR($D954)&amp;", no valor de R$ "&amp;FIXED($N954,2)&amp;" (com multa e juros). Podemos ajudar a regularizar hoje? Obrigado!",IF($I954="Vence hoje","Olá, "&amp;$A954&amp;"! Lembrete: '"&amp;$B954&amp;"' vence hoje, no valor de R$ "&amp;FIXED($L954,2)&amp;". Obrigado!",""))</f>
        <v>0</v>
      </c>
    </row>
    <row r="955" spans="1:15">
      <c r="A955" s="13"/>
      <c r="B955" s="13"/>
      <c r="C955" s="17"/>
      <c r="D955" s="17"/>
      <c r="E955" s="18"/>
      <c r="F955" s="17"/>
      <c r="G955" s="18"/>
      <c r="H955" s="13"/>
      <c r="I955" s="19">
        <f>IF($E955="","",IF($L955&lt;=0.005,"Pago",IF($D955="","Sem vencimento",IF($D955&lt;Hoje,IF(N($G955)&gt;0,"Vencido (parcial)","Vencido"),IF($D955=Hoje,"Vence hoje","A vencer")))))</f>
        <v>0</v>
      </c>
      <c r="J955" s="20">
        <f>IF(OR($E955="",$D955=""),"",IF(AND($L955&gt;0.005,$D955&lt;Hoje),Hoje-$D955,0))</f>
        <v>0</v>
      </c>
      <c r="K955" s="20">
        <f>IF($J955="","",IF($L955&lt;=0.005,"Pago",IF($J955&lt;=0,"A vencer",IF($J955&lt;=15,"1-15 dias",IF($J955&lt;=30,"16-30 dias",IF($J955&lt;=60,"31-60 dias","Mais de 60 dias"))))))</f>
        <v>0</v>
      </c>
      <c r="L955" s="21">
        <f>IF($E955="","",MAX(0,$E955-N($G955)))</f>
        <v>0</v>
      </c>
      <c r="M955" s="21">
        <f>IF(OR($L955="",$J955=""),"",IF($J955&gt;0,ROUND($L955*Multa+$L955*Juros/30*$J955,2),0))</f>
        <v>0</v>
      </c>
      <c r="N955" s="22">
        <f>IF($L955="","",IF($L955&lt;=0.005,0,$L955+N($M955)))</f>
        <v>0</v>
      </c>
      <c r="O955" s="23">
        <f>IF(OR($I955="Vencido",$I955="Vencido (parcial)"),"Olá, "&amp;$A955&amp;"! Consta em aberto '"&amp;$B955&amp;"' com vencimento em "&amp;DAY($D955)&amp;"/"&amp;MONTH($D955)&amp;"/"&amp;YEAR($D955)&amp;", no valor de R$ "&amp;FIXED($N955,2)&amp;" (com multa e juros). Podemos ajudar a regularizar hoje? Obrigado!",IF($I955="Vence hoje","Olá, "&amp;$A955&amp;"! Lembrete: '"&amp;$B955&amp;"' vence hoje, no valor de R$ "&amp;FIXED($L955,2)&amp;". Obrigado!",""))</f>
        <v>0</v>
      </c>
    </row>
    <row r="956" spans="1:15">
      <c r="A956" s="13"/>
      <c r="B956" s="13"/>
      <c r="C956" s="17"/>
      <c r="D956" s="17"/>
      <c r="E956" s="18"/>
      <c r="F956" s="17"/>
      <c r="G956" s="18"/>
      <c r="H956" s="13"/>
      <c r="I956" s="19">
        <f>IF($E956="","",IF($L956&lt;=0.005,"Pago",IF($D956="","Sem vencimento",IF($D956&lt;Hoje,IF(N($G956)&gt;0,"Vencido (parcial)","Vencido"),IF($D956=Hoje,"Vence hoje","A vencer")))))</f>
        <v>0</v>
      </c>
      <c r="J956" s="20">
        <f>IF(OR($E956="",$D956=""),"",IF(AND($L956&gt;0.005,$D956&lt;Hoje),Hoje-$D956,0))</f>
        <v>0</v>
      </c>
      <c r="K956" s="20">
        <f>IF($J956="","",IF($L956&lt;=0.005,"Pago",IF($J956&lt;=0,"A vencer",IF($J956&lt;=15,"1-15 dias",IF($J956&lt;=30,"16-30 dias",IF($J956&lt;=60,"31-60 dias","Mais de 60 dias"))))))</f>
        <v>0</v>
      </c>
      <c r="L956" s="21">
        <f>IF($E956="","",MAX(0,$E956-N($G956)))</f>
        <v>0</v>
      </c>
      <c r="M956" s="21">
        <f>IF(OR($L956="",$J956=""),"",IF($J956&gt;0,ROUND($L956*Multa+$L956*Juros/30*$J956,2),0))</f>
        <v>0</v>
      </c>
      <c r="N956" s="22">
        <f>IF($L956="","",IF($L956&lt;=0.005,0,$L956+N($M956)))</f>
        <v>0</v>
      </c>
      <c r="O956" s="23">
        <f>IF(OR($I956="Vencido",$I956="Vencido (parcial)"),"Olá, "&amp;$A956&amp;"! Consta em aberto '"&amp;$B956&amp;"' com vencimento em "&amp;DAY($D956)&amp;"/"&amp;MONTH($D956)&amp;"/"&amp;YEAR($D956)&amp;", no valor de R$ "&amp;FIXED($N956,2)&amp;" (com multa e juros). Podemos ajudar a regularizar hoje? Obrigado!",IF($I956="Vence hoje","Olá, "&amp;$A956&amp;"! Lembrete: '"&amp;$B956&amp;"' vence hoje, no valor de R$ "&amp;FIXED($L956,2)&amp;". Obrigado!",""))</f>
        <v>0</v>
      </c>
    </row>
    <row r="957" spans="1:15">
      <c r="A957" s="13"/>
      <c r="B957" s="13"/>
      <c r="C957" s="17"/>
      <c r="D957" s="17"/>
      <c r="E957" s="18"/>
      <c r="F957" s="17"/>
      <c r="G957" s="18"/>
      <c r="H957" s="13"/>
      <c r="I957" s="19">
        <f>IF($E957="","",IF($L957&lt;=0.005,"Pago",IF($D957="","Sem vencimento",IF($D957&lt;Hoje,IF(N($G957)&gt;0,"Vencido (parcial)","Vencido"),IF($D957=Hoje,"Vence hoje","A vencer")))))</f>
        <v>0</v>
      </c>
      <c r="J957" s="20">
        <f>IF(OR($E957="",$D957=""),"",IF(AND($L957&gt;0.005,$D957&lt;Hoje),Hoje-$D957,0))</f>
        <v>0</v>
      </c>
      <c r="K957" s="20">
        <f>IF($J957="","",IF($L957&lt;=0.005,"Pago",IF($J957&lt;=0,"A vencer",IF($J957&lt;=15,"1-15 dias",IF($J957&lt;=30,"16-30 dias",IF($J957&lt;=60,"31-60 dias","Mais de 60 dias"))))))</f>
        <v>0</v>
      </c>
      <c r="L957" s="21">
        <f>IF($E957="","",MAX(0,$E957-N($G957)))</f>
        <v>0</v>
      </c>
      <c r="M957" s="21">
        <f>IF(OR($L957="",$J957=""),"",IF($J957&gt;0,ROUND($L957*Multa+$L957*Juros/30*$J957,2),0))</f>
        <v>0</v>
      </c>
      <c r="N957" s="22">
        <f>IF($L957="","",IF($L957&lt;=0.005,0,$L957+N($M957)))</f>
        <v>0</v>
      </c>
      <c r="O957" s="23">
        <f>IF(OR($I957="Vencido",$I957="Vencido (parcial)"),"Olá, "&amp;$A957&amp;"! Consta em aberto '"&amp;$B957&amp;"' com vencimento em "&amp;DAY($D957)&amp;"/"&amp;MONTH($D957)&amp;"/"&amp;YEAR($D957)&amp;", no valor de R$ "&amp;FIXED($N957,2)&amp;" (com multa e juros). Podemos ajudar a regularizar hoje? Obrigado!",IF($I957="Vence hoje","Olá, "&amp;$A957&amp;"! Lembrete: '"&amp;$B957&amp;"' vence hoje, no valor de R$ "&amp;FIXED($L957,2)&amp;". Obrigado!",""))</f>
        <v>0</v>
      </c>
    </row>
    <row r="958" spans="1:15">
      <c r="A958" s="13"/>
      <c r="B958" s="13"/>
      <c r="C958" s="17"/>
      <c r="D958" s="17"/>
      <c r="E958" s="18"/>
      <c r="F958" s="17"/>
      <c r="G958" s="18"/>
      <c r="H958" s="13"/>
      <c r="I958" s="19">
        <f>IF($E958="","",IF($L958&lt;=0.005,"Pago",IF($D958="","Sem vencimento",IF($D958&lt;Hoje,IF(N($G958)&gt;0,"Vencido (parcial)","Vencido"),IF($D958=Hoje,"Vence hoje","A vencer")))))</f>
        <v>0</v>
      </c>
      <c r="J958" s="20">
        <f>IF(OR($E958="",$D958=""),"",IF(AND($L958&gt;0.005,$D958&lt;Hoje),Hoje-$D958,0))</f>
        <v>0</v>
      </c>
      <c r="K958" s="20">
        <f>IF($J958="","",IF($L958&lt;=0.005,"Pago",IF($J958&lt;=0,"A vencer",IF($J958&lt;=15,"1-15 dias",IF($J958&lt;=30,"16-30 dias",IF($J958&lt;=60,"31-60 dias","Mais de 60 dias"))))))</f>
        <v>0</v>
      </c>
      <c r="L958" s="21">
        <f>IF($E958="","",MAX(0,$E958-N($G958)))</f>
        <v>0</v>
      </c>
      <c r="M958" s="21">
        <f>IF(OR($L958="",$J958=""),"",IF($J958&gt;0,ROUND($L958*Multa+$L958*Juros/30*$J958,2),0))</f>
        <v>0</v>
      </c>
      <c r="N958" s="22">
        <f>IF($L958="","",IF($L958&lt;=0.005,0,$L958+N($M958)))</f>
        <v>0</v>
      </c>
      <c r="O958" s="23">
        <f>IF(OR($I958="Vencido",$I958="Vencido (parcial)"),"Olá, "&amp;$A958&amp;"! Consta em aberto '"&amp;$B958&amp;"' com vencimento em "&amp;DAY($D958)&amp;"/"&amp;MONTH($D958)&amp;"/"&amp;YEAR($D958)&amp;", no valor de R$ "&amp;FIXED($N958,2)&amp;" (com multa e juros). Podemos ajudar a regularizar hoje? Obrigado!",IF($I958="Vence hoje","Olá, "&amp;$A958&amp;"! Lembrete: '"&amp;$B958&amp;"' vence hoje, no valor de R$ "&amp;FIXED($L958,2)&amp;". Obrigado!",""))</f>
        <v>0</v>
      </c>
    </row>
    <row r="959" spans="1:15">
      <c r="A959" s="13"/>
      <c r="B959" s="13"/>
      <c r="C959" s="17"/>
      <c r="D959" s="17"/>
      <c r="E959" s="18"/>
      <c r="F959" s="17"/>
      <c r="G959" s="18"/>
      <c r="H959" s="13"/>
      <c r="I959" s="19">
        <f>IF($E959="","",IF($L959&lt;=0.005,"Pago",IF($D959="","Sem vencimento",IF($D959&lt;Hoje,IF(N($G959)&gt;0,"Vencido (parcial)","Vencido"),IF($D959=Hoje,"Vence hoje","A vencer")))))</f>
        <v>0</v>
      </c>
      <c r="J959" s="20">
        <f>IF(OR($E959="",$D959=""),"",IF(AND($L959&gt;0.005,$D959&lt;Hoje),Hoje-$D959,0))</f>
        <v>0</v>
      </c>
      <c r="K959" s="20">
        <f>IF($J959="","",IF($L959&lt;=0.005,"Pago",IF($J959&lt;=0,"A vencer",IF($J959&lt;=15,"1-15 dias",IF($J959&lt;=30,"16-30 dias",IF($J959&lt;=60,"31-60 dias","Mais de 60 dias"))))))</f>
        <v>0</v>
      </c>
      <c r="L959" s="21">
        <f>IF($E959="","",MAX(0,$E959-N($G959)))</f>
        <v>0</v>
      </c>
      <c r="M959" s="21">
        <f>IF(OR($L959="",$J959=""),"",IF($J959&gt;0,ROUND($L959*Multa+$L959*Juros/30*$J959,2),0))</f>
        <v>0</v>
      </c>
      <c r="N959" s="22">
        <f>IF($L959="","",IF($L959&lt;=0.005,0,$L959+N($M959)))</f>
        <v>0</v>
      </c>
      <c r="O959" s="23">
        <f>IF(OR($I959="Vencido",$I959="Vencido (parcial)"),"Olá, "&amp;$A959&amp;"! Consta em aberto '"&amp;$B959&amp;"' com vencimento em "&amp;DAY($D959)&amp;"/"&amp;MONTH($D959)&amp;"/"&amp;YEAR($D959)&amp;", no valor de R$ "&amp;FIXED($N959,2)&amp;" (com multa e juros). Podemos ajudar a regularizar hoje? Obrigado!",IF($I959="Vence hoje","Olá, "&amp;$A959&amp;"! Lembrete: '"&amp;$B959&amp;"' vence hoje, no valor de R$ "&amp;FIXED($L959,2)&amp;". Obrigado!",""))</f>
        <v>0</v>
      </c>
    </row>
    <row r="960" spans="1:15">
      <c r="A960" s="13"/>
      <c r="B960" s="13"/>
      <c r="C960" s="17"/>
      <c r="D960" s="17"/>
      <c r="E960" s="18"/>
      <c r="F960" s="17"/>
      <c r="G960" s="18"/>
      <c r="H960" s="13"/>
      <c r="I960" s="19">
        <f>IF($E960="","",IF($L960&lt;=0.005,"Pago",IF($D960="","Sem vencimento",IF($D960&lt;Hoje,IF(N($G960)&gt;0,"Vencido (parcial)","Vencido"),IF($D960=Hoje,"Vence hoje","A vencer")))))</f>
        <v>0</v>
      </c>
      <c r="J960" s="20">
        <f>IF(OR($E960="",$D960=""),"",IF(AND($L960&gt;0.005,$D960&lt;Hoje),Hoje-$D960,0))</f>
        <v>0</v>
      </c>
      <c r="K960" s="20">
        <f>IF($J960="","",IF($L960&lt;=0.005,"Pago",IF($J960&lt;=0,"A vencer",IF($J960&lt;=15,"1-15 dias",IF($J960&lt;=30,"16-30 dias",IF($J960&lt;=60,"31-60 dias","Mais de 60 dias"))))))</f>
        <v>0</v>
      </c>
      <c r="L960" s="21">
        <f>IF($E960="","",MAX(0,$E960-N($G960)))</f>
        <v>0</v>
      </c>
      <c r="M960" s="21">
        <f>IF(OR($L960="",$J960=""),"",IF($J960&gt;0,ROUND($L960*Multa+$L960*Juros/30*$J960,2),0))</f>
        <v>0</v>
      </c>
      <c r="N960" s="22">
        <f>IF($L960="","",IF($L960&lt;=0.005,0,$L960+N($M960)))</f>
        <v>0</v>
      </c>
      <c r="O960" s="23">
        <f>IF(OR($I960="Vencido",$I960="Vencido (parcial)"),"Olá, "&amp;$A960&amp;"! Consta em aberto '"&amp;$B960&amp;"' com vencimento em "&amp;DAY($D960)&amp;"/"&amp;MONTH($D960)&amp;"/"&amp;YEAR($D960)&amp;", no valor de R$ "&amp;FIXED($N960,2)&amp;" (com multa e juros). Podemos ajudar a regularizar hoje? Obrigado!",IF($I960="Vence hoje","Olá, "&amp;$A960&amp;"! Lembrete: '"&amp;$B960&amp;"' vence hoje, no valor de R$ "&amp;FIXED($L960,2)&amp;". Obrigado!",""))</f>
        <v>0</v>
      </c>
    </row>
    <row r="961" spans="1:15">
      <c r="A961" s="13"/>
      <c r="B961" s="13"/>
      <c r="C961" s="17"/>
      <c r="D961" s="17"/>
      <c r="E961" s="18"/>
      <c r="F961" s="17"/>
      <c r="G961" s="18"/>
      <c r="H961" s="13"/>
      <c r="I961" s="19">
        <f>IF($E961="","",IF($L961&lt;=0.005,"Pago",IF($D961="","Sem vencimento",IF($D961&lt;Hoje,IF(N($G961)&gt;0,"Vencido (parcial)","Vencido"),IF($D961=Hoje,"Vence hoje","A vencer")))))</f>
        <v>0</v>
      </c>
      <c r="J961" s="20">
        <f>IF(OR($E961="",$D961=""),"",IF(AND($L961&gt;0.005,$D961&lt;Hoje),Hoje-$D961,0))</f>
        <v>0</v>
      </c>
      <c r="K961" s="20">
        <f>IF($J961="","",IF($L961&lt;=0.005,"Pago",IF($J961&lt;=0,"A vencer",IF($J961&lt;=15,"1-15 dias",IF($J961&lt;=30,"16-30 dias",IF($J961&lt;=60,"31-60 dias","Mais de 60 dias"))))))</f>
        <v>0</v>
      </c>
      <c r="L961" s="21">
        <f>IF($E961="","",MAX(0,$E961-N($G961)))</f>
        <v>0</v>
      </c>
      <c r="M961" s="21">
        <f>IF(OR($L961="",$J961=""),"",IF($J961&gt;0,ROUND($L961*Multa+$L961*Juros/30*$J961,2),0))</f>
        <v>0</v>
      </c>
      <c r="N961" s="22">
        <f>IF($L961="","",IF($L961&lt;=0.005,0,$L961+N($M961)))</f>
        <v>0</v>
      </c>
      <c r="O961" s="23">
        <f>IF(OR($I961="Vencido",$I961="Vencido (parcial)"),"Olá, "&amp;$A961&amp;"! Consta em aberto '"&amp;$B961&amp;"' com vencimento em "&amp;DAY($D961)&amp;"/"&amp;MONTH($D961)&amp;"/"&amp;YEAR($D961)&amp;", no valor de R$ "&amp;FIXED($N961,2)&amp;" (com multa e juros). Podemos ajudar a regularizar hoje? Obrigado!",IF($I961="Vence hoje","Olá, "&amp;$A961&amp;"! Lembrete: '"&amp;$B961&amp;"' vence hoje, no valor de R$ "&amp;FIXED($L961,2)&amp;". Obrigado!",""))</f>
        <v>0</v>
      </c>
    </row>
    <row r="962" spans="1:15">
      <c r="A962" s="13"/>
      <c r="B962" s="13"/>
      <c r="C962" s="17"/>
      <c r="D962" s="17"/>
      <c r="E962" s="18"/>
      <c r="F962" s="17"/>
      <c r="G962" s="18"/>
      <c r="H962" s="13"/>
      <c r="I962" s="19">
        <f>IF($E962="","",IF($L962&lt;=0.005,"Pago",IF($D962="","Sem vencimento",IF($D962&lt;Hoje,IF(N($G962)&gt;0,"Vencido (parcial)","Vencido"),IF($D962=Hoje,"Vence hoje","A vencer")))))</f>
        <v>0</v>
      </c>
      <c r="J962" s="20">
        <f>IF(OR($E962="",$D962=""),"",IF(AND($L962&gt;0.005,$D962&lt;Hoje),Hoje-$D962,0))</f>
        <v>0</v>
      </c>
      <c r="K962" s="20">
        <f>IF($J962="","",IF($L962&lt;=0.005,"Pago",IF($J962&lt;=0,"A vencer",IF($J962&lt;=15,"1-15 dias",IF($J962&lt;=30,"16-30 dias",IF($J962&lt;=60,"31-60 dias","Mais de 60 dias"))))))</f>
        <v>0</v>
      </c>
      <c r="L962" s="21">
        <f>IF($E962="","",MAX(0,$E962-N($G962)))</f>
        <v>0</v>
      </c>
      <c r="M962" s="21">
        <f>IF(OR($L962="",$J962=""),"",IF($J962&gt;0,ROUND($L962*Multa+$L962*Juros/30*$J962,2),0))</f>
        <v>0</v>
      </c>
      <c r="N962" s="22">
        <f>IF($L962="","",IF($L962&lt;=0.005,0,$L962+N($M962)))</f>
        <v>0</v>
      </c>
      <c r="O962" s="23">
        <f>IF(OR($I962="Vencido",$I962="Vencido (parcial)"),"Olá, "&amp;$A962&amp;"! Consta em aberto '"&amp;$B962&amp;"' com vencimento em "&amp;DAY($D962)&amp;"/"&amp;MONTH($D962)&amp;"/"&amp;YEAR($D962)&amp;", no valor de R$ "&amp;FIXED($N962,2)&amp;" (com multa e juros). Podemos ajudar a regularizar hoje? Obrigado!",IF($I962="Vence hoje","Olá, "&amp;$A962&amp;"! Lembrete: '"&amp;$B962&amp;"' vence hoje, no valor de R$ "&amp;FIXED($L962,2)&amp;". Obrigado!",""))</f>
        <v>0</v>
      </c>
    </row>
    <row r="963" spans="1:15">
      <c r="A963" s="13"/>
      <c r="B963" s="13"/>
      <c r="C963" s="17"/>
      <c r="D963" s="17"/>
      <c r="E963" s="18"/>
      <c r="F963" s="17"/>
      <c r="G963" s="18"/>
      <c r="H963" s="13"/>
      <c r="I963" s="19">
        <f>IF($E963="","",IF($L963&lt;=0.005,"Pago",IF($D963="","Sem vencimento",IF($D963&lt;Hoje,IF(N($G963)&gt;0,"Vencido (parcial)","Vencido"),IF($D963=Hoje,"Vence hoje","A vencer")))))</f>
        <v>0</v>
      </c>
      <c r="J963" s="20">
        <f>IF(OR($E963="",$D963=""),"",IF(AND($L963&gt;0.005,$D963&lt;Hoje),Hoje-$D963,0))</f>
        <v>0</v>
      </c>
      <c r="K963" s="20">
        <f>IF($J963="","",IF($L963&lt;=0.005,"Pago",IF($J963&lt;=0,"A vencer",IF($J963&lt;=15,"1-15 dias",IF($J963&lt;=30,"16-30 dias",IF($J963&lt;=60,"31-60 dias","Mais de 60 dias"))))))</f>
        <v>0</v>
      </c>
      <c r="L963" s="21">
        <f>IF($E963="","",MAX(0,$E963-N($G963)))</f>
        <v>0</v>
      </c>
      <c r="M963" s="21">
        <f>IF(OR($L963="",$J963=""),"",IF($J963&gt;0,ROUND($L963*Multa+$L963*Juros/30*$J963,2),0))</f>
        <v>0</v>
      </c>
      <c r="N963" s="22">
        <f>IF($L963="","",IF($L963&lt;=0.005,0,$L963+N($M963)))</f>
        <v>0</v>
      </c>
      <c r="O963" s="23">
        <f>IF(OR($I963="Vencido",$I963="Vencido (parcial)"),"Olá, "&amp;$A963&amp;"! Consta em aberto '"&amp;$B963&amp;"' com vencimento em "&amp;DAY($D963)&amp;"/"&amp;MONTH($D963)&amp;"/"&amp;YEAR($D963)&amp;", no valor de R$ "&amp;FIXED($N963,2)&amp;" (com multa e juros). Podemos ajudar a regularizar hoje? Obrigado!",IF($I963="Vence hoje","Olá, "&amp;$A963&amp;"! Lembrete: '"&amp;$B963&amp;"' vence hoje, no valor de R$ "&amp;FIXED($L963,2)&amp;". Obrigado!",""))</f>
        <v>0</v>
      </c>
    </row>
    <row r="964" spans="1:15">
      <c r="A964" s="13"/>
      <c r="B964" s="13"/>
      <c r="C964" s="17"/>
      <c r="D964" s="17"/>
      <c r="E964" s="18"/>
      <c r="F964" s="17"/>
      <c r="G964" s="18"/>
      <c r="H964" s="13"/>
      <c r="I964" s="19">
        <f>IF($E964="","",IF($L964&lt;=0.005,"Pago",IF($D964="","Sem vencimento",IF($D964&lt;Hoje,IF(N($G964)&gt;0,"Vencido (parcial)","Vencido"),IF($D964=Hoje,"Vence hoje","A vencer")))))</f>
        <v>0</v>
      </c>
      <c r="J964" s="20">
        <f>IF(OR($E964="",$D964=""),"",IF(AND($L964&gt;0.005,$D964&lt;Hoje),Hoje-$D964,0))</f>
        <v>0</v>
      </c>
      <c r="K964" s="20">
        <f>IF($J964="","",IF($L964&lt;=0.005,"Pago",IF($J964&lt;=0,"A vencer",IF($J964&lt;=15,"1-15 dias",IF($J964&lt;=30,"16-30 dias",IF($J964&lt;=60,"31-60 dias","Mais de 60 dias"))))))</f>
        <v>0</v>
      </c>
      <c r="L964" s="21">
        <f>IF($E964="","",MAX(0,$E964-N($G964)))</f>
        <v>0</v>
      </c>
      <c r="M964" s="21">
        <f>IF(OR($L964="",$J964=""),"",IF($J964&gt;0,ROUND($L964*Multa+$L964*Juros/30*$J964,2),0))</f>
        <v>0</v>
      </c>
      <c r="N964" s="22">
        <f>IF($L964="","",IF($L964&lt;=0.005,0,$L964+N($M964)))</f>
        <v>0</v>
      </c>
      <c r="O964" s="23">
        <f>IF(OR($I964="Vencido",$I964="Vencido (parcial)"),"Olá, "&amp;$A964&amp;"! Consta em aberto '"&amp;$B964&amp;"' com vencimento em "&amp;DAY($D964)&amp;"/"&amp;MONTH($D964)&amp;"/"&amp;YEAR($D964)&amp;", no valor de R$ "&amp;FIXED($N964,2)&amp;" (com multa e juros). Podemos ajudar a regularizar hoje? Obrigado!",IF($I964="Vence hoje","Olá, "&amp;$A964&amp;"! Lembrete: '"&amp;$B964&amp;"' vence hoje, no valor de R$ "&amp;FIXED($L964,2)&amp;". Obrigado!",""))</f>
        <v>0</v>
      </c>
    </row>
    <row r="965" spans="1:15">
      <c r="A965" s="13"/>
      <c r="B965" s="13"/>
      <c r="C965" s="17"/>
      <c r="D965" s="17"/>
      <c r="E965" s="18"/>
      <c r="F965" s="17"/>
      <c r="G965" s="18"/>
      <c r="H965" s="13"/>
      <c r="I965" s="19">
        <f>IF($E965="","",IF($L965&lt;=0.005,"Pago",IF($D965="","Sem vencimento",IF($D965&lt;Hoje,IF(N($G965)&gt;0,"Vencido (parcial)","Vencido"),IF($D965=Hoje,"Vence hoje","A vencer")))))</f>
        <v>0</v>
      </c>
      <c r="J965" s="20">
        <f>IF(OR($E965="",$D965=""),"",IF(AND($L965&gt;0.005,$D965&lt;Hoje),Hoje-$D965,0))</f>
        <v>0</v>
      </c>
      <c r="K965" s="20">
        <f>IF($J965="","",IF($L965&lt;=0.005,"Pago",IF($J965&lt;=0,"A vencer",IF($J965&lt;=15,"1-15 dias",IF($J965&lt;=30,"16-30 dias",IF($J965&lt;=60,"31-60 dias","Mais de 60 dias"))))))</f>
        <v>0</v>
      </c>
      <c r="L965" s="21">
        <f>IF($E965="","",MAX(0,$E965-N($G965)))</f>
        <v>0</v>
      </c>
      <c r="M965" s="21">
        <f>IF(OR($L965="",$J965=""),"",IF($J965&gt;0,ROUND($L965*Multa+$L965*Juros/30*$J965,2),0))</f>
        <v>0</v>
      </c>
      <c r="N965" s="22">
        <f>IF($L965="","",IF($L965&lt;=0.005,0,$L965+N($M965)))</f>
        <v>0</v>
      </c>
      <c r="O965" s="23">
        <f>IF(OR($I965="Vencido",$I965="Vencido (parcial)"),"Olá, "&amp;$A965&amp;"! Consta em aberto '"&amp;$B965&amp;"' com vencimento em "&amp;DAY($D965)&amp;"/"&amp;MONTH($D965)&amp;"/"&amp;YEAR($D965)&amp;", no valor de R$ "&amp;FIXED($N965,2)&amp;" (com multa e juros). Podemos ajudar a regularizar hoje? Obrigado!",IF($I965="Vence hoje","Olá, "&amp;$A965&amp;"! Lembrete: '"&amp;$B965&amp;"' vence hoje, no valor de R$ "&amp;FIXED($L965,2)&amp;". Obrigado!",""))</f>
        <v>0</v>
      </c>
    </row>
    <row r="966" spans="1:15">
      <c r="A966" s="13"/>
      <c r="B966" s="13"/>
      <c r="C966" s="17"/>
      <c r="D966" s="17"/>
      <c r="E966" s="18"/>
      <c r="F966" s="17"/>
      <c r="G966" s="18"/>
      <c r="H966" s="13"/>
      <c r="I966" s="19">
        <f>IF($E966="","",IF($L966&lt;=0.005,"Pago",IF($D966="","Sem vencimento",IF($D966&lt;Hoje,IF(N($G966)&gt;0,"Vencido (parcial)","Vencido"),IF($D966=Hoje,"Vence hoje","A vencer")))))</f>
        <v>0</v>
      </c>
      <c r="J966" s="20">
        <f>IF(OR($E966="",$D966=""),"",IF(AND($L966&gt;0.005,$D966&lt;Hoje),Hoje-$D966,0))</f>
        <v>0</v>
      </c>
      <c r="K966" s="20">
        <f>IF($J966="","",IF($L966&lt;=0.005,"Pago",IF($J966&lt;=0,"A vencer",IF($J966&lt;=15,"1-15 dias",IF($J966&lt;=30,"16-30 dias",IF($J966&lt;=60,"31-60 dias","Mais de 60 dias"))))))</f>
        <v>0</v>
      </c>
      <c r="L966" s="21">
        <f>IF($E966="","",MAX(0,$E966-N($G966)))</f>
        <v>0</v>
      </c>
      <c r="M966" s="21">
        <f>IF(OR($L966="",$J966=""),"",IF($J966&gt;0,ROUND($L966*Multa+$L966*Juros/30*$J966,2),0))</f>
        <v>0</v>
      </c>
      <c r="N966" s="22">
        <f>IF($L966="","",IF($L966&lt;=0.005,0,$L966+N($M966)))</f>
        <v>0</v>
      </c>
      <c r="O966" s="23">
        <f>IF(OR($I966="Vencido",$I966="Vencido (parcial)"),"Olá, "&amp;$A966&amp;"! Consta em aberto '"&amp;$B966&amp;"' com vencimento em "&amp;DAY($D966)&amp;"/"&amp;MONTH($D966)&amp;"/"&amp;YEAR($D966)&amp;", no valor de R$ "&amp;FIXED($N966,2)&amp;" (com multa e juros). Podemos ajudar a regularizar hoje? Obrigado!",IF($I966="Vence hoje","Olá, "&amp;$A966&amp;"! Lembrete: '"&amp;$B966&amp;"' vence hoje, no valor de R$ "&amp;FIXED($L966,2)&amp;". Obrigado!",""))</f>
        <v>0</v>
      </c>
    </row>
    <row r="967" spans="1:15">
      <c r="A967" s="13"/>
      <c r="B967" s="13"/>
      <c r="C967" s="17"/>
      <c r="D967" s="17"/>
      <c r="E967" s="18"/>
      <c r="F967" s="17"/>
      <c r="G967" s="18"/>
      <c r="H967" s="13"/>
      <c r="I967" s="19">
        <f>IF($E967="","",IF($L967&lt;=0.005,"Pago",IF($D967="","Sem vencimento",IF($D967&lt;Hoje,IF(N($G967)&gt;0,"Vencido (parcial)","Vencido"),IF($D967=Hoje,"Vence hoje","A vencer")))))</f>
        <v>0</v>
      </c>
      <c r="J967" s="20">
        <f>IF(OR($E967="",$D967=""),"",IF(AND($L967&gt;0.005,$D967&lt;Hoje),Hoje-$D967,0))</f>
        <v>0</v>
      </c>
      <c r="K967" s="20">
        <f>IF($J967="","",IF($L967&lt;=0.005,"Pago",IF($J967&lt;=0,"A vencer",IF($J967&lt;=15,"1-15 dias",IF($J967&lt;=30,"16-30 dias",IF($J967&lt;=60,"31-60 dias","Mais de 60 dias"))))))</f>
        <v>0</v>
      </c>
      <c r="L967" s="21">
        <f>IF($E967="","",MAX(0,$E967-N($G967)))</f>
        <v>0</v>
      </c>
      <c r="M967" s="21">
        <f>IF(OR($L967="",$J967=""),"",IF($J967&gt;0,ROUND($L967*Multa+$L967*Juros/30*$J967,2),0))</f>
        <v>0</v>
      </c>
      <c r="N967" s="22">
        <f>IF($L967="","",IF($L967&lt;=0.005,0,$L967+N($M967)))</f>
        <v>0</v>
      </c>
      <c r="O967" s="23">
        <f>IF(OR($I967="Vencido",$I967="Vencido (parcial)"),"Olá, "&amp;$A967&amp;"! Consta em aberto '"&amp;$B967&amp;"' com vencimento em "&amp;DAY($D967)&amp;"/"&amp;MONTH($D967)&amp;"/"&amp;YEAR($D967)&amp;", no valor de R$ "&amp;FIXED($N967,2)&amp;" (com multa e juros). Podemos ajudar a regularizar hoje? Obrigado!",IF($I967="Vence hoje","Olá, "&amp;$A967&amp;"! Lembrete: '"&amp;$B967&amp;"' vence hoje, no valor de R$ "&amp;FIXED($L967,2)&amp;". Obrigado!",""))</f>
        <v>0</v>
      </c>
    </row>
    <row r="968" spans="1:15">
      <c r="A968" s="13"/>
      <c r="B968" s="13"/>
      <c r="C968" s="17"/>
      <c r="D968" s="17"/>
      <c r="E968" s="18"/>
      <c r="F968" s="17"/>
      <c r="G968" s="18"/>
      <c r="H968" s="13"/>
      <c r="I968" s="19">
        <f>IF($E968="","",IF($L968&lt;=0.005,"Pago",IF($D968="","Sem vencimento",IF($D968&lt;Hoje,IF(N($G968)&gt;0,"Vencido (parcial)","Vencido"),IF($D968=Hoje,"Vence hoje","A vencer")))))</f>
        <v>0</v>
      </c>
      <c r="J968" s="20">
        <f>IF(OR($E968="",$D968=""),"",IF(AND($L968&gt;0.005,$D968&lt;Hoje),Hoje-$D968,0))</f>
        <v>0</v>
      </c>
      <c r="K968" s="20">
        <f>IF($J968="","",IF($L968&lt;=0.005,"Pago",IF($J968&lt;=0,"A vencer",IF($J968&lt;=15,"1-15 dias",IF($J968&lt;=30,"16-30 dias",IF($J968&lt;=60,"31-60 dias","Mais de 60 dias"))))))</f>
        <v>0</v>
      </c>
      <c r="L968" s="21">
        <f>IF($E968="","",MAX(0,$E968-N($G968)))</f>
        <v>0</v>
      </c>
      <c r="M968" s="21">
        <f>IF(OR($L968="",$J968=""),"",IF($J968&gt;0,ROUND($L968*Multa+$L968*Juros/30*$J968,2),0))</f>
        <v>0</v>
      </c>
      <c r="N968" s="22">
        <f>IF($L968="","",IF($L968&lt;=0.005,0,$L968+N($M968)))</f>
        <v>0</v>
      </c>
      <c r="O968" s="23">
        <f>IF(OR($I968="Vencido",$I968="Vencido (parcial)"),"Olá, "&amp;$A968&amp;"! Consta em aberto '"&amp;$B968&amp;"' com vencimento em "&amp;DAY($D968)&amp;"/"&amp;MONTH($D968)&amp;"/"&amp;YEAR($D968)&amp;", no valor de R$ "&amp;FIXED($N968,2)&amp;" (com multa e juros). Podemos ajudar a regularizar hoje? Obrigado!",IF($I968="Vence hoje","Olá, "&amp;$A968&amp;"! Lembrete: '"&amp;$B968&amp;"' vence hoje, no valor de R$ "&amp;FIXED($L968,2)&amp;". Obrigado!",""))</f>
        <v>0</v>
      </c>
    </row>
    <row r="969" spans="1:15">
      <c r="A969" s="13"/>
      <c r="B969" s="13"/>
      <c r="C969" s="17"/>
      <c r="D969" s="17"/>
      <c r="E969" s="18"/>
      <c r="F969" s="17"/>
      <c r="G969" s="18"/>
      <c r="H969" s="13"/>
      <c r="I969" s="19">
        <f>IF($E969="","",IF($L969&lt;=0.005,"Pago",IF($D969="","Sem vencimento",IF($D969&lt;Hoje,IF(N($G969)&gt;0,"Vencido (parcial)","Vencido"),IF($D969=Hoje,"Vence hoje","A vencer")))))</f>
        <v>0</v>
      </c>
      <c r="J969" s="20">
        <f>IF(OR($E969="",$D969=""),"",IF(AND($L969&gt;0.005,$D969&lt;Hoje),Hoje-$D969,0))</f>
        <v>0</v>
      </c>
      <c r="K969" s="20">
        <f>IF($J969="","",IF($L969&lt;=0.005,"Pago",IF($J969&lt;=0,"A vencer",IF($J969&lt;=15,"1-15 dias",IF($J969&lt;=30,"16-30 dias",IF($J969&lt;=60,"31-60 dias","Mais de 60 dias"))))))</f>
        <v>0</v>
      </c>
      <c r="L969" s="21">
        <f>IF($E969="","",MAX(0,$E969-N($G969)))</f>
        <v>0</v>
      </c>
      <c r="M969" s="21">
        <f>IF(OR($L969="",$J969=""),"",IF($J969&gt;0,ROUND($L969*Multa+$L969*Juros/30*$J969,2),0))</f>
        <v>0</v>
      </c>
      <c r="N969" s="22">
        <f>IF($L969="","",IF($L969&lt;=0.005,0,$L969+N($M969)))</f>
        <v>0</v>
      </c>
      <c r="O969" s="23">
        <f>IF(OR($I969="Vencido",$I969="Vencido (parcial)"),"Olá, "&amp;$A969&amp;"! Consta em aberto '"&amp;$B969&amp;"' com vencimento em "&amp;DAY($D969)&amp;"/"&amp;MONTH($D969)&amp;"/"&amp;YEAR($D969)&amp;", no valor de R$ "&amp;FIXED($N969,2)&amp;" (com multa e juros). Podemos ajudar a regularizar hoje? Obrigado!",IF($I969="Vence hoje","Olá, "&amp;$A969&amp;"! Lembrete: '"&amp;$B969&amp;"' vence hoje, no valor de R$ "&amp;FIXED($L969,2)&amp;". Obrigado!",""))</f>
        <v>0</v>
      </c>
    </row>
    <row r="970" spans="1:15">
      <c r="A970" s="13"/>
      <c r="B970" s="13"/>
      <c r="C970" s="17"/>
      <c r="D970" s="17"/>
      <c r="E970" s="18"/>
      <c r="F970" s="17"/>
      <c r="G970" s="18"/>
      <c r="H970" s="13"/>
      <c r="I970" s="19">
        <f>IF($E970="","",IF($L970&lt;=0.005,"Pago",IF($D970="","Sem vencimento",IF($D970&lt;Hoje,IF(N($G970)&gt;0,"Vencido (parcial)","Vencido"),IF($D970=Hoje,"Vence hoje","A vencer")))))</f>
        <v>0</v>
      </c>
      <c r="J970" s="20">
        <f>IF(OR($E970="",$D970=""),"",IF(AND($L970&gt;0.005,$D970&lt;Hoje),Hoje-$D970,0))</f>
        <v>0</v>
      </c>
      <c r="K970" s="20">
        <f>IF($J970="","",IF($L970&lt;=0.005,"Pago",IF($J970&lt;=0,"A vencer",IF($J970&lt;=15,"1-15 dias",IF($J970&lt;=30,"16-30 dias",IF($J970&lt;=60,"31-60 dias","Mais de 60 dias"))))))</f>
        <v>0</v>
      </c>
      <c r="L970" s="21">
        <f>IF($E970="","",MAX(0,$E970-N($G970)))</f>
        <v>0</v>
      </c>
      <c r="M970" s="21">
        <f>IF(OR($L970="",$J970=""),"",IF($J970&gt;0,ROUND($L970*Multa+$L970*Juros/30*$J970,2),0))</f>
        <v>0</v>
      </c>
      <c r="N970" s="22">
        <f>IF($L970="","",IF($L970&lt;=0.005,0,$L970+N($M970)))</f>
        <v>0</v>
      </c>
      <c r="O970" s="23">
        <f>IF(OR($I970="Vencido",$I970="Vencido (parcial)"),"Olá, "&amp;$A970&amp;"! Consta em aberto '"&amp;$B970&amp;"' com vencimento em "&amp;DAY($D970)&amp;"/"&amp;MONTH($D970)&amp;"/"&amp;YEAR($D970)&amp;", no valor de R$ "&amp;FIXED($N970,2)&amp;" (com multa e juros). Podemos ajudar a regularizar hoje? Obrigado!",IF($I970="Vence hoje","Olá, "&amp;$A970&amp;"! Lembrete: '"&amp;$B970&amp;"' vence hoje, no valor de R$ "&amp;FIXED($L970,2)&amp;". Obrigado!",""))</f>
        <v>0</v>
      </c>
    </row>
    <row r="971" spans="1:15">
      <c r="A971" s="13"/>
      <c r="B971" s="13"/>
      <c r="C971" s="17"/>
      <c r="D971" s="17"/>
      <c r="E971" s="18"/>
      <c r="F971" s="17"/>
      <c r="G971" s="18"/>
      <c r="H971" s="13"/>
      <c r="I971" s="19">
        <f>IF($E971="","",IF($L971&lt;=0.005,"Pago",IF($D971="","Sem vencimento",IF($D971&lt;Hoje,IF(N($G971)&gt;0,"Vencido (parcial)","Vencido"),IF($D971=Hoje,"Vence hoje","A vencer")))))</f>
        <v>0</v>
      </c>
      <c r="J971" s="20">
        <f>IF(OR($E971="",$D971=""),"",IF(AND($L971&gt;0.005,$D971&lt;Hoje),Hoje-$D971,0))</f>
        <v>0</v>
      </c>
      <c r="K971" s="20">
        <f>IF($J971="","",IF($L971&lt;=0.005,"Pago",IF($J971&lt;=0,"A vencer",IF($J971&lt;=15,"1-15 dias",IF($J971&lt;=30,"16-30 dias",IF($J971&lt;=60,"31-60 dias","Mais de 60 dias"))))))</f>
        <v>0</v>
      </c>
      <c r="L971" s="21">
        <f>IF($E971="","",MAX(0,$E971-N($G971)))</f>
        <v>0</v>
      </c>
      <c r="M971" s="21">
        <f>IF(OR($L971="",$J971=""),"",IF($J971&gt;0,ROUND($L971*Multa+$L971*Juros/30*$J971,2),0))</f>
        <v>0</v>
      </c>
      <c r="N971" s="22">
        <f>IF($L971="","",IF($L971&lt;=0.005,0,$L971+N($M971)))</f>
        <v>0</v>
      </c>
      <c r="O971" s="23">
        <f>IF(OR($I971="Vencido",$I971="Vencido (parcial)"),"Olá, "&amp;$A971&amp;"! Consta em aberto '"&amp;$B971&amp;"' com vencimento em "&amp;DAY($D971)&amp;"/"&amp;MONTH($D971)&amp;"/"&amp;YEAR($D971)&amp;", no valor de R$ "&amp;FIXED($N971,2)&amp;" (com multa e juros). Podemos ajudar a regularizar hoje? Obrigado!",IF($I971="Vence hoje","Olá, "&amp;$A971&amp;"! Lembrete: '"&amp;$B971&amp;"' vence hoje, no valor de R$ "&amp;FIXED($L971,2)&amp;". Obrigado!",""))</f>
        <v>0</v>
      </c>
    </row>
    <row r="972" spans="1:15">
      <c r="A972" s="13"/>
      <c r="B972" s="13"/>
      <c r="C972" s="17"/>
      <c r="D972" s="17"/>
      <c r="E972" s="18"/>
      <c r="F972" s="17"/>
      <c r="G972" s="18"/>
      <c r="H972" s="13"/>
      <c r="I972" s="19">
        <f>IF($E972="","",IF($L972&lt;=0.005,"Pago",IF($D972="","Sem vencimento",IF($D972&lt;Hoje,IF(N($G972)&gt;0,"Vencido (parcial)","Vencido"),IF($D972=Hoje,"Vence hoje","A vencer")))))</f>
        <v>0</v>
      </c>
      <c r="J972" s="20">
        <f>IF(OR($E972="",$D972=""),"",IF(AND($L972&gt;0.005,$D972&lt;Hoje),Hoje-$D972,0))</f>
        <v>0</v>
      </c>
      <c r="K972" s="20">
        <f>IF($J972="","",IF($L972&lt;=0.005,"Pago",IF($J972&lt;=0,"A vencer",IF($J972&lt;=15,"1-15 dias",IF($J972&lt;=30,"16-30 dias",IF($J972&lt;=60,"31-60 dias","Mais de 60 dias"))))))</f>
        <v>0</v>
      </c>
      <c r="L972" s="21">
        <f>IF($E972="","",MAX(0,$E972-N($G972)))</f>
        <v>0</v>
      </c>
      <c r="M972" s="21">
        <f>IF(OR($L972="",$J972=""),"",IF($J972&gt;0,ROUND($L972*Multa+$L972*Juros/30*$J972,2),0))</f>
        <v>0</v>
      </c>
      <c r="N972" s="22">
        <f>IF($L972="","",IF($L972&lt;=0.005,0,$L972+N($M972)))</f>
        <v>0</v>
      </c>
      <c r="O972" s="23">
        <f>IF(OR($I972="Vencido",$I972="Vencido (parcial)"),"Olá, "&amp;$A972&amp;"! Consta em aberto '"&amp;$B972&amp;"' com vencimento em "&amp;DAY($D972)&amp;"/"&amp;MONTH($D972)&amp;"/"&amp;YEAR($D972)&amp;", no valor de R$ "&amp;FIXED($N972,2)&amp;" (com multa e juros). Podemos ajudar a regularizar hoje? Obrigado!",IF($I972="Vence hoje","Olá, "&amp;$A972&amp;"! Lembrete: '"&amp;$B972&amp;"' vence hoje, no valor de R$ "&amp;FIXED($L972,2)&amp;". Obrigado!",""))</f>
        <v>0</v>
      </c>
    </row>
    <row r="973" spans="1:15">
      <c r="A973" s="13"/>
      <c r="B973" s="13"/>
      <c r="C973" s="17"/>
      <c r="D973" s="17"/>
      <c r="E973" s="18"/>
      <c r="F973" s="17"/>
      <c r="G973" s="18"/>
      <c r="H973" s="13"/>
      <c r="I973" s="19">
        <f>IF($E973="","",IF($L973&lt;=0.005,"Pago",IF($D973="","Sem vencimento",IF($D973&lt;Hoje,IF(N($G973)&gt;0,"Vencido (parcial)","Vencido"),IF($D973=Hoje,"Vence hoje","A vencer")))))</f>
        <v>0</v>
      </c>
      <c r="J973" s="20">
        <f>IF(OR($E973="",$D973=""),"",IF(AND($L973&gt;0.005,$D973&lt;Hoje),Hoje-$D973,0))</f>
        <v>0</v>
      </c>
      <c r="K973" s="20">
        <f>IF($J973="","",IF($L973&lt;=0.005,"Pago",IF($J973&lt;=0,"A vencer",IF($J973&lt;=15,"1-15 dias",IF($J973&lt;=30,"16-30 dias",IF($J973&lt;=60,"31-60 dias","Mais de 60 dias"))))))</f>
        <v>0</v>
      </c>
      <c r="L973" s="21">
        <f>IF($E973="","",MAX(0,$E973-N($G973)))</f>
        <v>0</v>
      </c>
      <c r="M973" s="21">
        <f>IF(OR($L973="",$J973=""),"",IF($J973&gt;0,ROUND($L973*Multa+$L973*Juros/30*$J973,2),0))</f>
        <v>0</v>
      </c>
      <c r="N973" s="22">
        <f>IF($L973="","",IF($L973&lt;=0.005,0,$L973+N($M973)))</f>
        <v>0</v>
      </c>
      <c r="O973" s="23">
        <f>IF(OR($I973="Vencido",$I973="Vencido (parcial)"),"Olá, "&amp;$A973&amp;"! Consta em aberto '"&amp;$B973&amp;"' com vencimento em "&amp;DAY($D973)&amp;"/"&amp;MONTH($D973)&amp;"/"&amp;YEAR($D973)&amp;", no valor de R$ "&amp;FIXED($N973,2)&amp;" (com multa e juros). Podemos ajudar a regularizar hoje? Obrigado!",IF($I973="Vence hoje","Olá, "&amp;$A973&amp;"! Lembrete: '"&amp;$B973&amp;"' vence hoje, no valor de R$ "&amp;FIXED($L973,2)&amp;". Obrigado!",""))</f>
        <v>0</v>
      </c>
    </row>
    <row r="974" spans="1:15">
      <c r="A974" s="13"/>
      <c r="B974" s="13"/>
      <c r="C974" s="17"/>
      <c r="D974" s="17"/>
      <c r="E974" s="18"/>
      <c r="F974" s="17"/>
      <c r="G974" s="18"/>
      <c r="H974" s="13"/>
      <c r="I974" s="19">
        <f>IF($E974="","",IF($L974&lt;=0.005,"Pago",IF($D974="","Sem vencimento",IF($D974&lt;Hoje,IF(N($G974)&gt;0,"Vencido (parcial)","Vencido"),IF($D974=Hoje,"Vence hoje","A vencer")))))</f>
        <v>0</v>
      </c>
      <c r="J974" s="20">
        <f>IF(OR($E974="",$D974=""),"",IF(AND($L974&gt;0.005,$D974&lt;Hoje),Hoje-$D974,0))</f>
        <v>0</v>
      </c>
      <c r="K974" s="20">
        <f>IF($J974="","",IF($L974&lt;=0.005,"Pago",IF($J974&lt;=0,"A vencer",IF($J974&lt;=15,"1-15 dias",IF($J974&lt;=30,"16-30 dias",IF($J974&lt;=60,"31-60 dias","Mais de 60 dias"))))))</f>
        <v>0</v>
      </c>
      <c r="L974" s="21">
        <f>IF($E974="","",MAX(0,$E974-N($G974)))</f>
        <v>0</v>
      </c>
      <c r="M974" s="21">
        <f>IF(OR($L974="",$J974=""),"",IF($J974&gt;0,ROUND($L974*Multa+$L974*Juros/30*$J974,2),0))</f>
        <v>0</v>
      </c>
      <c r="N974" s="22">
        <f>IF($L974="","",IF($L974&lt;=0.005,0,$L974+N($M974)))</f>
        <v>0</v>
      </c>
      <c r="O974" s="23">
        <f>IF(OR($I974="Vencido",$I974="Vencido (parcial)"),"Olá, "&amp;$A974&amp;"! Consta em aberto '"&amp;$B974&amp;"' com vencimento em "&amp;DAY($D974)&amp;"/"&amp;MONTH($D974)&amp;"/"&amp;YEAR($D974)&amp;", no valor de R$ "&amp;FIXED($N974,2)&amp;" (com multa e juros). Podemos ajudar a regularizar hoje? Obrigado!",IF($I974="Vence hoje","Olá, "&amp;$A974&amp;"! Lembrete: '"&amp;$B974&amp;"' vence hoje, no valor de R$ "&amp;FIXED($L974,2)&amp;". Obrigado!",""))</f>
        <v>0</v>
      </c>
    </row>
    <row r="975" spans="1:15">
      <c r="A975" s="13"/>
      <c r="B975" s="13"/>
      <c r="C975" s="17"/>
      <c r="D975" s="17"/>
      <c r="E975" s="18"/>
      <c r="F975" s="17"/>
      <c r="G975" s="18"/>
      <c r="H975" s="13"/>
      <c r="I975" s="19">
        <f>IF($E975="","",IF($L975&lt;=0.005,"Pago",IF($D975="","Sem vencimento",IF($D975&lt;Hoje,IF(N($G975)&gt;0,"Vencido (parcial)","Vencido"),IF($D975=Hoje,"Vence hoje","A vencer")))))</f>
        <v>0</v>
      </c>
      <c r="J975" s="20">
        <f>IF(OR($E975="",$D975=""),"",IF(AND($L975&gt;0.005,$D975&lt;Hoje),Hoje-$D975,0))</f>
        <v>0</v>
      </c>
      <c r="K975" s="20">
        <f>IF($J975="","",IF($L975&lt;=0.005,"Pago",IF($J975&lt;=0,"A vencer",IF($J975&lt;=15,"1-15 dias",IF($J975&lt;=30,"16-30 dias",IF($J975&lt;=60,"31-60 dias","Mais de 60 dias"))))))</f>
        <v>0</v>
      </c>
      <c r="L975" s="21">
        <f>IF($E975="","",MAX(0,$E975-N($G975)))</f>
        <v>0</v>
      </c>
      <c r="M975" s="21">
        <f>IF(OR($L975="",$J975=""),"",IF($J975&gt;0,ROUND($L975*Multa+$L975*Juros/30*$J975,2),0))</f>
        <v>0</v>
      </c>
      <c r="N975" s="22">
        <f>IF($L975="","",IF($L975&lt;=0.005,0,$L975+N($M975)))</f>
        <v>0</v>
      </c>
      <c r="O975" s="23">
        <f>IF(OR($I975="Vencido",$I975="Vencido (parcial)"),"Olá, "&amp;$A975&amp;"! Consta em aberto '"&amp;$B975&amp;"' com vencimento em "&amp;DAY($D975)&amp;"/"&amp;MONTH($D975)&amp;"/"&amp;YEAR($D975)&amp;", no valor de R$ "&amp;FIXED($N975,2)&amp;" (com multa e juros). Podemos ajudar a regularizar hoje? Obrigado!",IF($I975="Vence hoje","Olá, "&amp;$A975&amp;"! Lembrete: '"&amp;$B975&amp;"' vence hoje, no valor de R$ "&amp;FIXED($L975,2)&amp;". Obrigado!",""))</f>
        <v>0</v>
      </c>
    </row>
    <row r="976" spans="1:15">
      <c r="A976" s="13"/>
      <c r="B976" s="13"/>
      <c r="C976" s="17"/>
      <c r="D976" s="17"/>
      <c r="E976" s="18"/>
      <c r="F976" s="17"/>
      <c r="G976" s="18"/>
      <c r="H976" s="13"/>
      <c r="I976" s="19">
        <f>IF($E976="","",IF($L976&lt;=0.005,"Pago",IF($D976="","Sem vencimento",IF($D976&lt;Hoje,IF(N($G976)&gt;0,"Vencido (parcial)","Vencido"),IF($D976=Hoje,"Vence hoje","A vencer")))))</f>
        <v>0</v>
      </c>
      <c r="J976" s="20">
        <f>IF(OR($E976="",$D976=""),"",IF(AND($L976&gt;0.005,$D976&lt;Hoje),Hoje-$D976,0))</f>
        <v>0</v>
      </c>
      <c r="K976" s="20">
        <f>IF($J976="","",IF($L976&lt;=0.005,"Pago",IF($J976&lt;=0,"A vencer",IF($J976&lt;=15,"1-15 dias",IF($J976&lt;=30,"16-30 dias",IF($J976&lt;=60,"31-60 dias","Mais de 60 dias"))))))</f>
        <v>0</v>
      </c>
      <c r="L976" s="21">
        <f>IF($E976="","",MAX(0,$E976-N($G976)))</f>
        <v>0</v>
      </c>
      <c r="M976" s="21">
        <f>IF(OR($L976="",$J976=""),"",IF($J976&gt;0,ROUND($L976*Multa+$L976*Juros/30*$J976,2),0))</f>
        <v>0</v>
      </c>
      <c r="N976" s="22">
        <f>IF($L976="","",IF($L976&lt;=0.005,0,$L976+N($M976)))</f>
        <v>0</v>
      </c>
      <c r="O976" s="23">
        <f>IF(OR($I976="Vencido",$I976="Vencido (parcial)"),"Olá, "&amp;$A976&amp;"! Consta em aberto '"&amp;$B976&amp;"' com vencimento em "&amp;DAY($D976)&amp;"/"&amp;MONTH($D976)&amp;"/"&amp;YEAR($D976)&amp;", no valor de R$ "&amp;FIXED($N976,2)&amp;" (com multa e juros). Podemos ajudar a regularizar hoje? Obrigado!",IF($I976="Vence hoje","Olá, "&amp;$A976&amp;"! Lembrete: '"&amp;$B976&amp;"' vence hoje, no valor de R$ "&amp;FIXED($L976,2)&amp;". Obrigado!",""))</f>
        <v>0</v>
      </c>
    </row>
    <row r="977" spans="1:15">
      <c r="A977" s="13"/>
      <c r="B977" s="13"/>
      <c r="C977" s="17"/>
      <c r="D977" s="17"/>
      <c r="E977" s="18"/>
      <c r="F977" s="17"/>
      <c r="G977" s="18"/>
      <c r="H977" s="13"/>
      <c r="I977" s="19">
        <f>IF($E977="","",IF($L977&lt;=0.005,"Pago",IF($D977="","Sem vencimento",IF($D977&lt;Hoje,IF(N($G977)&gt;0,"Vencido (parcial)","Vencido"),IF($D977=Hoje,"Vence hoje","A vencer")))))</f>
        <v>0</v>
      </c>
      <c r="J977" s="20">
        <f>IF(OR($E977="",$D977=""),"",IF(AND($L977&gt;0.005,$D977&lt;Hoje),Hoje-$D977,0))</f>
        <v>0</v>
      </c>
      <c r="K977" s="20">
        <f>IF($J977="","",IF($L977&lt;=0.005,"Pago",IF($J977&lt;=0,"A vencer",IF($J977&lt;=15,"1-15 dias",IF($J977&lt;=30,"16-30 dias",IF($J977&lt;=60,"31-60 dias","Mais de 60 dias"))))))</f>
        <v>0</v>
      </c>
      <c r="L977" s="21">
        <f>IF($E977="","",MAX(0,$E977-N($G977)))</f>
        <v>0</v>
      </c>
      <c r="M977" s="21">
        <f>IF(OR($L977="",$J977=""),"",IF($J977&gt;0,ROUND($L977*Multa+$L977*Juros/30*$J977,2),0))</f>
        <v>0</v>
      </c>
      <c r="N977" s="22">
        <f>IF($L977="","",IF($L977&lt;=0.005,0,$L977+N($M977)))</f>
        <v>0</v>
      </c>
      <c r="O977" s="23">
        <f>IF(OR($I977="Vencido",$I977="Vencido (parcial)"),"Olá, "&amp;$A977&amp;"! Consta em aberto '"&amp;$B977&amp;"' com vencimento em "&amp;DAY($D977)&amp;"/"&amp;MONTH($D977)&amp;"/"&amp;YEAR($D977)&amp;", no valor de R$ "&amp;FIXED($N977,2)&amp;" (com multa e juros). Podemos ajudar a regularizar hoje? Obrigado!",IF($I977="Vence hoje","Olá, "&amp;$A977&amp;"! Lembrete: '"&amp;$B977&amp;"' vence hoje, no valor de R$ "&amp;FIXED($L977,2)&amp;". Obrigado!",""))</f>
        <v>0</v>
      </c>
    </row>
    <row r="978" spans="1:15">
      <c r="A978" s="13"/>
      <c r="B978" s="13"/>
      <c r="C978" s="17"/>
      <c r="D978" s="17"/>
      <c r="E978" s="18"/>
      <c r="F978" s="17"/>
      <c r="G978" s="18"/>
      <c r="H978" s="13"/>
      <c r="I978" s="19">
        <f>IF($E978="","",IF($L978&lt;=0.005,"Pago",IF($D978="","Sem vencimento",IF($D978&lt;Hoje,IF(N($G978)&gt;0,"Vencido (parcial)","Vencido"),IF($D978=Hoje,"Vence hoje","A vencer")))))</f>
        <v>0</v>
      </c>
      <c r="J978" s="20">
        <f>IF(OR($E978="",$D978=""),"",IF(AND($L978&gt;0.005,$D978&lt;Hoje),Hoje-$D978,0))</f>
        <v>0</v>
      </c>
      <c r="K978" s="20">
        <f>IF($J978="","",IF($L978&lt;=0.005,"Pago",IF($J978&lt;=0,"A vencer",IF($J978&lt;=15,"1-15 dias",IF($J978&lt;=30,"16-30 dias",IF($J978&lt;=60,"31-60 dias","Mais de 60 dias"))))))</f>
        <v>0</v>
      </c>
      <c r="L978" s="21">
        <f>IF($E978="","",MAX(0,$E978-N($G978)))</f>
        <v>0</v>
      </c>
      <c r="M978" s="21">
        <f>IF(OR($L978="",$J978=""),"",IF($J978&gt;0,ROUND($L978*Multa+$L978*Juros/30*$J978,2),0))</f>
        <v>0</v>
      </c>
      <c r="N978" s="22">
        <f>IF($L978="","",IF($L978&lt;=0.005,0,$L978+N($M978)))</f>
        <v>0</v>
      </c>
      <c r="O978" s="23">
        <f>IF(OR($I978="Vencido",$I978="Vencido (parcial)"),"Olá, "&amp;$A978&amp;"! Consta em aberto '"&amp;$B978&amp;"' com vencimento em "&amp;DAY($D978)&amp;"/"&amp;MONTH($D978)&amp;"/"&amp;YEAR($D978)&amp;", no valor de R$ "&amp;FIXED($N978,2)&amp;" (com multa e juros). Podemos ajudar a regularizar hoje? Obrigado!",IF($I978="Vence hoje","Olá, "&amp;$A978&amp;"! Lembrete: '"&amp;$B978&amp;"' vence hoje, no valor de R$ "&amp;FIXED($L978,2)&amp;". Obrigado!",""))</f>
        <v>0</v>
      </c>
    </row>
    <row r="979" spans="1:15">
      <c r="A979" s="13"/>
      <c r="B979" s="13"/>
      <c r="C979" s="17"/>
      <c r="D979" s="17"/>
      <c r="E979" s="18"/>
      <c r="F979" s="17"/>
      <c r="G979" s="18"/>
      <c r="H979" s="13"/>
      <c r="I979" s="19">
        <f>IF($E979="","",IF($L979&lt;=0.005,"Pago",IF($D979="","Sem vencimento",IF($D979&lt;Hoje,IF(N($G979)&gt;0,"Vencido (parcial)","Vencido"),IF($D979=Hoje,"Vence hoje","A vencer")))))</f>
        <v>0</v>
      </c>
      <c r="J979" s="20">
        <f>IF(OR($E979="",$D979=""),"",IF(AND($L979&gt;0.005,$D979&lt;Hoje),Hoje-$D979,0))</f>
        <v>0</v>
      </c>
      <c r="K979" s="20">
        <f>IF($J979="","",IF($L979&lt;=0.005,"Pago",IF($J979&lt;=0,"A vencer",IF($J979&lt;=15,"1-15 dias",IF($J979&lt;=30,"16-30 dias",IF($J979&lt;=60,"31-60 dias","Mais de 60 dias"))))))</f>
        <v>0</v>
      </c>
      <c r="L979" s="21">
        <f>IF($E979="","",MAX(0,$E979-N($G979)))</f>
        <v>0</v>
      </c>
      <c r="M979" s="21">
        <f>IF(OR($L979="",$J979=""),"",IF($J979&gt;0,ROUND($L979*Multa+$L979*Juros/30*$J979,2),0))</f>
        <v>0</v>
      </c>
      <c r="N979" s="22">
        <f>IF($L979="","",IF($L979&lt;=0.005,0,$L979+N($M979)))</f>
        <v>0</v>
      </c>
      <c r="O979" s="23">
        <f>IF(OR($I979="Vencido",$I979="Vencido (parcial)"),"Olá, "&amp;$A979&amp;"! Consta em aberto '"&amp;$B979&amp;"' com vencimento em "&amp;DAY($D979)&amp;"/"&amp;MONTH($D979)&amp;"/"&amp;YEAR($D979)&amp;", no valor de R$ "&amp;FIXED($N979,2)&amp;" (com multa e juros). Podemos ajudar a regularizar hoje? Obrigado!",IF($I979="Vence hoje","Olá, "&amp;$A979&amp;"! Lembrete: '"&amp;$B979&amp;"' vence hoje, no valor de R$ "&amp;FIXED($L979,2)&amp;". Obrigado!",""))</f>
        <v>0</v>
      </c>
    </row>
    <row r="980" spans="1:15">
      <c r="A980" s="13"/>
      <c r="B980" s="13"/>
      <c r="C980" s="17"/>
      <c r="D980" s="17"/>
      <c r="E980" s="18"/>
      <c r="F980" s="17"/>
      <c r="G980" s="18"/>
      <c r="H980" s="13"/>
      <c r="I980" s="19">
        <f>IF($E980="","",IF($L980&lt;=0.005,"Pago",IF($D980="","Sem vencimento",IF($D980&lt;Hoje,IF(N($G980)&gt;0,"Vencido (parcial)","Vencido"),IF($D980=Hoje,"Vence hoje","A vencer")))))</f>
        <v>0</v>
      </c>
      <c r="J980" s="20">
        <f>IF(OR($E980="",$D980=""),"",IF(AND($L980&gt;0.005,$D980&lt;Hoje),Hoje-$D980,0))</f>
        <v>0</v>
      </c>
      <c r="K980" s="20">
        <f>IF($J980="","",IF($L980&lt;=0.005,"Pago",IF($J980&lt;=0,"A vencer",IF($J980&lt;=15,"1-15 dias",IF($J980&lt;=30,"16-30 dias",IF($J980&lt;=60,"31-60 dias","Mais de 60 dias"))))))</f>
        <v>0</v>
      </c>
      <c r="L980" s="21">
        <f>IF($E980="","",MAX(0,$E980-N($G980)))</f>
        <v>0</v>
      </c>
      <c r="M980" s="21">
        <f>IF(OR($L980="",$J980=""),"",IF($J980&gt;0,ROUND($L980*Multa+$L980*Juros/30*$J980,2),0))</f>
        <v>0</v>
      </c>
      <c r="N980" s="22">
        <f>IF($L980="","",IF($L980&lt;=0.005,0,$L980+N($M980)))</f>
        <v>0</v>
      </c>
      <c r="O980" s="23">
        <f>IF(OR($I980="Vencido",$I980="Vencido (parcial)"),"Olá, "&amp;$A980&amp;"! Consta em aberto '"&amp;$B980&amp;"' com vencimento em "&amp;DAY($D980)&amp;"/"&amp;MONTH($D980)&amp;"/"&amp;YEAR($D980)&amp;", no valor de R$ "&amp;FIXED($N980,2)&amp;" (com multa e juros). Podemos ajudar a regularizar hoje? Obrigado!",IF($I980="Vence hoje","Olá, "&amp;$A980&amp;"! Lembrete: '"&amp;$B980&amp;"' vence hoje, no valor de R$ "&amp;FIXED($L980,2)&amp;". Obrigado!",""))</f>
        <v>0</v>
      </c>
    </row>
    <row r="981" spans="1:15">
      <c r="A981" s="13"/>
      <c r="B981" s="13"/>
      <c r="C981" s="17"/>
      <c r="D981" s="17"/>
      <c r="E981" s="18"/>
      <c r="F981" s="17"/>
      <c r="G981" s="18"/>
      <c r="H981" s="13"/>
      <c r="I981" s="19">
        <f>IF($E981="","",IF($L981&lt;=0.005,"Pago",IF($D981="","Sem vencimento",IF($D981&lt;Hoje,IF(N($G981)&gt;0,"Vencido (parcial)","Vencido"),IF($D981=Hoje,"Vence hoje","A vencer")))))</f>
        <v>0</v>
      </c>
      <c r="J981" s="20">
        <f>IF(OR($E981="",$D981=""),"",IF(AND($L981&gt;0.005,$D981&lt;Hoje),Hoje-$D981,0))</f>
        <v>0</v>
      </c>
      <c r="K981" s="20">
        <f>IF($J981="","",IF($L981&lt;=0.005,"Pago",IF($J981&lt;=0,"A vencer",IF($J981&lt;=15,"1-15 dias",IF($J981&lt;=30,"16-30 dias",IF($J981&lt;=60,"31-60 dias","Mais de 60 dias"))))))</f>
        <v>0</v>
      </c>
      <c r="L981" s="21">
        <f>IF($E981="","",MAX(0,$E981-N($G981)))</f>
        <v>0</v>
      </c>
      <c r="M981" s="21">
        <f>IF(OR($L981="",$J981=""),"",IF($J981&gt;0,ROUND($L981*Multa+$L981*Juros/30*$J981,2),0))</f>
        <v>0</v>
      </c>
      <c r="N981" s="22">
        <f>IF($L981="","",IF($L981&lt;=0.005,0,$L981+N($M981)))</f>
        <v>0</v>
      </c>
      <c r="O981" s="23">
        <f>IF(OR($I981="Vencido",$I981="Vencido (parcial)"),"Olá, "&amp;$A981&amp;"! Consta em aberto '"&amp;$B981&amp;"' com vencimento em "&amp;DAY($D981)&amp;"/"&amp;MONTH($D981)&amp;"/"&amp;YEAR($D981)&amp;", no valor de R$ "&amp;FIXED($N981,2)&amp;" (com multa e juros). Podemos ajudar a regularizar hoje? Obrigado!",IF($I981="Vence hoje","Olá, "&amp;$A981&amp;"! Lembrete: '"&amp;$B981&amp;"' vence hoje, no valor de R$ "&amp;FIXED($L981,2)&amp;". Obrigado!",""))</f>
        <v>0</v>
      </c>
    </row>
    <row r="982" spans="1:15">
      <c r="A982" s="13"/>
      <c r="B982" s="13"/>
      <c r="C982" s="17"/>
      <c r="D982" s="17"/>
      <c r="E982" s="18"/>
      <c r="F982" s="17"/>
      <c r="G982" s="18"/>
      <c r="H982" s="13"/>
      <c r="I982" s="19">
        <f>IF($E982="","",IF($L982&lt;=0.005,"Pago",IF($D982="","Sem vencimento",IF($D982&lt;Hoje,IF(N($G982)&gt;0,"Vencido (parcial)","Vencido"),IF($D982=Hoje,"Vence hoje","A vencer")))))</f>
        <v>0</v>
      </c>
      <c r="J982" s="20">
        <f>IF(OR($E982="",$D982=""),"",IF(AND($L982&gt;0.005,$D982&lt;Hoje),Hoje-$D982,0))</f>
        <v>0</v>
      </c>
      <c r="K982" s="20">
        <f>IF($J982="","",IF($L982&lt;=0.005,"Pago",IF($J982&lt;=0,"A vencer",IF($J982&lt;=15,"1-15 dias",IF($J982&lt;=30,"16-30 dias",IF($J982&lt;=60,"31-60 dias","Mais de 60 dias"))))))</f>
        <v>0</v>
      </c>
      <c r="L982" s="21">
        <f>IF($E982="","",MAX(0,$E982-N($G982)))</f>
        <v>0</v>
      </c>
      <c r="M982" s="21">
        <f>IF(OR($L982="",$J982=""),"",IF($J982&gt;0,ROUND($L982*Multa+$L982*Juros/30*$J982,2),0))</f>
        <v>0</v>
      </c>
      <c r="N982" s="22">
        <f>IF($L982="","",IF($L982&lt;=0.005,0,$L982+N($M982)))</f>
        <v>0</v>
      </c>
      <c r="O982" s="23">
        <f>IF(OR($I982="Vencido",$I982="Vencido (parcial)"),"Olá, "&amp;$A982&amp;"! Consta em aberto '"&amp;$B982&amp;"' com vencimento em "&amp;DAY($D982)&amp;"/"&amp;MONTH($D982)&amp;"/"&amp;YEAR($D982)&amp;", no valor de R$ "&amp;FIXED($N982,2)&amp;" (com multa e juros). Podemos ajudar a regularizar hoje? Obrigado!",IF($I982="Vence hoje","Olá, "&amp;$A982&amp;"! Lembrete: '"&amp;$B982&amp;"' vence hoje, no valor de R$ "&amp;FIXED($L982,2)&amp;". Obrigado!",""))</f>
        <v>0</v>
      </c>
    </row>
    <row r="983" spans="1:15">
      <c r="A983" s="13"/>
      <c r="B983" s="13"/>
      <c r="C983" s="17"/>
      <c r="D983" s="17"/>
      <c r="E983" s="18"/>
      <c r="F983" s="17"/>
      <c r="G983" s="18"/>
      <c r="H983" s="13"/>
      <c r="I983" s="19">
        <f>IF($E983="","",IF($L983&lt;=0.005,"Pago",IF($D983="","Sem vencimento",IF($D983&lt;Hoje,IF(N($G983)&gt;0,"Vencido (parcial)","Vencido"),IF($D983=Hoje,"Vence hoje","A vencer")))))</f>
        <v>0</v>
      </c>
      <c r="J983" s="20">
        <f>IF(OR($E983="",$D983=""),"",IF(AND($L983&gt;0.005,$D983&lt;Hoje),Hoje-$D983,0))</f>
        <v>0</v>
      </c>
      <c r="K983" s="20">
        <f>IF($J983="","",IF($L983&lt;=0.005,"Pago",IF($J983&lt;=0,"A vencer",IF($J983&lt;=15,"1-15 dias",IF($J983&lt;=30,"16-30 dias",IF($J983&lt;=60,"31-60 dias","Mais de 60 dias"))))))</f>
        <v>0</v>
      </c>
      <c r="L983" s="21">
        <f>IF($E983="","",MAX(0,$E983-N($G983)))</f>
        <v>0</v>
      </c>
      <c r="M983" s="21">
        <f>IF(OR($L983="",$J983=""),"",IF($J983&gt;0,ROUND($L983*Multa+$L983*Juros/30*$J983,2),0))</f>
        <v>0</v>
      </c>
      <c r="N983" s="22">
        <f>IF($L983="","",IF($L983&lt;=0.005,0,$L983+N($M983)))</f>
        <v>0</v>
      </c>
      <c r="O983" s="23">
        <f>IF(OR($I983="Vencido",$I983="Vencido (parcial)"),"Olá, "&amp;$A983&amp;"! Consta em aberto '"&amp;$B983&amp;"' com vencimento em "&amp;DAY($D983)&amp;"/"&amp;MONTH($D983)&amp;"/"&amp;YEAR($D983)&amp;", no valor de R$ "&amp;FIXED($N983,2)&amp;" (com multa e juros). Podemos ajudar a regularizar hoje? Obrigado!",IF($I983="Vence hoje","Olá, "&amp;$A983&amp;"! Lembrete: '"&amp;$B983&amp;"' vence hoje, no valor de R$ "&amp;FIXED($L983,2)&amp;". Obrigado!",""))</f>
        <v>0</v>
      </c>
    </row>
    <row r="984" spans="1:15">
      <c r="A984" s="13"/>
      <c r="B984" s="13"/>
      <c r="C984" s="17"/>
      <c r="D984" s="17"/>
      <c r="E984" s="18"/>
      <c r="F984" s="17"/>
      <c r="G984" s="18"/>
      <c r="H984" s="13"/>
      <c r="I984" s="19">
        <f>IF($E984="","",IF($L984&lt;=0.005,"Pago",IF($D984="","Sem vencimento",IF($D984&lt;Hoje,IF(N($G984)&gt;0,"Vencido (parcial)","Vencido"),IF($D984=Hoje,"Vence hoje","A vencer")))))</f>
        <v>0</v>
      </c>
      <c r="J984" s="20">
        <f>IF(OR($E984="",$D984=""),"",IF(AND($L984&gt;0.005,$D984&lt;Hoje),Hoje-$D984,0))</f>
        <v>0</v>
      </c>
      <c r="K984" s="20">
        <f>IF($J984="","",IF($L984&lt;=0.005,"Pago",IF($J984&lt;=0,"A vencer",IF($J984&lt;=15,"1-15 dias",IF($J984&lt;=30,"16-30 dias",IF($J984&lt;=60,"31-60 dias","Mais de 60 dias"))))))</f>
        <v>0</v>
      </c>
      <c r="L984" s="21">
        <f>IF($E984="","",MAX(0,$E984-N($G984)))</f>
        <v>0</v>
      </c>
      <c r="M984" s="21">
        <f>IF(OR($L984="",$J984=""),"",IF($J984&gt;0,ROUND($L984*Multa+$L984*Juros/30*$J984,2),0))</f>
        <v>0</v>
      </c>
      <c r="N984" s="22">
        <f>IF($L984="","",IF($L984&lt;=0.005,0,$L984+N($M984)))</f>
        <v>0</v>
      </c>
      <c r="O984" s="23">
        <f>IF(OR($I984="Vencido",$I984="Vencido (parcial)"),"Olá, "&amp;$A984&amp;"! Consta em aberto '"&amp;$B984&amp;"' com vencimento em "&amp;DAY($D984)&amp;"/"&amp;MONTH($D984)&amp;"/"&amp;YEAR($D984)&amp;", no valor de R$ "&amp;FIXED($N984,2)&amp;" (com multa e juros). Podemos ajudar a regularizar hoje? Obrigado!",IF($I984="Vence hoje","Olá, "&amp;$A984&amp;"! Lembrete: '"&amp;$B984&amp;"' vence hoje, no valor de R$ "&amp;FIXED($L984,2)&amp;". Obrigado!",""))</f>
        <v>0</v>
      </c>
    </row>
    <row r="985" spans="1:15">
      <c r="A985" s="13"/>
      <c r="B985" s="13"/>
      <c r="C985" s="17"/>
      <c r="D985" s="17"/>
      <c r="E985" s="18"/>
      <c r="F985" s="17"/>
      <c r="G985" s="18"/>
      <c r="H985" s="13"/>
      <c r="I985" s="19">
        <f>IF($E985="","",IF($L985&lt;=0.005,"Pago",IF($D985="","Sem vencimento",IF($D985&lt;Hoje,IF(N($G985)&gt;0,"Vencido (parcial)","Vencido"),IF($D985=Hoje,"Vence hoje","A vencer")))))</f>
        <v>0</v>
      </c>
      <c r="J985" s="20">
        <f>IF(OR($E985="",$D985=""),"",IF(AND($L985&gt;0.005,$D985&lt;Hoje),Hoje-$D985,0))</f>
        <v>0</v>
      </c>
      <c r="K985" s="20">
        <f>IF($J985="","",IF($L985&lt;=0.005,"Pago",IF($J985&lt;=0,"A vencer",IF($J985&lt;=15,"1-15 dias",IF($J985&lt;=30,"16-30 dias",IF($J985&lt;=60,"31-60 dias","Mais de 60 dias"))))))</f>
        <v>0</v>
      </c>
      <c r="L985" s="21">
        <f>IF($E985="","",MAX(0,$E985-N($G985)))</f>
        <v>0</v>
      </c>
      <c r="M985" s="21">
        <f>IF(OR($L985="",$J985=""),"",IF($J985&gt;0,ROUND($L985*Multa+$L985*Juros/30*$J985,2),0))</f>
        <v>0</v>
      </c>
      <c r="N985" s="22">
        <f>IF($L985="","",IF($L985&lt;=0.005,0,$L985+N($M985)))</f>
        <v>0</v>
      </c>
      <c r="O985" s="23">
        <f>IF(OR($I985="Vencido",$I985="Vencido (parcial)"),"Olá, "&amp;$A985&amp;"! Consta em aberto '"&amp;$B985&amp;"' com vencimento em "&amp;DAY($D985)&amp;"/"&amp;MONTH($D985)&amp;"/"&amp;YEAR($D985)&amp;", no valor de R$ "&amp;FIXED($N985,2)&amp;" (com multa e juros). Podemos ajudar a regularizar hoje? Obrigado!",IF($I985="Vence hoje","Olá, "&amp;$A985&amp;"! Lembrete: '"&amp;$B985&amp;"' vence hoje, no valor de R$ "&amp;FIXED($L985,2)&amp;". Obrigado!",""))</f>
        <v>0</v>
      </c>
    </row>
    <row r="986" spans="1:15">
      <c r="A986" s="13"/>
      <c r="B986" s="13"/>
      <c r="C986" s="17"/>
      <c r="D986" s="17"/>
      <c r="E986" s="18"/>
      <c r="F986" s="17"/>
      <c r="G986" s="18"/>
      <c r="H986" s="13"/>
      <c r="I986" s="19">
        <f>IF($E986="","",IF($L986&lt;=0.005,"Pago",IF($D986="","Sem vencimento",IF($D986&lt;Hoje,IF(N($G986)&gt;0,"Vencido (parcial)","Vencido"),IF($D986=Hoje,"Vence hoje","A vencer")))))</f>
        <v>0</v>
      </c>
      <c r="J986" s="20">
        <f>IF(OR($E986="",$D986=""),"",IF(AND($L986&gt;0.005,$D986&lt;Hoje),Hoje-$D986,0))</f>
        <v>0</v>
      </c>
      <c r="K986" s="20">
        <f>IF($J986="","",IF($L986&lt;=0.005,"Pago",IF($J986&lt;=0,"A vencer",IF($J986&lt;=15,"1-15 dias",IF($J986&lt;=30,"16-30 dias",IF($J986&lt;=60,"31-60 dias","Mais de 60 dias"))))))</f>
        <v>0</v>
      </c>
      <c r="L986" s="21">
        <f>IF($E986="","",MAX(0,$E986-N($G986)))</f>
        <v>0</v>
      </c>
      <c r="M986" s="21">
        <f>IF(OR($L986="",$J986=""),"",IF($J986&gt;0,ROUND($L986*Multa+$L986*Juros/30*$J986,2),0))</f>
        <v>0</v>
      </c>
      <c r="N986" s="22">
        <f>IF($L986="","",IF($L986&lt;=0.005,0,$L986+N($M986)))</f>
        <v>0</v>
      </c>
      <c r="O986" s="23">
        <f>IF(OR($I986="Vencido",$I986="Vencido (parcial)"),"Olá, "&amp;$A986&amp;"! Consta em aberto '"&amp;$B986&amp;"' com vencimento em "&amp;DAY($D986)&amp;"/"&amp;MONTH($D986)&amp;"/"&amp;YEAR($D986)&amp;", no valor de R$ "&amp;FIXED($N986,2)&amp;" (com multa e juros). Podemos ajudar a regularizar hoje? Obrigado!",IF($I986="Vence hoje","Olá, "&amp;$A986&amp;"! Lembrete: '"&amp;$B986&amp;"' vence hoje, no valor de R$ "&amp;FIXED($L986,2)&amp;". Obrigado!",""))</f>
        <v>0</v>
      </c>
    </row>
    <row r="987" spans="1:15">
      <c r="A987" s="13"/>
      <c r="B987" s="13"/>
      <c r="C987" s="17"/>
      <c r="D987" s="17"/>
      <c r="E987" s="18"/>
      <c r="F987" s="17"/>
      <c r="G987" s="18"/>
      <c r="H987" s="13"/>
      <c r="I987" s="19">
        <f>IF($E987="","",IF($L987&lt;=0.005,"Pago",IF($D987="","Sem vencimento",IF($D987&lt;Hoje,IF(N($G987)&gt;0,"Vencido (parcial)","Vencido"),IF($D987=Hoje,"Vence hoje","A vencer")))))</f>
        <v>0</v>
      </c>
      <c r="J987" s="20">
        <f>IF(OR($E987="",$D987=""),"",IF(AND($L987&gt;0.005,$D987&lt;Hoje),Hoje-$D987,0))</f>
        <v>0</v>
      </c>
      <c r="K987" s="20">
        <f>IF($J987="","",IF($L987&lt;=0.005,"Pago",IF($J987&lt;=0,"A vencer",IF($J987&lt;=15,"1-15 dias",IF($J987&lt;=30,"16-30 dias",IF($J987&lt;=60,"31-60 dias","Mais de 60 dias"))))))</f>
        <v>0</v>
      </c>
      <c r="L987" s="21">
        <f>IF($E987="","",MAX(0,$E987-N($G987)))</f>
        <v>0</v>
      </c>
      <c r="M987" s="21">
        <f>IF(OR($L987="",$J987=""),"",IF($J987&gt;0,ROUND($L987*Multa+$L987*Juros/30*$J987,2),0))</f>
        <v>0</v>
      </c>
      <c r="N987" s="22">
        <f>IF($L987="","",IF($L987&lt;=0.005,0,$L987+N($M987)))</f>
        <v>0</v>
      </c>
      <c r="O987" s="23">
        <f>IF(OR($I987="Vencido",$I987="Vencido (parcial)"),"Olá, "&amp;$A987&amp;"! Consta em aberto '"&amp;$B987&amp;"' com vencimento em "&amp;DAY($D987)&amp;"/"&amp;MONTH($D987)&amp;"/"&amp;YEAR($D987)&amp;", no valor de R$ "&amp;FIXED($N987,2)&amp;" (com multa e juros). Podemos ajudar a regularizar hoje? Obrigado!",IF($I987="Vence hoje","Olá, "&amp;$A987&amp;"! Lembrete: '"&amp;$B987&amp;"' vence hoje, no valor de R$ "&amp;FIXED($L987,2)&amp;". Obrigado!",""))</f>
        <v>0</v>
      </c>
    </row>
    <row r="988" spans="1:15">
      <c r="A988" s="13"/>
      <c r="B988" s="13"/>
      <c r="C988" s="17"/>
      <c r="D988" s="17"/>
      <c r="E988" s="18"/>
      <c r="F988" s="17"/>
      <c r="G988" s="18"/>
      <c r="H988" s="13"/>
      <c r="I988" s="19">
        <f>IF($E988="","",IF($L988&lt;=0.005,"Pago",IF($D988="","Sem vencimento",IF($D988&lt;Hoje,IF(N($G988)&gt;0,"Vencido (parcial)","Vencido"),IF($D988=Hoje,"Vence hoje","A vencer")))))</f>
        <v>0</v>
      </c>
      <c r="J988" s="20">
        <f>IF(OR($E988="",$D988=""),"",IF(AND($L988&gt;0.005,$D988&lt;Hoje),Hoje-$D988,0))</f>
        <v>0</v>
      </c>
      <c r="K988" s="20">
        <f>IF($J988="","",IF($L988&lt;=0.005,"Pago",IF($J988&lt;=0,"A vencer",IF($J988&lt;=15,"1-15 dias",IF($J988&lt;=30,"16-30 dias",IF($J988&lt;=60,"31-60 dias","Mais de 60 dias"))))))</f>
        <v>0</v>
      </c>
      <c r="L988" s="21">
        <f>IF($E988="","",MAX(0,$E988-N($G988)))</f>
        <v>0</v>
      </c>
      <c r="M988" s="21">
        <f>IF(OR($L988="",$J988=""),"",IF($J988&gt;0,ROUND($L988*Multa+$L988*Juros/30*$J988,2),0))</f>
        <v>0</v>
      </c>
      <c r="N988" s="22">
        <f>IF($L988="","",IF($L988&lt;=0.005,0,$L988+N($M988)))</f>
        <v>0</v>
      </c>
      <c r="O988" s="23">
        <f>IF(OR($I988="Vencido",$I988="Vencido (parcial)"),"Olá, "&amp;$A988&amp;"! Consta em aberto '"&amp;$B988&amp;"' com vencimento em "&amp;DAY($D988)&amp;"/"&amp;MONTH($D988)&amp;"/"&amp;YEAR($D988)&amp;", no valor de R$ "&amp;FIXED($N988,2)&amp;" (com multa e juros). Podemos ajudar a regularizar hoje? Obrigado!",IF($I988="Vence hoje","Olá, "&amp;$A988&amp;"! Lembrete: '"&amp;$B988&amp;"' vence hoje, no valor de R$ "&amp;FIXED($L988,2)&amp;". Obrigado!",""))</f>
        <v>0</v>
      </c>
    </row>
    <row r="989" spans="1:15">
      <c r="A989" s="13"/>
      <c r="B989" s="13"/>
      <c r="C989" s="17"/>
      <c r="D989" s="17"/>
      <c r="E989" s="18"/>
      <c r="F989" s="17"/>
      <c r="G989" s="18"/>
      <c r="H989" s="13"/>
      <c r="I989" s="19">
        <f>IF($E989="","",IF($L989&lt;=0.005,"Pago",IF($D989="","Sem vencimento",IF($D989&lt;Hoje,IF(N($G989)&gt;0,"Vencido (parcial)","Vencido"),IF($D989=Hoje,"Vence hoje","A vencer")))))</f>
        <v>0</v>
      </c>
      <c r="J989" s="20">
        <f>IF(OR($E989="",$D989=""),"",IF(AND($L989&gt;0.005,$D989&lt;Hoje),Hoje-$D989,0))</f>
        <v>0</v>
      </c>
      <c r="K989" s="20">
        <f>IF($J989="","",IF($L989&lt;=0.005,"Pago",IF($J989&lt;=0,"A vencer",IF($J989&lt;=15,"1-15 dias",IF($J989&lt;=30,"16-30 dias",IF($J989&lt;=60,"31-60 dias","Mais de 60 dias"))))))</f>
        <v>0</v>
      </c>
      <c r="L989" s="21">
        <f>IF($E989="","",MAX(0,$E989-N($G989)))</f>
        <v>0</v>
      </c>
      <c r="M989" s="21">
        <f>IF(OR($L989="",$J989=""),"",IF($J989&gt;0,ROUND($L989*Multa+$L989*Juros/30*$J989,2),0))</f>
        <v>0</v>
      </c>
      <c r="N989" s="22">
        <f>IF($L989="","",IF($L989&lt;=0.005,0,$L989+N($M989)))</f>
        <v>0</v>
      </c>
      <c r="O989" s="23">
        <f>IF(OR($I989="Vencido",$I989="Vencido (parcial)"),"Olá, "&amp;$A989&amp;"! Consta em aberto '"&amp;$B989&amp;"' com vencimento em "&amp;DAY($D989)&amp;"/"&amp;MONTH($D989)&amp;"/"&amp;YEAR($D989)&amp;", no valor de R$ "&amp;FIXED($N989,2)&amp;" (com multa e juros). Podemos ajudar a regularizar hoje? Obrigado!",IF($I989="Vence hoje","Olá, "&amp;$A989&amp;"! Lembrete: '"&amp;$B989&amp;"' vence hoje, no valor de R$ "&amp;FIXED($L989,2)&amp;". Obrigado!",""))</f>
        <v>0</v>
      </c>
    </row>
    <row r="990" spans="1:15">
      <c r="A990" s="13"/>
      <c r="B990" s="13"/>
      <c r="C990" s="17"/>
      <c r="D990" s="17"/>
      <c r="E990" s="18"/>
      <c r="F990" s="17"/>
      <c r="G990" s="18"/>
      <c r="H990" s="13"/>
      <c r="I990" s="19">
        <f>IF($E990="","",IF($L990&lt;=0.005,"Pago",IF($D990="","Sem vencimento",IF($D990&lt;Hoje,IF(N($G990)&gt;0,"Vencido (parcial)","Vencido"),IF($D990=Hoje,"Vence hoje","A vencer")))))</f>
        <v>0</v>
      </c>
      <c r="J990" s="20">
        <f>IF(OR($E990="",$D990=""),"",IF(AND($L990&gt;0.005,$D990&lt;Hoje),Hoje-$D990,0))</f>
        <v>0</v>
      </c>
      <c r="K990" s="20">
        <f>IF($J990="","",IF($L990&lt;=0.005,"Pago",IF($J990&lt;=0,"A vencer",IF($J990&lt;=15,"1-15 dias",IF($J990&lt;=30,"16-30 dias",IF($J990&lt;=60,"31-60 dias","Mais de 60 dias"))))))</f>
        <v>0</v>
      </c>
      <c r="L990" s="21">
        <f>IF($E990="","",MAX(0,$E990-N($G990)))</f>
        <v>0</v>
      </c>
      <c r="M990" s="21">
        <f>IF(OR($L990="",$J990=""),"",IF($J990&gt;0,ROUND($L990*Multa+$L990*Juros/30*$J990,2),0))</f>
        <v>0</v>
      </c>
      <c r="N990" s="22">
        <f>IF($L990="","",IF($L990&lt;=0.005,0,$L990+N($M990)))</f>
        <v>0</v>
      </c>
      <c r="O990" s="23">
        <f>IF(OR($I990="Vencido",$I990="Vencido (parcial)"),"Olá, "&amp;$A990&amp;"! Consta em aberto '"&amp;$B990&amp;"' com vencimento em "&amp;DAY($D990)&amp;"/"&amp;MONTH($D990)&amp;"/"&amp;YEAR($D990)&amp;", no valor de R$ "&amp;FIXED($N990,2)&amp;" (com multa e juros). Podemos ajudar a regularizar hoje? Obrigado!",IF($I990="Vence hoje","Olá, "&amp;$A990&amp;"! Lembrete: '"&amp;$B990&amp;"' vence hoje, no valor de R$ "&amp;FIXED($L990,2)&amp;". Obrigado!",""))</f>
        <v>0</v>
      </c>
    </row>
    <row r="991" spans="1:15">
      <c r="A991" s="13"/>
      <c r="B991" s="13"/>
      <c r="C991" s="17"/>
      <c r="D991" s="17"/>
      <c r="E991" s="18"/>
      <c r="F991" s="17"/>
      <c r="G991" s="18"/>
      <c r="H991" s="13"/>
      <c r="I991" s="19">
        <f>IF($E991="","",IF($L991&lt;=0.005,"Pago",IF($D991="","Sem vencimento",IF($D991&lt;Hoje,IF(N($G991)&gt;0,"Vencido (parcial)","Vencido"),IF($D991=Hoje,"Vence hoje","A vencer")))))</f>
        <v>0</v>
      </c>
      <c r="J991" s="20">
        <f>IF(OR($E991="",$D991=""),"",IF(AND($L991&gt;0.005,$D991&lt;Hoje),Hoje-$D991,0))</f>
        <v>0</v>
      </c>
      <c r="K991" s="20">
        <f>IF($J991="","",IF($L991&lt;=0.005,"Pago",IF($J991&lt;=0,"A vencer",IF($J991&lt;=15,"1-15 dias",IF($J991&lt;=30,"16-30 dias",IF($J991&lt;=60,"31-60 dias","Mais de 60 dias"))))))</f>
        <v>0</v>
      </c>
      <c r="L991" s="21">
        <f>IF($E991="","",MAX(0,$E991-N($G991)))</f>
        <v>0</v>
      </c>
      <c r="M991" s="21">
        <f>IF(OR($L991="",$J991=""),"",IF($J991&gt;0,ROUND($L991*Multa+$L991*Juros/30*$J991,2),0))</f>
        <v>0</v>
      </c>
      <c r="N991" s="22">
        <f>IF($L991="","",IF($L991&lt;=0.005,0,$L991+N($M991)))</f>
        <v>0</v>
      </c>
      <c r="O991" s="23">
        <f>IF(OR($I991="Vencido",$I991="Vencido (parcial)"),"Olá, "&amp;$A991&amp;"! Consta em aberto '"&amp;$B991&amp;"' com vencimento em "&amp;DAY($D991)&amp;"/"&amp;MONTH($D991)&amp;"/"&amp;YEAR($D991)&amp;", no valor de R$ "&amp;FIXED($N991,2)&amp;" (com multa e juros). Podemos ajudar a regularizar hoje? Obrigado!",IF($I991="Vence hoje","Olá, "&amp;$A991&amp;"! Lembrete: '"&amp;$B991&amp;"' vence hoje, no valor de R$ "&amp;FIXED($L991,2)&amp;". Obrigado!",""))</f>
        <v>0</v>
      </c>
    </row>
    <row r="992" spans="1:15">
      <c r="A992" s="13"/>
      <c r="B992" s="13"/>
      <c r="C992" s="17"/>
      <c r="D992" s="17"/>
      <c r="E992" s="18"/>
      <c r="F992" s="17"/>
      <c r="G992" s="18"/>
      <c r="H992" s="13"/>
      <c r="I992" s="19">
        <f>IF($E992="","",IF($L992&lt;=0.005,"Pago",IF($D992="","Sem vencimento",IF($D992&lt;Hoje,IF(N($G992)&gt;0,"Vencido (parcial)","Vencido"),IF($D992=Hoje,"Vence hoje","A vencer")))))</f>
        <v>0</v>
      </c>
      <c r="J992" s="20">
        <f>IF(OR($E992="",$D992=""),"",IF(AND($L992&gt;0.005,$D992&lt;Hoje),Hoje-$D992,0))</f>
        <v>0</v>
      </c>
      <c r="K992" s="20">
        <f>IF($J992="","",IF($L992&lt;=0.005,"Pago",IF($J992&lt;=0,"A vencer",IF($J992&lt;=15,"1-15 dias",IF($J992&lt;=30,"16-30 dias",IF($J992&lt;=60,"31-60 dias","Mais de 60 dias"))))))</f>
        <v>0</v>
      </c>
      <c r="L992" s="21">
        <f>IF($E992="","",MAX(0,$E992-N($G992)))</f>
        <v>0</v>
      </c>
      <c r="M992" s="21">
        <f>IF(OR($L992="",$J992=""),"",IF($J992&gt;0,ROUND($L992*Multa+$L992*Juros/30*$J992,2),0))</f>
        <v>0</v>
      </c>
      <c r="N992" s="22">
        <f>IF($L992="","",IF($L992&lt;=0.005,0,$L992+N($M992)))</f>
        <v>0</v>
      </c>
      <c r="O992" s="23">
        <f>IF(OR($I992="Vencido",$I992="Vencido (parcial)"),"Olá, "&amp;$A992&amp;"! Consta em aberto '"&amp;$B992&amp;"' com vencimento em "&amp;DAY($D992)&amp;"/"&amp;MONTH($D992)&amp;"/"&amp;YEAR($D992)&amp;", no valor de R$ "&amp;FIXED($N992,2)&amp;" (com multa e juros). Podemos ajudar a regularizar hoje? Obrigado!",IF($I992="Vence hoje","Olá, "&amp;$A992&amp;"! Lembrete: '"&amp;$B992&amp;"' vence hoje, no valor de R$ "&amp;FIXED($L992,2)&amp;". Obrigado!",""))</f>
        <v>0</v>
      </c>
    </row>
    <row r="993" spans="1:15">
      <c r="A993" s="13"/>
      <c r="B993" s="13"/>
      <c r="C993" s="17"/>
      <c r="D993" s="17"/>
      <c r="E993" s="18"/>
      <c r="F993" s="17"/>
      <c r="G993" s="18"/>
      <c r="H993" s="13"/>
      <c r="I993" s="19">
        <f>IF($E993="","",IF($L993&lt;=0.005,"Pago",IF($D993="","Sem vencimento",IF($D993&lt;Hoje,IF(N($G993)&gt;0,"Vencido (parcial)","Vencido"),IF($D993=Hoje,"Vence hoje","A vencer")))))</f>
        <v>0</v>
      </c>
      <c r="J993" s="20">
        <f>IF(OR($E993="",$D993=""),"",IF(AND($L993&gt;0.005,$D993&lt;Hoje),Hoje-$D993,0))</f>
        <v>0</v>
      </c>
      <c r="K993" s="20">
        <f>IF($J993="","",IF($L993&lt;=0.005,"Pago",IF($J993&lt;=0,"A vencer",IF($J993&lt;=15,"1-15 dias",IF($J993&lt;=30,"16-30 dias",IF($J993&lt;=60,"31-60 dias","Mais de 60 dias"))))))</f>
        <v>0</v>
      </c>
      <c r="L993" s="21">
        <f>IF($E993="","",MAX(0,$E993-N($G993)))</f>
        <v>0</v>
      </c>
      <c r="M993" s="21">
        <f>IF(OR($L993="",$J993=""),"",IF($J993&gt;0,ROUND($L993*Multa+$L993*Juros/30*$J993,2),0))</f>
        <v>0</v>
      </c>
      <c r="N993" s="22">
        <f>IF($L993="","",IF($L993&lt;=0.005,0,$L993+N($M993)))</f>
        <v>0</v>
      </c>
      <c r="O993" s="23">
        <f>IF(OR($I993="Vencido",$I993="Vencido (parcial)"),"Olá, "&amp;$A993&amp;"! Consta em aberto '"&amp;$B993&amp;"' com vencimento em "&amp;DAY($D993)&amp;"/"&amp;MONTH($D993)&amp;"/"&amp;YEAR($D993)&amp;", no valor de R$ "&amp;FIXED($N993,2)&amp;" (com multa e juros). Podemos ajudar a regularizar hoje? Obrigado!",IF($I993="Vence hoje","Olá, "&amp;$A993&amp;"! Lembrete: '"&amp;$B993&amp;"' vence hoje, no valor de R$ "&amp;FIXED($L993,2)&amp;". Obrigado!",""))</f>
        <v>0</v>
      </c>
    </row>
    <row r="994" spans="1:15">
      <c r="A994" s="13"/>
      <c r="B994" s="13"/>
      <c r="C994" s="17"/>
      <c r="D994" s="17"/>
      <c r="E994" s="18"/>
      <c r="F994" s="17"/>
      <c r="G994" s="18"/>
      <c r="H994" s="13"/>
      <c r="I994" s="19">
        <f>IF($E994="","",IF($L994&lt;=0.005,"Pago",IF($D994="","Sem vencimento",IF($D994&lt;Hoje,IF(N($G994)&gt;0,"Vencido (parcial)","Vencido"),IF($D994=Hoje,"Vence hoje","A vencer")))))</f>
        <v>0</v>
      </c>
      <c r="J994" s="20">
        <f>IF(OR($E994="",$D994=""),"",IF(AND($L994&gt;0.005,$D994&lt;Hoje),Hoje-$D994,0))</f>
        <v>0</v>
      </c>
      <c r="K994" s="20">
        <f>IF($J994="","",IF($L994&lt;=0.005,"Pago",IF($J994&lt;=0,"A vencer",IF($J994&lt;=15,"1-15 dias",IF($J994&lt;=30,"16-30 dias",IF($J994&lt;=60,"31-60 dias","Mais de 60 dias"))))))</f>
        <v>0</v>
      </c>
      <c r="L994" s="21">
        <f>IF($E994="","",MAX(0,$E994-N($G994)))</f>
        <v>0</v>
      </c>
      <c r="M994" s="21">
        <f>IF(OR($L994="",$J994=""),"",IF($J994&gt;0,ROUND($L994*Multa+$L994*Juros/30*$J994,2),0))</f>
        <v>0</v>
      </c>
      <c r="N994" s="22">
        <f>IF($L994="","",IF($L994&lt;=0.005,0,$L994+N($M994)))</f>
        <v>0</v>
      </c>
      <c r="O994" s="23">
        <f>IF(OR($I994="Vencido",$I994="Vencido (parcial)"),"Olá, "&amp;$A994&amp;"! Consta em aberto '"&amp;$B994&amp;"' com vencimento em "&amp;DAY($D994)&amp;"/"&amp;MONTH($D994)&amp;"/"&amp;YEAR($D994)&amp;", no valor de R$ "&amp;FIXED($N994,2)&amp;" (com multa e juros). Podemos ajudar a regularizar hoje? Obrigado!",IF($I994="Vence hoje","Olá, "&amp;$A994&amp;"! Lembrete: '"&amp;$B994&amp;"' vence hoje, no valor de R$ "&amp;FIXED($L994,2)&amp;". Obrigado!",""))</f>
        <v>0</v>
      </c>
    </row>
    <row r="995" spans="1:15">
      <c r="A995" s="13"/>
      <c r="B995" s="13"/>
      <c r="C995" s="17"/>
      <c r="D995" s="17"/>
      <c r="E995" s="18"/>
      <c r="F995" s="17"/>
      <c r="G995" s="18"/>
      <c r="H995" s="13"/>
      <c r="I995" s="19">
        <f>IF($E995="","",IF($L995&lt;=0.005,"Pago",IF($D995="","Sem vencimento",IF($D995&lt;Hoje,IF(N($G995)&gt;0,"Vencido (parcial)","Vencido"),IF($D995=Hoje,"Vence hoje","A vencer")))))</f>
        <v>0</v>
      </c>
      <c r="J995" s="20">
        <f>IF(OR($E995="",$D995=""),"",IF(AND($L995&gt;0.005,$D995&lt;Hoje),Hoje-$D995,0))</f>
        <v>0</v>
      </c>
      <c r="K995" s="20">
        <f>IF($J995="","",IF($L995&lt;=0.005,"Pago",IF($J995&lt;=0,"A vencer",IF($J995&lt;=15,"1-15 dias",IF($J995&lt;=30,"16-30 dias",IF($J995&lt;=60,"31-60 dias","Mais de 60 dias"))))))</f>
        <v>0</v>
      </c>
      <c r="L995" s="21">
        <f>IF($E995="","",MAX(0,$E995-N($G995)))</f>
        <v>0</v>
      </c>
      <c r="M995" s="21">
        <f>IF(OR($L995="",$J995=""),"",IF($J995&gt;0,ROUND($L995*Multa+$L995*Juros/30*$J995,2),0))</f>
        <v>0</v>
      </c>
      <c r="N995" s="22">
        <f>IF($L995="","",IF($L995&lt;=0.005,0,$L995+N($M995)))</f>
        <v>0</v>
      </c>
      <c r="O995" s="23">
        <f>IF(OR($I995="Vencido",$I995="Vencido (parcial)"),"Olá, "&amp;$A995&amp;"! Consta em aberto '"&amp;$B995&amp;"' com vencimento em "&amp;DAY($D995)&amp;"/"&amp;MONTH($D995)&amp;"/"&amp;YEAR($D995)&amp;", no valor de R$ "&amp;FIXED($N995,2)&amp;" (com multa e juros). Podemos ajudar a regularizar hoje? Obrigado!",IF($I995="Vence hoje","Olá, "&amp;$A995&amp;"! Lembrete: '"&amp;$B995&amp;"' vence hoje, no valor de R$ "&amp;FIXED($L995,2)&amp;". Obrigado!",""))</f>
        <v>0</v>
      </c>
    </row>
    <row r="996" spans="1:15">
      <c r="A996" s="13"/>
      <c r="B996" s="13"/>
      <c r="C996" s="17"/>
      <c r="D996" s="17"/>
      <c r="E996" s="18"/>
      <c r="F996" s="17"/>
      <c r="G996" s="18"/>
      <c r="H996" s="13"/>
      <c r="I996" s="19">
        <f>IF($E996="","",IF($L996&lt;=0.005,"Pago",IF($D996="","Sem vencimento",IF($D996&lt;Hoje,IF(N($G996)&gt;0,"Vencido (parcial)","Vencido"),IF($D996=Hoje,"Vence hoje","A vencer")))))</f>
        <v>0</v>
      </c>
      <c r="J996" s="20">
        <f>IF(OR($E996="",$D996=""),"",IF(AND($L996&gt;0.005,$D996&lt;Hoje),Hoje-$D996,0))</f>
        <v>0</v>
      </c>
      <c r="K996" s="20">
        <f>IF($J996="","",IF($L996&lt;=0.005,"Pago",IF($J996&lt;=0,"A vencer",IF($J996&lt;=15,"1-15 dias",IF($J996&lt;=30,"16-30 dias",IF($J996&lt;=60,"31-60 dias","Mais de 60 dias"))))))</f>
        <v>0</v>
      </c>
      <c r="L996" s="21">
        <f>IF($E996="","",MAX(0,$E996-N($G996)))</f>
        <v>0</v>
      </c>
      <c r="M996" s="21">
        <f>IF(OR($L996="",$J996=""),"",IF($J996&gt;0,ROUND($L996*Multa+$L996*Juros/30*$J996,2),0))</f>
        <v>0</v>
      </c>
      <c r="N996" s="22">
        <f>IF($L996="","",IF($L996&lt;=0.005,0,$L996+N($M996)))</f>
        <v>0</v>
      </c>
      <c r="O996" s="23">
        <f>IF(OR($I996="Vencido",$I996="Vencido (parcial)"),"Olá, "&amp;$A996&amp;"! Consta em aberto '"&amp;$B996&amp;"' com vencimento em "&amp;DAY($D996)&amp;"/"&amp;MONTH($D996)&amp;"/"&amp;YEAR($D996)&amp;", no valor de R$ "&amp;FIXED($N996,2)&amp;" (com multa e juros). Podemos ajudar a regularizar hoje? Obrigado!",IF($I996="Vence hoje","Olá, "&amp;$A996&amp;"! Lembrete: '"&amp;$B996&amp;"' vence hoje, no valor de R$ "&amp;FIXED($L996,2)&amp;". Obrigado!",""))</f>
        <v>0</v>
      </c>
    </row>
    <row r="997" spans="1:15">
      <c r="A997" s="13"/>
      <c r="B997" s="13"/>
      <c r="C997" s="17"/>
      <c r="D997" s="17"/>
      <c r="E997" s="18"/>
      <c r="F997" s="17"/>
      <c r="G997" s="18"/>
      <c r="H997" s="13"/>
      <c r="I997" s="19">
        <f>IF($E997="","",IF($L997&lt;=0.005,"Pago",IF($D997="","Sem vencimento",IF($D997&lt;Hoje,IF(N($G997)&gt;0,"Vencido (parcial)","Vencido"),IF($D997=Hoje,"Vence hoje","A vencer")))))</f>
        <v>0</v>
      </c>
      <c r="J997" s="20">
        <f>IF(OR($E997="",$D997=""),"",IF(AND($L997&gt;0.005,$D997&lt;Hoje),Hoje-$D997,0))</f>
        <v>0</v>
      </c>
      <c r="K997" s="20">
        <f>IF($J997="","",IF($L997&lt;=0.005,"Pago",IF($J997&lt;=0,"A vencer",IF($J997&lt;=15,"1-15 dias",IF($J997&lt;=30,"16-30 dias",IF($J997&lt;=60,"31-60 dias","Mais de 60 dias"))))))</f>
        <v>0</v>
      </c>
      <c r="L997" s="21">
        <f>IF($E997="","",MAX(0,$E997-N($G997)))</f>
        <v>0</v>
      </c>
      <c r="M997" s="21">
        <f>IF(OR($L997="",$J997=""),"",IF($J997&gt;0,ROUND($L997*Multa+$L997*Juros/30*$J997,2),0))</f>
        <v>0</v>
      </c>
      <c r="N997" s="22">
        <f>IF($L997="","",IF($L997&lt;=0.005,0,$L997+N($M997)))</f>
        <v>0</v>
      </c>
      <c r="O997" s="23">
        <f>IF(OR($I997="Vencido",$I997="Vencido (parcial)"),"Olá, "&amp;$A997&amp;"! Consta em aberto '"&amp;$B997&amp;"' com vencimento em "&amp;DAY($D997)&amp;"/"&amp;MONTH($D997)&amp;"/"&amp;YEAR($D997)&amp;", no valor de R$ "&amp;FIXED($N997,2)&amp;" (com multa e juros). Podemos ajudar a regularizar hoje? Obrigado!",IF($I997="Vence hoje","Olá, "&amp;$A997&amp;"! Lembrete: '"&amp;$B997&amp;"' vence hoje, no valor de R$ "&amp;FIXED($L997,2)&amp;". Obrigado!",""))</f>
        <v>0</v>
      </c>
    </row>
    <row r="998" spans="1:15">
      <c r="A998" s="13"/>
      <c r="B998" s="13"/>
      <c r="C998" s="17"/>
      <c r="D998" s="17"/>
      <c r="E998" s="18"/>
      <c r="F998" s="17"/>
      <c r="G998" s="18"/>
      <c r="H998" s="13"/>
      <c r="I998" s="19">
        <f>IF($E998="","",IF($L998&lt;=0.005,"Pago",IF($D998="","Sem vencimento",IF($D998&lt;Hoje,IF(N($G998)&gt;0,"Vencido (parcial)","Vencido"),IF($D998=Hoje,"Vence hoje","A vencer")))))</f>
        <v>0</v>
      </c>
      <c r="J998" s="20">
        <f>IF(OR($E998="",$D998=""),"",IF(AND($L998&gt;0.005,$D998&lt;Hoje),Hoje-$D998,0))</f>
        <v>0</v>
      </c>
      <c r="K998" s="20">
        <f>IF($J998="","",IF($L998&lt;=0.005,"Pago",IF($J998&lt;=0,"A vencer",IF($J998&lt;=15,"1-15 dias",IF($J998&lt;=30,"16-30 dias",IF($J998&lt;=60,"31-60 dias","Mais de 60 dias"))))))</f>
        <v>0</v>
      </c>
      <c r="L998" s="21">
        <f>IF($E998="","",MAX(0,$E998-N($G998)))</f>
        <v>0</v>
      </c>
      <c r="M998" s="21">
        <f>IF(OR($L998="",$J998=""),"",IF($J998&gt;0,ROUND($L998*Multa+$L998*Juros/30*$J998,2),0))</f>
        <v>0</v>
      </c>
      <c r="N998" s="22">
        <f>IF($L998="","",IF($L998&lt;=0.005,0,$L998+N($M998)))</f>
        <v>0</v>
      </c>
      <c r="O998" s="23">
        <f>IF(OR($I998="Vencido",$I998="Vencido (parcial)"),"Olá, "&amp;$A998&amp;"! Consta em aberto '"&amp;$B998&amp;"' com vencimento em "&amp;DAY($D998)&amp;"/"&amp;MONTH($D998)&amp;"/"&amp;YEAR($D998)&amp;", no valor de R$ "&amp;FIXED($N998,2)&amp;" (com multa e juros). Podemos ajudar a regularizar hoje? Obrigado!",IF($I998="Vence hoje","Olá, "&amp;$A998&amp;"! Lembrete: '"&amp;$B998&amp;"' vence hoje, no valor de R$ "&amp;FIXED($L998,2)&amp;". Obrigado!",""))</f>
        <v>0</v>
      </c>
    </row>
    <row r="999" spans="1:15">
      <c r="A999" s="13"/>
      <c r="B999" s="13"/>
      <c r="C999" s="17"/>
      <c r="D999" s="17"/>
      <c r="E999" s="18"/>
      <c r="F999" s="17"/>
      <c r="G999" s="18"/>
      <c r="H999" s="13"/>
      <c r="I999" s="19">
        <f>IF($E999="","",IF($L999&lt;=0.005,"Pago",IF($D999="","Sem vencimento",IF($D999&lt;Hoje,IF(N($G999)&gt;0,"Vencido (parcial)","Vencido"),IF($D999=Hoje,"Vence hoje","A vencer")))))</f>
        <v>0</v>
      </c>
      <c r="J999" s="20">
        <f>IF(OR($E999="",$D999=""),"",IF(AND($L999&gt;0.005,$D999&lt;Hoje),Hoje-$D999,0))</f>
        <v>0</v>
      </c>
      <c r="K999" s="20">
        <f>IF($J999="","",IF($L999&lt;=0.005,"Pago",IF($J999&lt;=0,"A vencer",IF($J999&lt;=15,"1-15 dias",IF($J999&lt;=30,"16-30 dias",IF($J999&lt;=60,"31-60 dias","Mais de 60 dias"))))))</f>
        <v>0</v>
      </c>
      <c r="L999" s="21">
        <f>IF($E999="","",MAX(0,$E999-N($G999)))</f>
        <v>0</v>
      </c>
      <c r="M999" s="21">
        <f>IF(OR($L999="",$J999=""),"",IF($J999&gt;0,ROUND($L999*Multa+$L999*Juros/30*$J999,2),0))</f>
        <v>0</v>
      </c>
      <c r="N999" s="22">
        <f>IF($L999="","",IF($L999&lt;=0.005,0,$L999+N($M999)))</f>
        <v>0</v>
      </c>
      <c r="O999" s="23">
        <f>IF(OR($I999="Vencido",$I999="Vencido (parcial)"),"Olá, "&amp;$A999&amp;"! Consta em aberto '"&amp;$B999&amp;"' com vencimento em "&amp;DAY($D999)&amp;"/"&amp;MONTH($D999)&amp;"/"&amp;YEAR($D999)&amp;", no valor de R$ "&amp;FIXED($N999,2)&amp;" (com multa e juros). Podemos ajudar a regularizar hoje? Obrigado!",IF($I999="Vence hoje","Olá, "&amp;$A999&amp;"! Lembrete: '"&amp;$B999&amp;"' vence hoje, no valor de R$ "&amp;FIXED($L999,2)&amp;". Obrigado!",""))</f>
        <v>0</v>
      </c>
    </row>
    <row r="1000" spans="1:15">
      <c r="A1000" s="13"/>
      <c r="B1000" s="13"/>
      <c r="C1000" s="17"/>
      <c r="D1000" s="17"/>
      <c r="E1000" s="18"/>
      <c r="F1000" s="17"/>
      <c r="G1000" s="18"/>
      <c r="H1000" s="13"/>
      <c r="I1000" s="19">
        <f>IF($E1000="","",IF($L1000&lt;=0.005,"Pago",IF($D1000="","Sem vencimento",IF($D1000&lt;Hoje,IF(N($G1000)&gt;0,"Vencido (parcial)","Vencido"),IF($D1000=Hoje,"Vence hoje","A vencer")))))</f>
        <v>0</v>
      </c>
      <c r="J1000" s="20">
        <f>IF(OR($E1000="",$D1000=""),"",IF(AND($L1000&gt;0.005,$D1000&lt;Hoje),Hoje-$D1000,0))</f>
        <v>0</v>
      </c>
      <c r="K1000" s="20">
        <f>IF($J1000="","",IF($L1000&lt;=0.005,"Pago",IF($J1000&lt;=0,"A vencer",IF($J1000&lt;=15,"1-15 dias",IF($J1000&lt;=30,"16-30 dias",IF($J1000&lt;=60,"31-60 dias","Mais de 60 dias"))))))</f>
        <v>0</v>
      </c>
      <c r="L1000" s="21">
        <f>IF($E1000="","",MAX(0,$E1000-N($G1000)))</f>
        <v>0</v>
      </c>
      <c r="M1000" s="21">
        <f>IF(OR($L1000="",$J1000=""),"",IF($J1000&gt;0,ROUND($L1000*Multa+$L1000*Juros/30*$J1000,2),0))</f>
        <v>0</v>
      </c>
      <c r="N1000" s="22">
        <f>IF($L1000="","",IF($L1000&lt;=0.005,0,$L1000+N($M1000)))</f>
        <v>0</v>
      </c>
      <c r="O1000" s="23">
        <f>IF(OR($I1000="Vencido",$I1000="Vencido (parcial)"),"Olá, "&amp;$A1000&amp;"! Consta em aberto '"&amp;$B1000&amp;"' com vencimento em "&amp;DAY($D1000)&amp;"/"&amp;MONTH($D1000)&amp;"/"&amp;YEAR($D1000)&amp;", no valor de R$ "&amp;FIXED($N1000,2)&amp;" (com multa e juros). Podemos ajudar a regularizar hoje? Obrigado!",IF($I1000="Vence hoje","Olá, "&amp;$A1000&amp;"! Lembrete: '"&amp;$B1000&amp;"' vence hoje, no valor de R$ "&amp;FIXED($L1000,2)&amp;". Obrigado!",""))</f>
        <v>0</v>
      </c>
    </row>
    <row r="1001" spans="1:15">
      <c r="A1001" s="13"/>
      <c r="B1001" s="13"/>
      <c r="C1001" s="17"/>
      <c r="D1001" s="17"/>
      <c r="E1001" s="18"/>
      <c r="F1001" s="17"/>
      <c r="G1001" s="18"/>
      <c r="H1001" s="13"/>
      <c r="I1001" s="19">
        <f>IF($E1001="","",IF($L1001&lt;=0.005,"Pago",IF($D1001="","Sem vencimento",IF($D1001&lt;Hoje,IF(N($G1001)&gt;0,"Vencido (parcial)","Vencido"),IF($D1001=Hoje,"Vence hoje","A vencer")))))</f>
        <v>0</v>
      </c>
      <c r="J1001" s="20">
        <f>IF(OR($E1001="",$D1001=""),"",IF(AND($L1001&gt;0.005,$D1001&lt;Hoje),Hoje-$D1001,0))</f>
        <v>0</v>
      </c>
      <c r="K1001" s="20">
        <f>IF($J1001="","",IF($L1001&lt;=0.005,"Pago",IF($J1001&lt;=0,"A vencer",IF($J1001&lt;=15,"1-15 dias",IF($J1001&lt;=30,"16-30 dias",IF($J1001&lt;=60,"31-60 dias","Mais de 60 dias"))))))</f>
        <v>0</v>
      </c>
      <c r="L1001" s="21">
        <f>IF($E1001="","",MAX(0,$E1001-N($G1001)))</f>
        <v>0</v>
      </c>
      <c r="M1001" s="21">
        <f>IF(OR($L1001="",$J1001=""),"",IF($J1001&gt;0,ROUND($L1001*Multa+$L1001*Juros/30*$J1001,2),0))</f>
        <v>0</v>
      </c>
      <c r="N1001" s="22">
        <f>IF($L1001="","",IF($L1001&lt;=0.005,0,$L1001+N($M1001)))</f>
        <v>0</v>
      </c>
      <c r="O1001" s="23">
        <f>IF(OR($I1001="Vencido",$I1001="Vencido (parcial)"),"Olá, "&amp;$A1001&amp;"! Consta em aberto '"&amp;$B1001&amp;"' com vencimento em "&amp;DAY($D1001)&amp;"/"&amp;MONTH($D1001)&amp;"/"&amp;YEAR($D1001)&amp;", no valor de R$ "&amp;FIXED($N1001,2)&amp;" (com multa e juros). Podemos ajudar a regularizar hoje? Obrigado!",IF($I1001="Vence hoje","Olá, "&amp;$A1001&amp;"! Lembrete: '"&amp;$B1001&amp;"' vence hoje, no valor de R$ "&amp;FIXED($L1001,2)&amp;". Obrigado!",""))</f>
        <v>0</v>
      </c>
    </row>
    <row r="1002" spans="1:15">
      <c r="A1002" s="13"/>
      <c r="B1002" s="13"/>
      <c r="C1002" s="17"/>
      <c r="D1002" s="17"/>
      <c r="E1002" s="18"/>
      <c r="F1002" s="17"/>
      <c r="G1002" s="18"/>
      <c r="H1002" s="13"/>
      <c r="I1002" s="19">
        <f>IF($E1002="","",IF($L1002&lt;=0.005,"Pago",IF($D1002="","Sem vencimento",IF($D1002&lt;Hoje,IF(N($G1002)&gt;0,"Vencido (parcial)","Vencido"),IF($D1002=Hoje,"Vence hoje","A vencer")))))</f>
        <v>0</v>
      </c>
      <c r="J1002" s="20">
        <f>IF(OR($E1002="",$D1002=""),"",IF(AND($L1002&gt;0.005,$D1002&lt;Hoje),Hoje-$D1002,0))</f>
        <v>0</v>
      </c>
      <c r="K1002" s="20">
        <f>IF($J1002="","",IF($L1002&lt;=0.005,"Pago",IF($J1002&lt;=0,"A vencer",IF($J1002&lt;=15,"1-15 dias",IF($J1002&lt;=30,"16-30 dias",IF($J1002&lt;=60,"31-60 dias","Mais de 60 dias"))))))</f>
        <v>0</v>
      </c>
      <c r="L1002" s="21">
        <f>IF($E1002="","",MAX(0,$E1002-N($G1002)))</f>
        <v>0</v>
      </c>
      <c r="M1002" s="21">
        <f>IF(OR($L1002="",$J1002=""),"",IF($J1002&gt;0,ROUND($L1002*Multa+$L1002*Juros/30*$J1002,2),0))</f>
        <v>0</v>
      </c>
      <c r="N1002" s="22">
        <f>IF($L1002="","",IF($L1002&lt;=0.005,0,$L1002+N($M1002)))</f>
        <v>0</v>
      </c>
      <c r="O1002" s="23">
        <f>IF(OR($I1002="Vencido",$I1002="Vencido (parcial)"),"Olá, "&amp;$A1002&amp;"! Consta em aberto '"&amp;$B1002&amp;"' com vencimento em "&amp;DAY($D1002)&amp;"/"&amp;MONTH($D1002)&amp;"/"&amp;YEAR($D1002)&amp;", no valor de R$ "&amp;FIXED($N1002,2)&amp;" (com multa e juros). Podemos ajudar a regularizar hoje? Obrigado!",IF($I1002="Vence hoje","Olá, "&amp;$A1002&amp;"! Lembrete: '"&amp;$B1002&amp;"' vence hoje, no valor de R$ "&amp;FIXED($L1002,2)&amp;". Obrigado!",""))</f>
        <v>0</v>
      </c>
    </row>
    <row r="1003" spans="1:15">
      <c r="A1003" s="13"/>
      <c r="B1003" s="13"/>
      <c r="C1003" s="17"/>
      <c r="D1003" s="17"/>
      <c r="E1003" s="18"/>
      <c r="F1003" s="17"/>
      <c r="G1003" s="18"/>
      <c r="H1003" s="13"/>
      <c r="I1003" s="19">
        <f>IF($E1003="","",IF($L1003&lt;=0.005,"Pago",IF($D1003="","Sem vencimento",IF($D1003&lt;Hoje,IF(N($G1003)&gt;0,"Vencido (parcial)","Vencido"),IF($D1003=Hoje,"Vence hoje","A vencer")))))</f>
        <v>0</v>
      </c>
      <c r="J1003" s="20">
        <f>IF(OR($E1003="",$D1003=""),"",IF(AND($L1003&gt;0.005,$D1003&lt;Hoje),Hoje-$D1003,0))</f>
        <v>0</v>
      </c>
      <c r="K1003" s="20">
        <f>IF($J1003="","",IF($L1003&lt;=0.005,"Pago",IF($J1003&lt;=0,"A vencer",IF($J1003&lt;=15,"1-15 dias",IF($J1003&lt;=30,"16-30 dias",IF($J1003&lt;=60,"31-60 dias","Mais de 60 dias"))))))</f>
        <v>0</v>
      </c>
      <c r="L1003" s="21">
        <f>IF($E1003="","",MAX(0,$E1003-N($G1003)))</f>
        <v>0</v>
      </c>
      <c r="M1003" s="21">
        <f>IF(OR($L1003="",$J1003=""),"",IF($J1003&gt;0,ROUND($L1003*Multa+$L1003*Juros/30*$J1003,2),0))</f>
        <v>0</v>
      </c>
      <c r="N1003" s="22">
        <f>IF($L1003="","",IF($L1003&lt;=0.005,0,$L1003+N($M1003)))</f>
        <v>0</v>
      </c>
      <c r="O1003" s="23">
        <f>IF(OR($I1003="Vencido",$I1003="Vencido (parcial)"),"Olá, "&amp;$A1003&amp;"! Consta em aberto '"&amp;$B1003&amp;"' com vencimento em "&amp;DAY($D1003)&amp;"/"&amp;MONTH($D1003)&amp;"/"&amp;YEAR($D1003)&amp;", no valor de R$ "&amp;FIXED($N1003,2)&amp;" (com multa e juros). Podemos ajudar a regularizar hoje? Obrigado!",IF($I1003="Vence hoje","Olá, "&amp;$A1003&amp;"! Lembrete: '"&amp;$B1003&amp;"' vence hoje, no valor de R$ "&amp;FIXED($L1003,2)&amp;". Obrigado!",""))</f>
        <v>0</v>
      </c>
    </row>
    <row r="1004" spans="1:15">
      <c r="A1004" s="13"/>
      <c r="B1004" s="13"/>
      <c r="C1004" s="17"/>
      <c r="D1004" s="17"/>
      <c r="E1004" s="18"/>
      <c r="F1004" s="17"/>
      <c r="G1004" s="18"/>
      <c r="H1004" s="13"/>
      <c r="I1004" s="19">
        <f>IF($E1004="","",IF($L1004&lt;=0.005,"Pago",IF($D1004="","Sem vencimento",IF($D1004&lt;Hoje,IF(N($G1004)&gt;0,"Vencido (parcial)","Vencido"),IF($D1004=Hoje,"Vence hoje","A vencer")))))</f>
        <v>0</v>
      </c>
      <c r="J1004" s="20">
        <f>IF(OR($E1004="",$D1004=""),"",IF(AND($L1004&gt;0.005,$D1004&lt;Hoje),Hoje-$D1004,0))</f>
        <v>0</v>
      </c>
      <c r="K1004" s="20">
        <f>IF($J1004="","",IF($L1004&lt;=0.005,"Pago",IF($J1004&lt;=0,"A vencer",IF($J1004&lt;=15,"1-15 dias",IF($J1004&lt;=30,"16-30 dias",IF($J1004&lt;=60,"31-60 dias","Mais de 60 dias"))))))</f>
        <v>0</v>
      </c>
      <c r="L1004" s="21">
        <f>IF($E1004="","",MAX(0,$E1004-N($G1004)))</f>
        <v>0</v>
      </c>
      <c r="M1004" s="21">
        <f>IF(OR($L1004="",$J1004=""),"",IF($J1004&gt;0,ROUND($L1004*Multa+$L1004*Juros/30*$J1004,2),0))</f>
        <v>0</v>
      </c>
      <c r="N1004" s="22">
        <f>IF($L1004="","",IF($L1004&lt;=0.005,0,$L1004+N($M1004)))</f>
        <v>0</v>
      </c>
      <c r="O1004" s="23">
        <f>IF(OR($I1004="Vencido",$I1004="Vencido (parcial)"),"Olá, "&amp;$A1004&amp;"! Consta em aberto '"&amp;$B1004&amp;"' com vencimento em "&amp;DAY($D1004)&amp;"/"&amp;MONTH($D1004)&amp;"/"&amp;YEAR($D1004)&amp;", no valor de R$ "&amp;FIXED($N1004,2)&amp;" (com multa e juros). Podemos ajudar a regularizar hoje? Obrigado!",IF($I1004="Vence hoje","Olá, "&amp;$A1004&amp;"! Lembrete: '"&amp;$B1004&amp;"' vence hoje, no valor de R$ "&amp;FIXED($L1004,2)&amp;". Obrigado!",""))</f>
        <v>0</v>
      </c>
    </row>
  </sheetData>
  <autoFilter ref="A4:O1004"/>
  <mergeCells count="2">
    <mergeCell ref="A1:O1"/>
    <mergeCell ref="A2:O2"/>
  </mergeCells>
  <conditionalFormatting sqref="I5:I1004">
    <cfRule type="cellIs" dxfId="0" priority="1" operator="equal">
      <formula>"Pago"</formula>
    </cfRule>
    <cfRule type="cellIs" dxfId="1" priority="2" operator="equal">
      <formula>"Vencido"</formula>
    </cfRule>
    <cfRule type="cellIs" dxfId="2" priority="3" operator="equal">
      <formula>"Vencido (parcial)"</formula>
    </cfRule>
    <cfRule type="cellIs" dxfId="3" priority="4" operator="equal">
      <formula>"Vence hoje"</formula>
    </cfRule>
    <cfRule type="cellIs" dxfId="4" priority="5" operator="equal">
      <formula>"A vencer"</formula>
    </cfRule>
  </conditionalFormatting>
  <dataValidations count="6">
    <dataValidation type="list" allowBlank="1" showInputMessage="1" showErrorMessage="1" errorTitle="Valor inválido" error="Escolha um item da lista." sqref="A5:A1004">
      <formula1>ClienteNome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C5:D1004">
      <formula1>36526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F5:F1004">
      <formula1>36526</formula1>
    </dataValidation>
    <dataValidation type="decimal" operator="greaterThanOrEqual" allowBlank="1" showInputMessage="1" showErrorMessage="1" errorTitle="Valor inválido" error="Digite um número maior ou igual a 0." sqref="E5:E1004">
      <formula1>0</formula1>
    </dataValidation>
    <dataValidation type="decimal" operator="greaterThanOrEqual" allowBlank="1" showInputMessage="1" showErrorMessage="1" errorTitle="Valor inválido" error="Digite um número maior ou igual a 0." sqref="G5:G1004">
      <formula1>0</formula1>
    </dataValidation>
    <dataValidation type="list" allowBlank="1" showInputMessage="1" showErrorMessage="1" errorTitle="Valor inválido" error="Escolha um item da lista." sqref="H5:H1004">
      <formula1>Formas</formula1>
    </dataValidation>
  </dataValidations>
  <pageMargins left="0.7" right="0.7" top="0.75" bottom="0.75" header="0.3" footer="0.3"/>
  <pageSetup paperSize="9" fitToHeight="0" orientation="landscape"/>
  <headerFooter>
    <oddFooter>&amp;L&amp;8Carvex XLS - Contas a Pagar e Receber com Inadimplência&amp;R&amp;8Página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L100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0.7109375" customWidth="1"/>
    <col min="2" max="2" width="28.7109375" customWidth="1"/>
    <col min="3" max="3" width="20.7109375" customWidth="1"/>
    <col min="4" max="4" width="11.7109375" customWidth="1"/>
    <col min="5" max="5" width="13.7109375" customWidth="1"/>
    <col min="6" max="6" width="12.7109375" customWidth="1"/>
    <col min="7" max="7" width="13.7109375" customWidth="1"/>
    <col min="8" max="8" width="15.7109375" customWidth="1"/>
    <col min="9" max="9" width="17.7109375" customWidth="1"/>
    <col min="10" max="11" width="14.7109375" customWidth="1"/>
    <col min="12" max="12" width="24.7109375" customWidth="1"/>
  </cols>
  <sheetData>
    <row r="1" spans="1:12" ht="36" customHeight="1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2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56" customHeight="1">
      <c r="A4" s="10" t="s">
        <v>82</v>
      </c>
      <c r="B4" s="10" t="s">
        <v>66</v>
      </c>
      <c r="C4" s="10" t="s">
        <v>83</v>
      </c>
      <c r="D4" s="10" t="s">
        <v>68</v>
      </c>
      <c r="E4" s="10" t="s">
        <v>69</v>
      </c>
      <c r="F4" s="10" t="s">
        <v>70</v>
      </c>
      <c r="G4" s="10" t="s">
        <v>71</v>
      </c>
      <c r="H4" s="10" t="s">
        <v>72</v>
      </c>
      <c r="I4" s="10" t="s">
        <v>73</v>
      </c>
      <c r="J4" s="10" t="s">
        <v>84</v>
      </c>
      <c r="K4" s="10" t="s">
        <v>85</v>
      </c>
      <c r="L4" s="10" t="s">
        <v>86</v>
      </c>
    </row>
    <row r="5" spans="1:12">
      <c r="A5" s="13"/>
      <c r="B5" s="13"/>
      <c r="C5" s="13"/>
      <c r="D5" s="17"/>
      <c r="E5" s="18"/>
      <c r="F5" s="17"/>
      <c r="G5" s="18"/>
      <c r="H5" s="13"/>
      <c r="I5" s="19">
        <f>IF($E5="","",IF($K5&lt;=0.005,"Pago",IF($D5="","Sem vencimento",IF($D5&lt;Hoje,"Vencida",IF($D5=Hoje,"Vence hoje",IF($D5-Hoje&lt;=DiasAlerta,"Vence em breve","A vencer"))))))</f>
        <v>0</v>
      </c>
      <c r="J5" s="20">
        <f>IF(OR($E5="",$D5=""),"",IF($K5&lt;=0.005,"",$D5-Hoje))</f>
        <v>0</v>
      </c>
      <c r="K5" s="21">
        <f>IF($E5="","",MAX(0,$E5-N($G5)))</f>
        <v>0</v>
      </c>
      <c r="L5" s="20">
        <f>IF($I5="Vencida","PAGAR JÁ (multa e juros)",IF($I5="Vence hoje","Pagar hoje",IF($I5="Vence em breve","Programar pagamento","")))</f>
        <v>0</v>
      </c>
    </row>
    <row r="6" spans="1:12">
      <c r="A6" s="13"/>
      <c r="B6" s="13"/>
      <c r="C6" s="13"/>
      <c r="D6" s="17"/>
      <c r="E6" s="18"/>
      <c r="F6" s="17"/>
      <c r="G6" s="18"/>
      <c r="H6" s="13"/>
      <c r="I6" s="19">
        <f>IF($E6="","",IF($K6&lt;=0.005,"Pago",IF($D6="","Sem vencimento",IF($D6&lt;Hoje,"Vencida",IF($D6=Hoje,"Vence hoje",IF($D6-Hoje&lt;=DiasAlerta,"Vence em breve","A vencer"))))))</f>
        <v>0</v>
      </c>
      <c r="J6" s="20">
        <f>IF(OR($E6="",$D6=""),"",IF($K6&lt;=0.005,"",$D6-Hoje))</f>
        <v>0</v>
      </c>
      <c r="K6" s="21">
        <f>IF($E6="","",MAX(0,$E6-N($G6)))</f>
        <v>0</v>
      </c>
      <c r="L6" s="20">
        <f>IF($I6="Vencida","PAGAR JÁ (multa e juros)",IF($I6="Vence hoje","Pagar hoje",IF($I6="Vence em breve","Programar pagamento","")))</f>
        <v>0</v>
      </c>
    </row>
    <row r="7" spans="1:12">
      <c r="A7" s="13"/>
      <c r="B7" s="13"/>
      <c r="C7" s="13"/>
      <c r="D7" s="17"/>
      <c r="E7" s="18"/>
      <c r="F7" s="17"/>
      <c r="G7" s="18"/>
      <c r="H7" s="13"/>
      <c r="I7" s="19">
        <f>IF($E7="","",IF($K7&lt;=0.005,"Pago",IF($D7="","Sem vencimento",IF($D7&lt;Hoje,"Vencida",IF($D7=Hoje,"Vence hoje",IF($D7-Hoje&lt;=DiasAlerta,"Vence em breve","A vencer"))))))</f>
        <v>0</v>
      </c>
      <c r="J7" s="20">
        <f>IF(OR($E7="",$D7=""),"",IF($K7&lt;=0.005,"",$D7-Hoje))</f>
        <v>0</v>
      </c>
      <c r="K7" s="21">
        <f>IF($E7="","",MAX(0,$E7-N($G7)))</f>
        <v>0</v>
      </c>
      <c r="L7" s="20">
        <f>IF($I7="Vencida","PAGAR JÁ (multa e juros)",IF($I7="Vence hoje","Pagar hoje",IF($I7="Vence em breve","Programar pagamento","")))</f>
        <v>0</v>
      </c>
    </row>
    <row r="8" spans="1:12">
      <c r="A8" s="13"/>
      <c r="B8" s="13"/>
      <c r="C8" s="13"/>
      <c r="D8" s="17"/>
      <c r="E8" s="18"/>
      <c r="F8" s="17"/>
      <c r="G8" s="18"/>
      <c r="H8" s="13"/>
      <c r="I8" s="19">
        <f>IF($E8="","",IF($K8&lt;=0.005,"Pago",IF($D8="","Sem vencimento",IF($D8&lt;Hoje,"Vencida",IF($D8=Hoje,"Vence hoje",IF($D8-Hoje&lt;=DiasAlerta,"Vence em breve","A vencer"))))))</f>
        <v>0</v>
      </c>
      <c r="J8" s="20">
        <f>IF(OR($E8="",$D8=""),"",IF($K8&lt;=0.005,"",$D8-Hoje))</f>
        <v>0</v>
      </c>
      <c r="K8" s="21">
        <f>IF($E8="","",MAX(0,$E8-N($G8)))</f>
        <v>0</v>
      </c>
      <c r="L8" s="20">
        <f>IF($I8="Vencida","PAGAR JÁ (multa e juros)",IF($I8="Vence hoje","Pagar hoje",IF($I8="Vence em breve","Programar pagamento","")))</f>
        <v>0</v>
      </c>
    </row>
    <row r="9" spans="1:12">
      <c r="A9" s="13"/>
      <c r="B9" s="13"/>
      <c r="C9" s="13"/>
      <c r="D9" s="17"/>
      <c r="E9" s="18"/>
      <c r="F9" s="17"/>
      <c r="G9" s="18"/>
      <c r="H9" s="13"/>
      <c r="I9" s="19">
        <f>IF($E9="","",IF($K9&lt;=0.005,"Pago",IF($D9="","Sem vencimento",IF($D9&lt;Hoje,"Vencida",IF($D9=Hoje,"Vence hoje",IF($D9-Hoje&lt;=DiasAlerta,"Vence em breve","A vencer"))))))</f>
        <v>0</v>
      </c>
      <c r="J9" s="20">
        <f>IF(OR($E9="",$D9=""),"",IF($K9&lt;=0.005,"",$D9-Hoje))</f>
        <v>0</v>
      </c>
      <c r="K9" s="21">
        <f>IF($E9="","",MAX(0,$E9-N($G9)))</f>
        <v>0</v>
      </c>
      <c r="L9" s="20">
        <f>IF($I9="Vencida","PAGAR JÁ (multa e juros)",IF($I9="Vence hoje","Pagar hoje",IF($I9="Vence em breve","Programar pagamento","")))</f>
        <v>0</v>
      </c>
    </row>
    <row r="10" spans="1:12">
      <c r="A10" s="13"/>
      <c r="B10" s="13"/>
      <c r="C10" s="13"/>
      <c r="D10" s="17"/>
      <c r="E10" s="18"/>
      <c r="F10" s="17"/>
      <c r="G10" s="18"/>
      <c r="H10" s="13"/>
      <c r="I10" s="19">
        <f>IF($E10="","",IF($K10&lt;=0.005,"Pago",IF($D10="","Sem vencimento",IF($D10&lt;Hoje,"Vencida",IF($D10=Hoje,"Vence hoje",IF($D10-Hoje&lt;=DiasAlerta,"Vence em breve","A vencer"))))))</f>
        <v>0</v>
      </c>
      <c r="J10" s="20">
        <f>IF(OR($E10="",$D10=""),"",IF($K10&lt;=0.005,"",$D10-Hoje))</f>
        <v>0</v>
      </c>
      <c r="K10" s="21">
        <f>IF($E10="","",MAX(0,$E10-N($G10)))</f>
        <v>0</v>
      </c>
      <c r="L10" s="20">
        <f>IF($I10="Vencida","PAGAR JÁ (multa e juros)",IF($I10="Vence hoje","Pagar hoje",IF($I10="Vence em breve","Programar pagamento","")))</f>
        <v>0</v>
      </c>
    </row>
    <row r="11" spans="1:12">
      <c r="A11" s="13"/>
      <c r="B11" s="13"/>
      <c r="C11" s="13"/>
      <c r="D11" s="17"/>
      <c r="E11" s="18"/>
      <c r="F11" s="17"/>
      <c r="G11" s="18"/>
      <c r="H11" s="13"/>
      <c r="I11" s="19">
        <f>IF($E11="","",IF($K11&lt;=0.005,"Pago",IF($D11="","Sem vencimento",IF($D11&lt;Hoje,"Vencida",IF($D11=Hoje,"Vence hoje",IF($D11-Hoje&lt;=DiasAlerta,"Vence em breve","A vencer"))))))</f>
        <v>0</v>
      </c>
      <c r="J11" s="20">
        <f>IF(OR($E11="",$D11=""),"",IF($K11&lt;=0.005,"",$D11-Hoje))</f>
        <v>0</v>
      </c>
      <c r="K11" s="21">
        <f>IF($E11="","",MAX(0,$E11-N($G11)))</f>
        <v>0</v>
      </c>
      <c r="L11" s="20">
        <f>IF($I11="Vencida","PAGAR JÁ (multa e juros)",IF($I11="Vence hoje","Pagar hoje",IF($I11="Vence em breve","Programar pagamento","")))</f>
        <v>0</v>
      </c>
    </row>
    <row r="12" spans="1:12">
      <c r="A12" s="13"/>
      <c r="B12" s="13"/>
      <c r="C12" s="13"/>
      <c r="D12" s="17"/>
      <c r="E12" s="18"/>
      <c r="F12" s="17"/>
      <c r="G12" s="18"/>
      <c r="H12" s="13"/>
      <c r="I12" s="19">
        <f>IF($E12="","",IF($K12&lt;=0.005,"Pago",IF($D12="","Sem vencimento",IF($D12&lt;Hoje,"Vencida",IF($D12=Hoje,"Vence hoje",IF($D12-Hoje&lt;=DiasAlerta,"Vence em breve","A vencer"))))))</f>
        <v>0</v>
      </c>
      <c r="J12" s="20">
        <f>IF(OR($E12="",$D12=""),"",IF($K12&lt;=0.005,"",$D12-Hoje))</f>
        <v>0</v>
      </c>
      <c r="K12" s="21">
        <f>IF($E12="","",MAX(0,$E12-N($G12)))</f>
        <v>0</v>
      </c>
      <c r="L12" s="20">
        <f>IF($I12="Vencida","PAGAR JÁ (multa e juros)",IF($I12="Vence hoje","Pagar hoje",IF($I12="Vence em breve","Programar pagamento","")))</f>
        <v>0</v>
      </c>
    </row>
    <row r="13" spans="1:12">
      <c r="A13" s="13"/>
      <c r="B13" s="13"/>
      <c r="C13" s="13"/>
      <c r="D13" s="17"/>
      <c r="E13" s="18"/>
      <c r="F13" s="17"/>
      <c r="G13" s="18"/>
      <c r="H13" s="13"/>
      <c r="I13" s="19">
        <f>IF($E13="","",IF($K13&lt;=0.005,"Pago",IF($D13="","Sem vencimento",IF($D13&lt;Hoje,"Vencida",IF($D13=Hoje,"Vence hoje",IF($D13-Hoje&lt;=DiasAlerta,"Vence em breve","A vencer"))))))</f>
        <v>0</v>
      </c>
      <c r="J13" s="20">
        <f>IF(OR($E13="",$D13=""),"",IF($K13&lt;=0.005,"",$D13-Hoje))</f>
        <v>0</v>
      </c>
      <c r="K13" s="21">
        <f>IF($E13="","",MAX(0,$E13-N($G13)))</f>
        <v>0</v>
      </c>
      <c r="L13" s="20">
        <f>IF($I13="Vencida","PAGAR JÁ (multa e juros)",IF($I13="Vence hoje","Pagar hoje",IF($I13="Vence em breve","Programar pagamento","")))</f>
        <v>0</v>
      </c>
    </row>
    <row r="14" spans="1:12">
      <c r="A14" s="13"/>
      <c r="B14" s="13"/>
      <c r="C14" s="13"/>
      <c r="D14" s="17"/>
      <c r="E14" s="18"/>
      <c r="F14" s="17"/>
      <c r="G14" s="18"/>
      <c r="H14" s="13"/>
      <c r="I14" s="19">
        <f>IF($E14="","",IF($K14&lt;=0.005,"Pago",IF($D14="","Sem vencimento",IF($D14&lt;Hoje,"Vencida",IF($D14=Hoje,"Vence hoje",IF($D14-Hoje&lt;=DiasAlerta,"Vence em breve","A vencer"))))))</f>
        <v>0</v>
      </c>
      <c r="J14" s="20">
        <f>IF(OR($E14="",$D14=""),"",IF($K14&lt;=0.005,"",$D14-Hoje))</f>
        <v>0</v>
      </c>
      <c r="K14" s="21">
        <f>IF($E14="","",MAX(0,$E14-N($G14)))</f>
        <v>0</v>
      </c>
      <c r="L14" s="20">
        <f>IF($I14="Vencida","PAGAR JÁ (multa e juros)",IF($I14="Vence hoje","Pagar hoje",IF($I14="Vence em breve","Programar pagamento","")))</f>
        <v>0</v>
      </c>
    </row>
    <row r="15" spans="1:12">
      <c r="A15" s="13"/>
      <c r="B15" s="13"/>
      <c r="C15" s="13"/>
      <c r="D15" s="17"/>
      <c r="E15" s="18"/>
      <c r="F15" s="17"/>
      <c r="G15" s="18"/>
      <c r="H15" s="13"/>
      <c r="I15" s="19">
        <f>IF($E15="","",IF($K15&lt;=0.005,"Pago",IF($D15="","Sem vencimento",IF($D15&lt;Hoje,"Vencida",IF($D15=Hoje,"Vence hoje",IF($D15-Hoje&lt;=DiasAlerta,"Vence em breve","A vencer"))))))</f>
        <v>0</v>
      </c>
      <c r="J15" s="20">
        <f>IF(OR($E15="",$D15=""),"",IF($K15&lt;=0.005,"",$D15-Hoje))</f>
        <v>0</v>
      </c>
      <c r="K15" s="21">
        <f>IF($E15="","",MAX(0,$E15-N($G15)))</f>
        <v>0</v>
      </c>
      <c r="L15" s="20">
        <f>IF($I15="Vencida","PAGAR JÁ (multa e juros)",IF($I15="Vence hoje","Pagar hoje",IF($I15="Vence em breve","Programar pagamento","")))</f>
        <v>0</v>
      </c>
    </row>
    <row r="16" spans="1:12">
      <c r="A16" s="13"/>
      <c r="B16" s="13"/>
      <c r="C16" s="13"/>
      <c r="D16" s="17"/>
      <c r="E16" s="18"/>
      <c r="F16" s="17"/>
      <c r="G16" s="18"/>
      <c r="H16" s="13"/>
      <c r="I16" s="19">
        <f>IF($E16="","",IF($K16&lt;=0.005,"Pago",IF($D16="","Sem vencimento",IF($D16&lt;Hoje,"Vencida",IF($D16=Hoje,"Vence hoje",IF($D16-Hoje&lt;=DiasAlerta,"Vence em breve","A vencer"))))))</f>
        <v>0</v>
      </c>
      <c r="J16" s="20">
        <f>IF(OR($E16="",$D16=""),"",IF($K16&lt;=0.005,"",$D16-Hoje))</f>
        <v>0</v>
      </c>
      <c r="K16" s="21">
        <f>IF($E16="","",MAX(0,$E16-N($G16)))</f>
        <v>0</v>
      </c>
      <c r="L16" s="20">
        <f>IF($I16="Vencida","PAGAR JÁ (multa e juros)",IF($I16="Vence hoje","Pagar hoje",IF($I16="Vence em breve","Programar pagamento","")))</f>
        <v>0</v>
      </c>
    </row>
    <row r="17" spans="1:12">
      <c r="A17" s="13"/>
      <c r="B17" s="13"/>
      <c r="C17" s="13"/>
      <c r="D17" s="17"/>
      <c r="E17" s="18"/>
      <c r="F17" s="17"/>
      <c r="G17" s="18"/>
      <c r="H17" s="13"/>
      <c r="I17" s="19">
        <f>IF($E17="","",IF($K17&lt;=0.005,"Pago",IF($D17="","Sem vencimento",IF($D17&lt;Hoje,"Vencida",IF($D17=Hoje,"Vence hoje",IF($D17-Hoje&lt;=DiasAlerta,"Vence em breve","A vencer"))))))</f>
        <v>0</v>
      </c>
      <c r="J17" s="20">
        <f>IF(OR($E17="",$D17=""),"",IF($K17&lt;=0.005,"",$D17-Hoje))</f>
        <v>0</v>
      </c>
      <c r="K17" s="21">
        <f>IF($E17="","",MAX(0,$E17-N($G17)))</f>
        <v>0</v>
      </c>
      <c r="L17" s="20">
        <f>IF($I17="Vencida","PAGAR JÁ (multa e juros)",IF($I17="Vence hoje","Pagar hoje",IF($I17="Vence em breve","Programar pagamento","")))</f>
        <v>0</v>
      </c>
    </row>
    <row r="18" spans="1:12">
      <c r="A18" s="13"/>
      <c r="B18" s="13"/>
      <c r="C18" s="13"/>
      <c r="D18" s="17"/>
      <c r="E18" s="18"/>
      <c r="F18" s="17"/>
      <c r="G18" s="18"/>
      <c r="H18" s="13"/>
      <c r="I18" s="19">
        <f>IF($E18="","",IF($K18&lt;=0.005,"Pago",IF($D18="","Sem vencimento",IF($D18&lt;Hoje,"Vencida",IF($D18=Hoje,"Vence hoje",IF($D18-Hoje&lt;=DiasAlerta,"Vence em breve","A vencer"))))))</f>
        <v>0</v>
      </c>
      <c r="J18" s="20">
        <f>IF(OR($E18="",$D18=""),"",IF($K18&lt;=0.005,"",$D18-Hoje))</f>
        <v>0</v>
      </c>
      <c r="K18" s="21">
        <f>IF($E18="","",MAX(0,$E18-N($G18)))</f>
        <v>0</v>
      </c>
      <c r="L18" s="20">
        <f>IF($I18="Vencida","PAGAR JÁ (multa e juros)",IF($I18="Vence hoje","Pagar hoje",IF($I18="Vence em breve","Programar pagamento","")))</f>
        <v>0</v>
      </c>
    </row>
    <row r="19" spans="1:12">
      <c r="A19" s="13"/>
      <c r="B19" s="13"/>
      <c r="C19" s="13"/>
      <c r="D19" s="17"/>
      <c r="E19" s="18"/>
      <c r="F19" s="17"/>
      <c r="G19" s="18"/>
      <c r="H19" s="13"/>
      <c r="I19" s="19">
        <f>IF($E19="","",IF($K19&lt;=0.005,"Pago",IF($D19="","Sem vencimento",IF($D19&lt;Hoje,"Vencida",IF($D19=Hoje,"Vence hoje",IF($D19-Hoje&lt;=DiasAlerta,"Vence em breve","A vencer"))))))</f>
        <v>0</v>
      </c>
      <c r="J19" s="20">
        <f>IF(OR($E19="",$D19=""),"",IF($K19&lt;=0.005,"",$D19-Hoje))</f>
        <v>0</v>
      </c>
      <c r="K19" s="21">
        <f>IF($E19="","",MAX(0,$E19-N($G19)))</f>
        <v>0</v>
      </c>
      <c r="L19" s="20">
        <f>IF($I19="Vencida","PAGAR JÁ (multa e juros)",IF($I19="Vence hoje","Pagar hoje",IF($I19="Vence em breve","Programar pagamento","")))</f>
        <v>0</v>
      </c>
    </row>
    <row r="20" spans="1:12">
      <c r="A20" s="13"/>
      <c r="B20" s="13"/>
      <c r="C20" s="13"/>
      <c r="D20" s="17"/>
      <c r="E20" s="18"/>
      <c r="F20" s="17"/>
      <c r="G20" s="18"/>
      <c r="H20" s="13"/>
      <c r="I20" s="19">
        <f>IF($E20="","",IF($K20&lt;=0.005,"Pago",IF($D20="","Sem vencimento",IF($D20&lt;Hoje,"Vencida",IF($D20=Hoje,"Vence hoje",IF($D20-Hoje&lt;=DiasAlerta,"Vence em breve","A vencer"))))))</f>
        <v>0</v>
      </c>
      <c r="J20" s="20">
        <f>IF(OR($E20="",$D20=""),"",IF($K20&lt;=0.005,"",$D20-Hoje))</f>
        <v>0</v>
      </c>
      <c r="K20" s="21">
        <f>IF($E20="","",MAX(0,$E20-N($G20)))</f>
        <v>0</v>
      </c>
      <c r="L20" s="20">
        <f>IF($I20="Vencida","PAGAR JÁ (multa e juros)",IF($I20="Vence hoje","Pagar hoje",IF($I20="Vence em breve","Programar pagamento","")))</f>
        <v>0</v>
      </c>
    </row>
    <row r="21" spans="1:12">
      <c r="A21" s="13"/>
      <c r="B21" s="13"/>
      <c r="C21" s="13"/>
      <c r="D21" s="17"/>
      <c r="E21" s="18"/>
      <c r="F21" s="17"/>
      <c r="G21" s="18"/>
      <c r="H21" s="13"/>
      <c r="I21" s="19">
        <f>IF($E21="","",IF($K21&lt;=0.005,"Pago",IF($D21="","Sem vencimento",IF($D21&lt;Hoje,"Vencida",IF($D21=Hoje,"Vence hoje",IF($D21-Hoje&lt;=DiasAlerta,"Vence em breve","A vencer"))))))</f>
        <v>0</v>
      </c>
      <c r="J21" s="20">
        <f>IF(OR($E21="",$D21=""),"",IF($K21&lt;=0.005,"",$D21-Hoje))</f>
        <v>0</v>
      </c>
      <c r="K21" s="21">
        <f>IF($E21="","",MAX(0,$E21-N($G21)))</f>
        <v>0</v>
      </c>
      <c r="L21" s="20">
        <f>IF($I21="Vencida","PAGAR JÁ (multa e juros)",IF($I21="Vence hoje","Pagar hoje",IF($I21="Vence em breve","Programar pagamento","")))</f>
        <v>0</v>
      </c>
    </row>
    <row r="22" spans="1:12">
      <c r="A22" s="13"/>
      <c r="B22" s="13"/>
      <c r="C22" s="13"/>
      <c r="D22" s="17"/>
      <c r="E22" s="18"/>
      <c r="F22" s="17"/>
      <c r="G22" s="18"/>
      <c r="H22" s="13"/>
      <c r="I22" s="19">
        <f>IF($E22="","",IF($K22&lt;=0.005,"Pago",IF($D22="","Sem vencimento",IF($D22&lt;Hoje,"Vencida",IF($D22=Hoje,"Vence hoje",IF($D22-Hoje&lt;=DiasAlerta,"Vence em breve","A vencer"))))))</f>
        <v>0</v>
      </c>
      <c r="J22" s="20">
        <f>IF(OR($E22="",$D22=""),"",IF($K22&lt;=0.005,"",$D22-Hoje))</f>
        <v>0</v>
      </c>
      <c r="K22" s="21">
        <f>IF($E22="","",MAX(0,$E22-N($G22)))</f>
        <v>0</v>
      </c>
      <c r="L22" s="20">
        <f>IF($I22="Vencida","PAGAR JÁ (multa e juros)",IF($I22="Vence hoje","Pagar hoje",IF($I22="Vence em breve","Programar pagamento","")))</f>
        <v>0</v>
      </c>
    </row>
    <row r="23" spans="1:12">
      <c r="A23" s="13"/>
      <c r="B23" s="13"/>
      <c r="C23" s="13"/>
      <c r="D23" s="17"/>
      <c r="E23" s="18"/>
      <c r="F23" s="17"/>
      <c r="G23" s="18"/>
      <c r="H23" s="13"/>
      <c r="I23" s="19">
        <f>IF($E23="","",IF($K23&lt;=0.005,"Pago",IF($D23="","Sem vencimento",IF($D23&lt;Hoje,"Vencida",IF($D23=Hoje,"Vence hoje",IF($D23-Hoje&lt;=DiasAlerta,"Vence em breve","A vencer"))))))</f>
        <v>0</v>
      </c>
      <c r="J23" s="20">
        <f>IF(OR($E23="",$D23=""),"",IF($K23&lt;=0.005,"",$D23-Hoje))</f>
        <v>0</v>
      </c>
      <c r="K23" s="21">
        <f>IF($E23="","",MAX(0,$E23-N($G23)))</f>
        <v>0</v>
      </c>
      <c r="L23" s="20">
        <f>IF($I23="Vencida","PAGAR JÁ (multa e juros)",IF($I23="Vence hoje","Pagar hoje",IF($I23="Vence em breve","Programar pagamento","")))</f>
        <v>0</v>
      </c>
    </row>
    <row r="24" spans="1:12">
      <c r="A24" s="13"/>
      <c r="B24" s="13"/>
      <c r="C24" s="13"/>
      <c r="D24" s="17"/>
      <c r="E24" s="18"/>
      <c r="F24" s="17"/>
      <c r="G24" s="18"/>
      <c r="H24" s="13"/>
      <c r="I24" s="19">
        <f>IF($E24="","",IF($K24&lt;=0.005,"Pago",IF($D24="","Sem vencimento",IF($D24&lt;Hoje,"Vencida",IF($D24=Hoje,"Vence hoje",IF($D24-Hoje&lt;=DiasAlerta,"Vence em breve","A vencer"))))))</f>
        <v>0</v>
      </c>
      <c r="J24" s="20">
        <f>IF(OR($E24="",$D24=""),"",IF($K24&lt;=0.005,"",$D24-Hoje))</f>
        <v>0</v>
      </c>
      <c r="K24" s="21">
        <f>IF($E24="","",MAX(0,$E24-N($G24)))</f>
        <v>0</v>
      </c>
      <c r="L24" s="20">
        <f>IF($I24="Vencida","PAGAR JÁ (multa e juros)",IF($I24="Vence hoje","Pagar hoje",IF($I24="Vence em breve","Programar pagamento","")))</f>
        <v>0</v>
      </c>
    </row>
    <row r="25" spans="1:12">
      <c r="A25" s="13"/>
      <c r="B25" s="13"/>
      <c r="C25" s="13"/>
      <c r="D25" s="17"/>
      <c r="E25" s="18"/>
      <c r="F25" s="17"/>
      <c r="G25" s="18"/>
      <c r="H25" s="13"/>
      <c r="I25" s="19">
        <f>IF($E25="","",IF($K25&lt;=0.005,"Pago",IF($D25="","Sem vencimento",IF($D25&lt;Hoje,"Vencida",IF($D25=Hoje,"Vence hoje",IF($D25-Hoje&lt;=DiasAlerta,"Vence em breve","A vencer"))))))</f>
        <v>0</v>
      </c>
      <c r="J25" s="20">
        <f>IF(OR($E25="",$D25=""),"",IF($K25&lt;=0.005,"",$D25-Hoje))</f>
        <v>0</v>
      </c>
      <c r="K25" s="21">
        <f>IF($E25="","",MAX(0,$E25-N($G25)))</f>
        <v>0</v>
      </c>
      <c r="L25" s="20">
        <f>IF($I25="Vencida","PAGAR JÁ (multa e juros)",IF($I25="Vence hoje","Pagar hoje",IF($I25="Vence em breve","Programar pagamento","")))</f>
        <v>0</v>
      </c>
    </row>
    <row r="26" spans="1:12">
      <c r="A26" s="13"/>
      <c r="B26" s="13"/>
      <c r="C26" s="13"/>
      <c r="D26" s="17"/>
      <c r="E26" s="18"/>
      <c r="F26" s="17"/>
      <c r="G26" s="18"/>
      <c r="H26" s="13"/>
      <c r="I26" s="19">
        <f>IF($E26="","",IF($K26&lt;=0.005,"Pago",IF($D26="","Sem vencimento",IF($D26&lt;Hoje,"Vencida",IF($D26=Hoje,"Vence hoje",IF($D26-Hoje&lt;=DiasAlerta,"Vence em breve","A vencer"))))))</f>
        <v>0</v>
      </c>
      <c r="J26" s="20">
        <f>IF(OR($E26="",$D26=""),"",IF($K26&lt;=0.005,"",$D26-Hoje))</f>
        <v>0</v>
      </c>
      <c r="K26" s="21">
        <f>IF($E26="","",MAX(0,$E26-N($G26)))</f>
        <v>0</v>
      </c>
      <c r="L26" s="20">
        <f>IF($I26="Vencida","PAGAR JÁ (multa e juros)",IF($I26="Vence hoje","Pagar hoje",IF($I26="Vence em breve","Programar pagamento","")))</f>
        <v>0</v>
      </c>
    </row>
    <row r="27" spans="1:12">
      <c r="A27" s="13"/>
      <c r="B27" s="13"/>
      <c r="C27" s="13"/>
      <c r="D27" s="17"/>
      <c r="E27" s="18"/>
      <c r="F27" s="17"/>
      <c r="G27" s="18"/>
      <c r="H27" s="13"/>
      <c r="I27" s="19">
        <f>IF($E27="","",IF($K27&lt;=0.005,"Pago",IF($D27="","Sem vencimento",IF($D27&lt;Hoje,"Vencida",IF($D27=Hoje,"Vence hoje",IF($D27-Hoje&lt;=DiasAlerta,"Vence em breve","A vencer"))))))</f>
        <v>0</v>
      </c>
      <c r="J27" s="20">
        <f>IF(OR($E27="",$D27=""),"",IF($K27&lt;=0.005,"",$D27-Hoje))</f>
        <v>0</v>
      </c>
      <c r="K27" s="21">
        <f>IF($E27="","",MAX(0,$E27-N($G27)))</f>
        <v>0</v>
      </c>
      <c r="L27" s="20">
        <f>IF($I27="Vencida","PAGAR JÁ (multa e juros)",IF($I27="Vence hoje","Pagar hoje",IF($I27="Vence em breve","Programar pagamento","")))</f>
        <v>0</v>
      </c>
    </row>
    <row r="28" spans="1:12">
      <c r="A28" s="13"/>
      <c r="B28" s="13"/>
      <c r="C28" s="13"/>
      <c r="D28" s="17"/>
      <c r="E28" s="18"/>
      <c r="F28" s="17"/>
      <c r="G28" s="18"/>
      <c r="H28" s="13"/>
      <c r="I28" s="19">
        <f>IF($E28="","",IF($K28&lt;=0.005,"Pago",IF($D28="","Sem vencimento",IF($D28&lt;Hoje,"Vencida",IF($D28=Hoje,"Vence hoje",IF($D28-Hoje&lt;=DiasAlerta,"Vence em breve","A vencer"))))))</f>
        <v>0</v>
      </c>
      <c r="J28" s="20">
        <f>IF(OR($E28="",$D28=""),"",IF($K28&lt;=0.005,"",$D28-Hoje))</f>
        <v>0</v>
      </c>
      <c r="K28" s="21">
        <f>IF($E28="","",MAX(0,$E28-N($G28)))</f>
        <v>0</v>
      </c>
      <c r="L28" s="20">
        <f>IF($I28="Vencida","PAGAR JÁ (multa e juros)",IF($I28="Vence hoje","Pagar hoje",IF($I28="Vence em breve","Programar pagamento","")))</f>
        <v>0</v>
      </c>
    </row>
    <row r="29" spans="1:12">
      <c r="A29" s="13"/>
      <c r="B29" s="13"/>
      <c r="C29" s="13"/>
      <c r="D29" s="17"/>
      <c r="E29" s="18"/>
      <c r="F29" s="17"/>
      <c r="G29" s="18"/>
      <c r="H29" s="13"/>
      <c r="I29" s="19">
        <f>IF($E29="","",IF($K29&lt;=0.005,"Pago",IF($D29="","Sem vencimento",IF($D29&lt;Hoje,"Vencida",IF($D29=Hoje,"Vence hoje",IF($D29-Hoje&lt;=DiasAlerta,"Vence em breve","A vencer"))))))</f>
        <v>0</v>
      </c>
      <c r="J29" s="20">
        <f>IF(OR($E29="",$D29=""),"",IF($K29&lt;=0.005,"",$D29-Hoje))</f>
        <v>0</v>
      </c>
      <c r="K29" s="21">
        <f>IF($E29="","",MAX(0,$E29-N($G29)))</f>
        <v>0</v>
      </c>
      <c r="L29" s="20">
        <f>IF($I29="Vencida","PAGAR JÁ (multa e juros)",IF($I29="Vence hoje","Pagar hoje",IF($I29="Vence em breve","Programar pagamento","")))</f>
        <v>0</v>
      </c>
    </row>
    <row r="30" spans="1:12">
      <c r="A30" s="13"/>
      <c r="B30" s="13"/>
      <c r="C30" s="13"/>
      <c r="D30" s="17"/>
      <c r="E30" s="18"/>
      <c r="F30" s="17"/>
      <c r="G30" s="18"/>
      <c r="H30" s="13"/>
      <c r="I30" s="19">
        <f>IF($E30="","",IF($K30&lt;=0.005,"Pago",IF($D30="","Sem vencimento",IF($D30&lt;Hoje,"Vencida",IF($D30=Hoje,"Vence hoje",IF($D30-Hoje&lt;=DiasAlerta,"Vence em breve","A vencer"))))))</f>
        <v>0</v>
      </c>
      <c r="J30" s="20">
        <f>IF(OR($E30="",$D30=""),"",IF($K30&lt;=0.005,"",$D30-Hoje))</f>
        <v>0</v>
      </c>
      <c r="K30" s="21">
        <f>IF($E30="","",MAX(0,$E30-N($G30)))</f>
        <v>0</v>
      </c>
      <c r="L30" s="20">
        <f>IF($I30="Vencida","PAGAR JÁ (multa e juros)",IF($I30="Vence hoje","Pagar hoje",IF($I30="Vence em breve","Programar pagamento","")))</f>
        <v>0</v>
      </c>
    </row>
    <row r="31" spans="1:12">
      <c r="A31" s="13"/>
      <c r="B31" s="13"/>
      <c r="C31" s="13"/>
      <c r="D31" s="17"/>
      <c r="E31" s="18"/>
      <c r="F31" s="17"/>
      <c r="G31" s="18"/>
      <c r="H31" s="13"/>
      <c r="I31" s="19">
        <f>IF($E31="","",IF($K31&lt;=0.005,"Pago",IF($D31="","Sem vencimento",IF($D31&lt;Hoje,"Vencida",IF($D31=Hoje,"Vence hoje",IF($D31-Hoje&lt;=DiasAlerta,"Vence em breve","A vencer"))))))</f>
        <v>0</v>
      </c>
      <c r="J31" s="20">
        <f>IF(OR($E31="",$D31=""),"",IF($K31&lt;=0.005,"",$D31-Hoje))</f>
        <v>0</v>
      </c>
      <c r="K31" s="21">
        <f>IF($E31="","",MAX(0,$E31-N($G31)))</f>
        <v>0</v>
      </c>
      <c r="L31" s="20">
        <f>IF($I31="Vencida","PAGAR JÁ (multa e juros)",IF($I31="Vence hoje","Pagar hoje",IF($I31="Vence em breve","Programar pagamento","")))</f>
        <v>0</v>
      </c>
    </row>
    <row r="32" spans="1:12">
      <c r="A32" s="13"/>
      <c r="B32" s="13"/>
      <c r="C32" s="13"/>
      <c r="D32" s="17"/>
      <c r="E32" s="18"/>
      <c r="F32" s="17"/>
      <c r="G32" s="18"/>
      <c r="H32" s="13"/>
      <c r="I32" s="19">
        <f>IF($E32="","",IF($K32&lt;=0.005,"Pago",IF($D32="","Sem vencimento",IF($D32&lt;Hoje,"Vencida",IF($D32=Hoje,"Vence hoje",IF($D32-Hoje&lt;=DiasAlerta,"Vence em breve","A vencer"))))))</f>
        <v>0</v>
      </c>
      <c r="J32" s="20">
        <f>IF(OR($E32="",$D32=""),"",IF($K32&lt;=0.005,"",$D32-Hoje))</f>
        <v>0</v>
      </c>
      <c r="K32" s="21">
        <f>IF($E32="","",MAX(0,$E32-N($G32)))</f>
        <v>0</v>
      </c>
      <c r="L32" s="20">
        <f>IF($I32="Vencida","PAGAR JÁ (multa e juros)",IF($I32="Vence hoje","Pagar hoje",IF($I32="Vence em breve","Programar pagamento","")))</f>
        <v>0</v>
      </c>
    </row>
    <row r="33" spans="1:12">
      <c r="A33" s="13"/>
      <c r="B33" s="13"/>
      <c r="C33" s="13"/>
      <c r="D33" s="17"/>
      <c r="E33" s="18"/>
      <c r="F33" s="17"/>
      <c r="G33" s="18"/>
      <c r="H33" s="13"/>
      <c r="I33" s="19">
        <f>IF($E33="","",IF($K33&lt;=0.005,"Pago",IF($D33="","Sem vencimento",IF($D33&lt;Hoje,"Vencida",IF($D33=Hoje,"Vence hoje",IF($D33-Hoje&lt;=DiasAlerta,"Vence em breve","A vencer"))))))</f>
        <v>0</v>
      </c>
      <c r="J33" s="20">
        <f>IF(OR($E33="",$D33=""),"",IF($K33&lt;=0.005,"",$D33-Hoje))</f>
        <v>0</v>
      </c>
      <c r="K33" s="21">
        <f>IF($E33="","",MAX(0,$E33-N($G33)))</f>
        <v>0</v>
      </c>
      <c r="L33" s="20">
        <f>IF($I33="Vencida","PAGAR JÁ (multa e juros)",IF($I33="Vence hoje","Pagar hoje",IF($I33="Vence em breve","Programar pagamento","")))</f>
        <v>0</v>
      </c>
    </row>
    <row r="34" spans="1:12">
      <c r="A34" s="13"/>
      <c r="B34" s="13"/>
      <c r="C34" s="13"/>
      <c r="D34" s="17"/>
      <c r="E34" s="18"/>
      <c r="F34" s="17"/>
      <c r="G34" s="18"/>
      <c r="H34" s="13"/>
      <c r="I34" s="19">
        <f>IF($E34="","",IF($K34&lt;=0.005,"Pago",IF($D34="","Sem vencimento",IF($D34&lt;Hoje,"Vencida",IF($D34=Hoje,"Vence hoje",IF($D34-Hoje&lt;=DiasAlerta,"Vence em breve","A vencer"))))))</f>
        <v>0</v>
      </c>
      <c r="J34" s="20">
        <f>IF(OR($E34="",$D34=""),"",IF($K34&lt;=0.005,"",$D34-Hoje))</f>
        <v>0</v>
      </c>
      <c r="K34" s="21">
        <f>IF($E34="","",MAX(0,$E34-N($G34)))</f>
        <v>0</v>
      </c>
      <c r="L34" s="20">
        <f>IF($I34="Vencida","PAGAR JÁ (multa e juros)",IF($I34="Vence hoje","Pagar hoje",IF($I34="Vence em breve","Programar pagamento","")))</f>
        <v>0</v>
      </c>
    </row>
    <row r="35" spans="1:12">
      <c r="A35" s="13"/>
      <c r="B35" s="13"/>
      <c r="C35" s="13"/>
      <c r="D35" s="17"/>
      <c r="E35" s="18"/>
      <c r="F35" s="17"/>
      <c r="G35" s="18"/>
      <c r="H35" s="13"/>
      <c r="I35" s="19">
        <f>IF($E35="","",IF($K35&lt;=0.005,"Pago",IF($D35="","Sem vencimento",IF($D35&lt;Hoje,"Vencida",IF($D35=Hoje,"Vence hoje",IF($D35-Hoje&lt;=DiasAlerta,"Vence em breve","A vencer"))))))</f>
        <v>0</v>
      </c>
      <c r="J35" s="20">
        <f>IF(OR($E35="",$D35=""),"",IF($K35&lt;=0.005,"",$D35-Hoje))</f>
        <v>0</v>
      </c>
      <c r="K35" s="21">
        <f>IF($E35="","",MAX(0,$E35-N($G35)))</f>
        <v>0</v>
      </c>
      <c r="L35" s="20">
        <f>IF($I35="Vencida","PAGAR JÁ (multa e juros)",IF($I35="Vence hoje","Pagar hoje",IF($I35="Vence em breve","Programar pagamento","")))</f>
        <v>0</v>
      </c>
    </row>
    <row r="36" spans="1:12">
      <c r="A36" s="13"/>
      <c r="B36" s="13"/>
      <c r="C36" s="13"/>
      <c r="D36" s="17"/>
      <c r="E36" s="18"/>
      <c r="F36" s="17"/>
      <c r="G36" s="18"/>
      <c r="H36" s="13"/>
      <c r="I36" s="19">
        <f>IF($E36="","",IF($K36&lt;=0.005,"Pago",IF($D36="","Sem vencimento",IF($D36&lt;Hoje,"Vencida",IF($D36=Hoje,"Vence hoje",IF($D36-Hoje&lt;=DiasAlerta,"Vence em breve","A vencer"))))))</f>
        <v>0</v>
      </c>
      <c r="J36" s="20">
        <f>IF(OR($E36="",$D36=""),"",IF($K36&lt;=0.005,"",$D36-Hoje))</f>
        <v>0</v>
      </c>
      <c r="K36" s="21">
        <f>IF($E36="","",MAX(0,$E36-N($G36)))</f>
        <v>0</v>
      </c>
      <c r="L36" s="20">
        <f>IF($I36="Vencida","PAGAR JÁ (multa e juros)",IF($I36="Vence hoje","Pagar hoje",IF($I36="Vence em breve","Programar pagamento","")))</f>
        <v>0</v>
      </c>
    </row>
    <row r="37" spans="1:12">
      <c r="A37" s="13"/>
      <c r="B37" s="13"/>
      <c r="C37" s="13"/>
      <c r="D37" s="17"/>
      <c r="E37" s="18"/>
      <c r="F37" s="17"/>
      <c r="G37" s="18"/>
      <c r="H37" s="13"/>
      <c r="I37" s="19">
        <f>IF($E37="","",IF($K37&lt;=0.005,"Pago",IF($D37="","Sem vencimento",IF($D37&lt;Hoje,"Vencida",IF($D37=Hoje,"Vence hoje",IF($D37-Hoje&lt;=DiasAlerta,"Vence em breve","A vencer"))))))</f>
        <v>0</v>
      </c>
      <c r="J37" s="20">
        <f>IF(OR($E37="",$D37=""),"",IF($K37&lt;=0.005,"",$D37-Hoje))</f>
        <v>0</v>
      </c>
      <c r="K37" s="21">
        <f>IF($E37="","",MAX(0,$E37-N($G37)))</f>
        <v>0</v>
      </c>
      <c r="L37" s="20">
        <f>IF($I37="Vencida","PAGAR JÁ (multa e juros)",IF($I37="Vence hoje","Pagar hoje",IF($I37="Vence em breve","Programar pagamento","")))</f>
        <v>0</v>
      </c>
    </row>
    <row r="38" spans="1:12">
      <c r="A38" s="13"/>
      <c r="B38" s="13"/>
      <c r="C38" s="13"/>
      <c r="D38" s="17"/>
      <c r="E38" s="18"/>
      <c r="F38" s="17"/>
      <c r="G38" s="18"/>
      <c r="H38" s="13"/>
      <c r="I38" s="19">
        <f>IF($E38="","",IF($K38&lt;=0.005,"Pago",IF($D38="","Sem vencimento",IF($D38&lt;Hoje,"Vencida",IF($D38=Hoje,"Vence hoje",IF($D38-Hoje&lt;=DiasAlerta,"Vence em breve","A vencer"))))))</f>
        <v>0</v>
      </c>
      <c r="J38" s="20">
        <f>IF(OR($E38="",$D38=""),"",IF($K38&lt;=0.005,"",$D38-Hoje))</f>
        <v>0</v>
      </c>
      <c r="K38" s="21">
        <f>IF($E38="","",MAX(0,$E38-N($G38)))</f>
        <v>0</v>
      </c>
      <c r="L38" s="20">
        <f>IF($I38="Vencida","PAGAR JÁ (multa e juros)",IF($I38="Vence hoje","Pagar hoje",IF($I38="Vence em breve","Programar pagamento","")))</f>
        <v>0</v>
      </c>
    </row>
    <row r="39" spans="1:12">
      <c r="A39" s="13"/>
      <c r="B39" s="13"/>
      <c r="C39" s="13"/>
      <c r="D39" s="17"/>
      <c r="E39" s="18"/>
      <c r="F39" s="17"/>
      <c r="G39" s="18"/>
      <c r="H39" s="13"/>
      <c r="I39" s="19">
        <f>IF($E39="","",IF($K39&lt;=0.005,"Pago",IF($D39="","Sem vencimento",IF($D39&lt;Hoje,"Vencida",IF($D39=Hoje,"Vence hoje",IF($D39-Hoje&lt;=DiasAlerta,"Vence em breve","A vencer"))))))</f>
        <v>0</v>
      </c>
      <c r="J39" s="20">
        <f>IF(OR($E39="",$D39=""),"",IF($K39&lt;=0.005,"",$D39-Hoje))</f>
        <v>0</v>
      </c>
      <c r="K39" s="21">
        <f>IF($E39="","",MAX(0,$E39-N($G39)))</f>
        <v>0</v>
      </c>
      <c r="L39" s="20">
        <f>IF($I39="Vencida","PAGAR JÁ (multa e juros)",IF($I39="Vence hoje","Pagar hoje",IF($I39="Vence em breve","Programar pagamento","")))</f>
        <v>0</v>
      </c>
    </row>
    <row r="40" spans="1:12">
      <c r="A40" s="13"/>
      <c r="B40" s="13"/>
      <c r="C40" s="13"/>
      <c r="D40" s="17"/>
      <c r="E40" s="18"/>
      <c r="F40" s="17"/>
      <c r="G40" s="18"/>
      <c r="H40" s="13"/>
      <c r="I40" s="19">
        <f>IF($E40="","",IF($K40&lt;=0.005,"Pago",IF($D40="","Sem vencimento",IF($D40&lt;Hoje,"Vencida",IF($D40=Hoje,"Vence hoje",IF($D40-Hoje&lt;=DiasAlerta,"Vence em breve","A vencer"))))))</f>
        <v>0</v>
      </c>
      <c r="J40" s="20">
        <f>IF(OR($E40="",$D40=""),"",IF($K40&lt;=0.005,"",$D40-Hoje))</f>
        <v>0</v>
      </c>
      <c r="K40" s="21">
        <f>IF($E40="","",MAX(0,$E40-N($G40)))</f>
        <v>0</v>
      </c>
      <c r="L40" s="20">
        <f>IF($I40="Vencida","PAGAR JÁ (multa e juros)",IF($I40="Vence hoje","Pagar hoje",IF($I40="Vence em breve","Programar pagamento","")))</f>
        <v>0</v>
      </c>
    </row>
    <row r="41" spans="1:12">
      <c r="A41" s="13"/>
      <c r="B41" s="13"/>
      <c r="C41" s="13"/>
      <c r="D41" s="17"/>
      <c r="E41" s="18"/>
      <c r="F41" s="17"/>
      <c r="G41" s="18"/>
      <c r="H41" s="13"/>
      <c r="I41" s="19">
        <f>IF($E41="","",IF($K41&lt;=0.005,"Pago",IF($D41="","Sem vencimento",IF($D41&lt;Hoje,"Vencida",IF($D41=Hoje,"Vence hoje",IF($D41-Hoje&lt;=DiasAlerta,"Vence em breve","A vencer"))))))</f>
        <v>0</v>
      </c>
      <c r="J41" s="20">
        <f>IF(OR($E41="",$D41=""),"",IF($K41&lt;=0.005,"",$D41-Hoje))</f>
        <v>0</v>
      </c>
      <c r="K41" s="21">
        <f>IF($E41="","",MAX(0,$E41-N($G41)))</f>
        <v>0</v>
      </c>
      <c r="L41" s="20">
        <f>IF($I41="Vencida","PAGAR JÁ (multa e juros)",IF($I41="Vence hoje","Pagar hoje",IF($I41="Vence em breve","Programar pagamento","")))</f>
        <v>0</v>
      </c>
    </row>
    <row r="42" spans="1:12">
      <c r="A42" s="13"/>
      <c r="B42" s="13"/>
      <c r="C42" s="13"/>
      <c r="D42" s="17"/>
      <c r="E42" s="18"/>
      <c r="F42" s="17"/>
      <c r="G42" s="18"/>
      <c r="H42" s="13"/>
      <c r="I42" s="19">
        <f>IF($E42="","",IF($K42&lt;=0.005,"Pago",IF($D42="","Sem vencimento",IF($D42&lt;Hoje,"Vencida",IF($D42=Hoje,"Vence hoje",IF($D42-Hoje&lt;=DiasAlerta,"Vence em breve","A vencer"))))))</f>
        <v>0</v>
      </c>
      <c r="J42" s="20">
        <f>IF(OR($E42="",$D42=""),"",IF($K42&lt;=0.005,"",$D42-Hoje))</f>
        <v>0</v>
      </c>
      <c r="K42" s="21">
        <f>IF($E42="","",MAX(0,$E42-N($G42)))</f>
        <v>0</v>
      </c>
      <c r="L42" s="20">
        <f>IF($I42="Vencida","PAGAR JÁ (multa e juros)",IF($I42="Vence hoje","Pagar hoje",IF($I42="Vence em breve","Programar pagamento","")))</f>
        <v>0</v>
      </c>
    </row>
    <row r="43" spans="1:12">
      <c r="A43" s="13"/>
      <c r="B43" s="13"/>
      <c r="C43" s="13"/>
      <c r="D43" s="17"/>
      <c r="E43" s="18"/>
      <c r="F43" s="17"/>
      <c r="G43" s="18"/>
      <c r="H43" s="13"/>
      <c r="I43" s="19">
        <f>IF($E43="","",IF($K43&lt;=0.005,"Pago",IF($D43="","Sem vencimento",IF($D43&lt;Hoje,"Vencida",IF($D43=Hoje,"Vence hoje",IF($D43-Hoje&lt;=DiasAlerta,"Vence em breve","A vencer"))))))</f>
        <v>0</v>
      </c>
      <c r="J43" s="20">
        <f>IF(OR($E43="",$D43=""),"",IF($K43&lt;=0.005,"",$D43-Hoje))</f>
        <v>0</v>
      </c>
      <c r="K43" s="21">
        <f>IF($E43="","",MAX(0,$E43-N($G43)))</f>
        <v>0</v>
      </c>
      <c r="L43" s="20">
        <f>IF($I43="Vencida","PAGAR JÁ (multa e juros)",IF($I43="Vence hoje","Pagar hoje",IF($I43="Vence em breve","Programar pagamento","")))</f>
        <v>0</v>
      </c>
    </row>
    <row r="44" spans="1:12">
      <c r="A44" s="13"/>
      <c r="B44" s="13"/>
      <c r="C44" s="13"/>
      <c r="D44" s="17"/>
      <c r="E44" s="18"/>
      <c r="F44" s="17"/>
      <c r="G44" s="18"/>
      <c r="H44" s="13"/>
      <c r="I44" s="19">
        <f>IF($E44="","",IF($K44&lt;=0.005,"Pago",IF($D44="","Sem vencimento",IF($D44&lt;Hoje,"Vencida",IF($D44=Hoje,"Vence hoje",IF($D44-Hoje&lt;=DiasAlerta,"Vence em breve","A vencer"))))))</f>
        <v>0</v>
      </c>
      <c r="J44" s="20">
        <f>IF(OR($E44="",$D44=""),"",IF($K44&lt;=0.005,"",$D44-Hoje))</f>
        <v>0</v>
      </c>
      <c r="K44" s="21">
        <f>IF($E44="","",MAX(0,$E44-N($G44)))</f>
        <v>0</v>
      </c>
      <c r="L44" s="20">
        <f>IF($I44="Vencida","PAGAR JÁ (multa e juros)",IF($I44="Vence hoje","Pagar hoje",IF($I44="Vence em breve","Programar pagamento","")))</f>
        <v>0</v>
      </c>
    </row>
    <row r="45" spans="1:12">
      <c r="A45" s="13"/>
      <c r="B45" s="13"/>
      <c r="C45" s="13"/>
      <c r="D45" s="17"/>
      <c r="E45" s="18"/>
      <c r="F45" s="17"/>
      <c r="G45" s="18"/>
      <c r="H45" s="13"/>
      <c r="I45" s="19">
        <f>IF($E45="","",IF($K45&lt;=0.005,"Pago",IF($D45="","Sem vencimento",IF($D45&lt;Hoje,"Vencida",IF($D45=Hoje,"Vence hoje",IF($D45-Hoje&lt;=DiasAlerta,"Vence em breve","A vencer"))))))</f>
        <v>0</v>
      </c>
      <c r="J45" s="20">
        <f>IF(OR($E45="",$D45=""),"",IF($K45&lt;=0.005,"",$D45-Hoje))</f>
        <v>0</v>
      </c>
      <c r="K45" s="21">
        <f>IF($E45="","",MAX(0,$E45-N($G45)))</f>
        <v>0</v>
      </c>
      <c r="L45" s="20">
        <f>IF($I45="Vencida","PAGAR JÁ (multa e juros)",IF($I45="Vence hoje","Pagar hoje",IF($I45="Vence em breve","Programar pagamento","")))</f>
        <v>0</v>
      </c>
    </row>
    <row r="46" spans="1:12">
      <c r="A46" s="13"/>
      <c r="B46" s="13"/>
      <c r="C46" s="13"/>
      <c r="D46" s="17"/>
      <c r="E46" s="18"/>
      <c r="F46" s="17"/>
      <c r="G46" s="18"/>
      <c r="H46" s="13"/>
      <c r="I46" s="19">
        <f>IF($E46="","",IF($K46&lt;=0.005,"Pago",IF($D46="","Sem vencimento",IF($D46&lt;Hoje,"Vencida",IF($D46=Hoje,"Vence hoje",IF($D46-Hoje&lt;=DiasAlerta,"Vence em breve","A vencer"))))))</f>
        <v>0</v>
      </c>
      <c r="J46" s="20">
        <f>IF(OR($E46="",$D46=""),"",IF($K46&lt;=0.005,"",$D46-Hoje))</f>
        <v>0</v>
      </c>
      <c r="K46" s="21">
        <f>IF($E46="","",MAX(0,$E46-N($G46)))</f>
        <v>0</v>
      </c>
      <c r="L46" s="20">
        <f>IF($I46="Vencida","PAGAR JÁ (multa e juros)",IF($I46="Vence hoje","Pagar hoje",IF($I46="Vence em breve","Programar pagamento","")))</f>
        <v>0</v>
      </c>
    </row>
    <row r="47" spans="1:12">
      <c r="A47" s="13"/>
      <c r="B47" s="13"/>
      <c r="C47" s="13"/>
      <c r="D47" s="17"/>
      <c r="E47" s="18"/>
      <c r="F47" s="17"/>
      <c r="G47" s="18"/>
      <c r="H47" s="13"/>
      <c r="I47" s="19">
        <f>IF($E47="","",IF($K47&lt;=0.005,"Pago",IF($D47="","Sem vencimento",IF($D47&lt;Hoje,"Vencida",IF($D47=Hoje,"Vence hoje",IF($D47-Hoje&lt;=DiasAlerta,"Vence em breve","A vencer"))))))</f>
        <v>0</v>
      </c>
      <c r="J47" s="20">
        <f>IF(OR($E47="",$D47=""),"",IF($K47&lt;=0.005,"",$D47-Hoje))</f>
        <v>0</v>
      </c>
      <c r="K47" s="21">
        <f>IF($E47="","",MAX(0,$E47-N($G47)))</f>
        <v>0</v>
      </c>
      <c r="L47" s="20">
        <f>IF($I47="Vencida","PAGAR JÁ (multa e juros)",IF($I47="Vence hoje","Pagar hoje",IF($I47="Vence em breve","Programar pagamento","")))</f>
        <v>0</v>
      </c>
    </row>
    <row r="48" spans="1:12">
      <c r="A48" s="13"/>
      <c r="B48" s="13"/>
      <c r="C48" s="13"/>
      <c r="D48" s="17"/>
      <c r="E48" s="18"/>
      <c r="F48" s="17"/>
      <c r="G48" s="18"/>
      <c r="H48" s="13"/>
      <c r="I48" s="19">
        <f>IF($E48="","",IF($K48&lt;=0.005,"Pago",IF($D48="","Sem vencimento",IF($D48&lt;Hoje,"Vencida",IF($D48=Hoje,"Vence hoje",IF($D48-Hoje&lt;=DiasAlerta,"Vence em breve","A vencer"))))))</f>
        <v>0</v>
      </c>
      <c r="J48" s="20">
        <f>IF(OR($E48="",$D48=""),"",IF($K48&lt;=0.005,"",$D48-Hoje))</f>
        <v>0</v>
      </c>
      <c r="K48" s="21">
        <f>IF($E48="","",MAX(0,$E48-N($G48)))</f>
        <v>0</v>
      </c>
      <c r="L48" s="20">
        <f>IF($I48="Vencida","PAGAR JÁ (multa e juros)",IF($I48="Vence hoje","Pagar hoje",IF($I48="Vence em breve","Programar pagamento","")))</f>
        <v>0</v>
      </c>
    </row>
    <row r="49" spans="1:12">
      <c r="A49" s="13"/>
      <c r="B49" s="13"/>
      <c r="C49" s="13"/>
      <c r="D49" s="17"/>
      <c r="E49" s="18"/>
      <c r="F49" s="17"/>
      <c r="G49" s="18"/>
      <c r="H49" s="13"/>
      <c r="I49" s="19">
        <f>IF($E49="","",IF($K49&lt;=0.005,"Pago",IF($D49="","Sem vencimento",IF($D49&lt;Hoje,"Vencida",IF($D49=Hoje,"Vence hoje",IF($D49-Hoje&lt;=DiasAlerta,"Vence em breve","A vencer"))))))</f>
        <v>0</v>
      </c>
      <c r="J49" s="20">
        <f>IF(OR($E49="",$D49=""),"",IF($K49&lt;=0.005,"",$D49-Hoje))</f>
        <v>0</v>
      </c>
      <c r="K49" s="21">
        <f>IF($E49="","",MAX(0,$E49-N($G49)))</f>
        <v>0</v>
      </c>
      <c r="L49" s="20">
        <f>IF($I49="Vencida","PAGAR JÁ (multa e juros)",IF($I49="Vence hoje","Pagar hoje",IF($I49="Vence em breve","Programar pagamento","")))</f>
        <v>0</v>
      </c>
    </row>
    <row r="50" spans="1:12">
      <c r="A50" s="13"/>
      <c r="B50" s="13"/>
      <c r="C50" s="13"/>
      <c r="D50" s="17"/>
      <c r="E50" s="18"/>
      <c r="F50" s="17"/>
      <c r="G50" s="18"/>
      <c r="H50" s="13"/>
      <c r="I50" s="19">
        <f>IF($E50="","",IF($K50&lt;=0.005,"Pago",IF($D50="","Sem vencimento",IF($D50&lt;Hoje,"Vencida",IF($D50=Hoje,"Vence hoje",IF($D50-Hoje&lt;=DiasAlerta,"Vence em breve","A vencer"))))))</f>
        <v>0</v>
      </c>
      <c r="J50" s="20">
        <f>IF(OR($E50="",$D50=""),"",IF($K50&lt;=0.005,"",$D50-Hoje))</f>
        <v>0</v>
      </c>
      <c r="K50" s="21">
        <f>IF($E50="","",MAX(0,$E50-N($G50)))</f>
        <v>0</v>
      </c>
      <c r="L50" s="20">
        <f>IF($I50="Vencida","PAGAR JÁ (multa e juros)",IF($I50="Vence hoje","Pagar hoje",IF($I50="Vence em breve","Programar pagamento","")))</f>
        <v>0</v>
      </c>
    </row>
    <row r="51" spans="1:12">
      <c r="A51" s="13"/>
      <c r="B51" s="13"/>
      <c r="C51" s="13"/>
      <c r="D51" s="17"/>
      <c r="E51" s="18"/>
      <c r="F51" s="17"/>
      <c r="G51" s="18"/>
      <c r="H51" s="13"/>
      <c r="I51" s="19">
        <f>IF($E51="","",IF($K51&lt;=0.005,"Pago",IF($D51="","Sem vencimento",IF($D51&lt;Hoje,"Vencida",IF($D51=Hoje,"Vence hoje",IF($D51-Hoje&lt;=DiasAlerta,"Vence em breve","A vencer"))))))</f>
        <v>0</v>
      </c>
      <c r="J51" s="20">
        <f>IF(OR($E51="",$D51=""),"",IF($K51&lt;=0.005,"",$D51-Hoje))</f>
        <v>0</v>
      </c>
      <c r="K51" s="21">
        <f>IF($E51="","",MAX(0,$E51-N($G51)))</f>
        <v>0</v>
      </c>
      <c r="L51" s="20">
        <f>IF($I51="Vencida","PAGAR JÁ (multa e juros)",IF($I51="Vence hoje","Pagar hoje",IF($I51="Vence em breve","Programar pagamento","")))</f>
        <v>0</v>
      </c>
    </row>
    <row r="52" spans="1:12">
      <c r="A52" s="13"/>
      <c r="B52" s="13"/>
      <c r="C52" s="13"/>
      <c r="D52" s="17"/>
      <c r="E52" s="18"/>
      <c r="F52" s="17"/>
      <c r="G52" s="18"/>
      <c r="H52" s="13"/>
      <c r="I52" s="19">
        <f>IF($E52="","",IF($K52&lt;=0.005,"Pago",IF($D52="","Sem vencimento",IF($D52&lt;Hoje,"Vencida",IF($D52=Hoje,"Vence hoje",IF($D52-Hoje&lt;=DiasAlerta,"Vence em breve","A vencer"))))))</f>
        <v>0</v>
      </c>
      <c r="J52" s="20">
        <f>IF(OR($E52="",$D52=""),"",IF($K52&lt;=0.005,"",$D52-Hoje))</f>
        <v>0</v>
      </c>
      <c r="K52" s="21">
        <f>IF($E52="","",MAX(0,$E52-N($G52)))</f>
        <v>0</v>
      </c>
      <c r="L52" s="20">
        <f>IF($I52="Vencida","PAGAR JÁ (multa e juros)",IF($I52="Vence hoje","Pagar hoje",IF($I52="Vence em breve","Programar pagamento","")))</f>
        <v>0</v>
      </c>
    </row>
    <row r="53" spans="1:12">
      <c r="A53" s="13"/>
      <c r="B53" s="13"/>
      <c r="C53" s="13"/>
      <c r="D53" s="17"/>
      <c r="E53" s="18"/>
      <c r="F53" s="17"/>
      <c r="G53" s="18"/>
      <c r="H53" s="13"/>
      <c r="I53" s="19">
        <f>IF($E53="","",IF($K53&lt;=0.005,"Pago",IF($D53="","Sem vencimento",IF($D53&lt;Hoje,"Vencida",IF($D53=Hoje,"Vence hoje",IF($D53-Hoje&lt;=DiasAlerta,"Vence em breve","A vencer"))))))</f>
        <v>0</v>
      </c>
      <c r="J53" s="20">
        <f>IF(OR($E53="",$D53=""),"",IF($K53&lt;=0.005,"",$D53-Hoje))</f>
        <v>0</v>
      </c>
      <c r="K53" s="21">
        <f>IF($E53="","",MAX(0,$E53-N($G53)))</f>
        <v>0</v>
      </c>
      <c r="L53" s="20">
        <f>IF($I53="Vencida","PAGAR JÁ (multa e juros)",IF($I53="Vence hoje","Pagar hoje",IF($I53="Vence em breve","Programar pagamento","")))</f>
        <v>0</v>
      </c>
    </row>
    <row r="54" spans="1:12">
      <c r="A54" s="13"/>
      <c r="B54" s="13"/>
      <c r="C54" s="13"/>
      <c r="D54" s="17"/>
      <c r="E54" s="18"/>
      <c r="F54" s="17"/>
      <c r="G54" s="18"/>
      <c r="H54" s="13"/>
      <c r="I54" s="19">
        <f>IF($E54="","",IF($K54&lt;=0.005,"Pago",IF($D54="","Sem vencimento",IF($D54&lt;Hoje,"Vencida",IF($D54=Hoje,"Vence hoje",IF($D54-Hoje&lt;=DiasAlerta,"Vence em breve","A vencer"))))))</f>
        <v>0</v>
      </c>
      <c r="J54" s="20">
        <f>IF(OR($E54="",$D54=""),"",IF($K54&lt;=0.005,"",$D54-Hoje))</f>
        <v>0</v>
      </c>
      <c r="K54" s="21">
        <f>IF($E54="","",MAX(0,$E54-N($G54)))</f>
        <v>0</v>
      </c>
      <c r="L54" s="20">
        <f>IF($I54="Vencida","PAGAR JÁ (multa e juros)",IF($I54="Vence hoje","Pagar hoje",IF($I54="Vence em breve","Programar pagamento","")))</f>
        <v>0</v>
      </c>
    </row>
    <row r="55" spans="1:12">
      <c r="A55" s="13"/>
      <c r="B55" s="13"/>
      <c r="C55" s="13"/>
      <c r="D55" s="17"/>
      <c r="E55" s="18"/>
      <c r="F55" s="17"/>
      <c r="G55" s="18"/>
      <c r="H55" s="13"/>
      <c r="I55" s="19">
        <f>IF($E55="","",IF($K55&lt;=0.005,"Pago",IF($D55="","Sem vencimento",IF($D55&lt;Hoje,"Vencida",IF($D55=Hoje,"Vence hoje",IF($D55-Hoje&lt;=DiasAlerta,"Vence em breve","A vencer"))))))</f>
        <v>0</v>
      </c>
      <c r="J55" s="20">
        <f>IF(OR($E55="",$D55=""),"",IF($K55&lt;=0.005,"",$D55-Hoje))</f>
        <v>0</v>
      </c>
      <c r="K55" s="21">
        <f>IF($E55="","",MAX(0,$E55-N($G55)))</f>
        <v>0</v>
      </c>
      <c r="L55" s="20">
        <f>IF($I55="Vencida","PAGAR JÁ (multa e juros)",IF($I55="Vence hoje","Pagar hoje",IF($I55="Vence em breve","Programar pagamento","")))</f>
        <v>0</v>
      </c>
    </row>
    <row r="56" spans="1:12">
      <c r="A56" s="13"/>
      <c r="B56" s="13"/>
      <c r="C56" s="13"/>
      <c r="D56" s="17"/>
      <c r="E56" s="18"/>
      <c r="F56" s="17"/>
      <c r="G56" s="18"/>
      <c r="H56" s="13"/>
      <c r="I56" s="19">
        <f>IF($E56="","",IF($K56&lt;=0.005,"Pago",IF($D56="","Sem vencimento",IF($D56&lt;Hoje,"Vencida",IF($D56=Hoje,"Vence hoje",IF($D56-Hoje&lt;=DiasAlerta,"Vence em breve","A vencer"))))))</f>
        <v>0</v>
      </c>
      <c r="J56" s="20">
        <f>IF(OR($E56="",$D56=""),"",IF($K56&lt;=0.005,"",$D56-Hoje))</f>
        <v>0</v>
      </c>
      <c r="K56" s="21">
        <f>IF($E56="","",MAX(0,$E56-N($G56)))</f>
        <v>0</v>
      </c>
      <c r="L56" s="20">
        <f>IF($I56="Vencida","PAGAR JÁ (multa e juros)",IF($I56="Vence hoje","Pagar hoje",IF($I56="Vence em breve","Programar pagamento","")))</f>
        <v>0</v>
      </c>
    </row>
    <row r="57" spans="1:12">
      <c r="A57" s="13"/>
      <c r="B57" s="13"/>
      <c r="C57" s="13"/>
      <c r="D57" s="17"/>
      <c r="E57" s="18"/>
      <c r="F57" s="17"/>
      <c r="G57" s="18"/>
      <c r="H57" s="13"/>
      <c r="I57" s="19">
        <f>IF($E57="","",IF($K57&lt;=0.005,"Pago",IF($D57="","Sem vencimento",IF($D57&lt;Hoje,"Vencida",IF($D57=Hoje,"Vence hoje",IF($D57-Hoje&lt;=DiasAlerta,"Vence em breve","A vencer"))))))</f>
        <v>0</v>
      </c>
      <c r="J57" s="20">
        <f>IF(OR($E57="",$D57=""),"",IF($K57&lt;=0.005,"",$D57-Hoje))</f>
        <v>0</v>
      </c>
      <c r="K57" s="21">
        <f>IF($E57="","",MAX(0,$E57-N($G57)))</f>
        <v>0</v>
      </c>
      <c r="L57" s="20">
        <f>IF($I57="Vencida","PAGAR JÁ (multa e juros)",IF($I57="Vence hoje","Pagar hoje",IF($I57="Vence em breve","Programar pagamento","")))</f>
        <v>0</v>
      </c>
    </row>
    <row r="58" spans="1:12">
      <c r="A58" s="13"/>
      <c r="B58" s="13"/>
      <c r="C58" s="13"/>
      <c r="D58" s="17"/>
      <c r="E58" s="18"/>
      <c r="F58" s="17"/>
      <c r="G58" s="18"/>
      <c r="H58" s="13"/>
      <c r="I58" s="19">
        <f>IF($E58="","",IF($K58&lt;=0.005,"Pago",IF($D58="","Sem vencimento",IF($D58&lt;Hoje,"Vencida",IF($D58=Hoje,"Vence hoje",IF($D58-Hoje&lt;=DiasAlerta,"Vence em breve","A vencer"))))))</f>
        <v>0</v>
      </c>
      <c r="J58" s="20">
        <f>IF(OR($E58="",$D58=""),"",IF($K58&lt;=0.005,"",$D58-Hoje))</f>
        <v>0</v>
      </c>
      <c r="K58" s="21">
        <f>IF($E58="","",MAX(0,$E58-N($G58)))</f>
        <v>0</v>
      </c>
      <c r="L58" s="20">
        <f>IF($I58="Vencida","PAGAR JÁ (multa e juros)",IF($I58="Vence hoje","Pagar hoje",IF($I58="Vence em breve","Programar pagamento","")))</f>
        <v>0</v>
      </c>
    </row>
    <row r="59" spans="1:12">
      <c r="A59" s="13"/>
      <c r="B59" s="13"/>
      <c r="C59" s="13"/>
      <c r="D59" s="17"/>
      <c r="E59" s="18"/>
      <c r="F59" s="17"/>
      <c r="G59" s="18"/>
      <c r="H59" s="13"/>
      <c r="I59" s="19">
        <f>IF($E59="","",IF($K59&lt;=0.005,"Pago",IF($D59="","Sem vencimento",IF($D59&lt;Hoje,"Vencida",IF($D59=Hoje,"Vence hoje",IF($D59-Hoje&lt;=DiasAlerta,"Vence em breve","A vencer"))))))</f>
        <v>0</v>
      </c>
      <c r="J59" s="20">
        <f>IF(OR($E59="",$D59=""),"",IF($K59&lt;=0.005,"",$D59-Hoje))</f>
        <v>0</v>
      </c>
      <c r="K59" s="21">
        <f>IF($E59="","",MAX(0,$E59-N($G59)))</f>
        <v>0</v>
      </c>
      <c r="L59" s="20">
        <f>IF($I59="Vencida","PAGAR JÁ (multa e juros)",IF($I59="Vence hoje","Pagar hoje",IF($I59="Vence em breve","Programar pagamento","")))</f>
        <v>0</v>
      </c>
    </row>
    <row r="60" spans="1:12">
      <c r="A60" s="13"/>
      <c r="B60" s="13"/>
      <c r="C60" s="13"/>
      <c r="D60" s="17"/>
      <c r="E60" s="18"/>
      <c r="F60" s="17"/>
      <c r="G60" s="18"/>
      <c r="H60" s="13"/>
      <c r="I60" s="19">
        <f>IF($E60="","",IF($K60&lt;=0.005,"Pago",IF($D60="","Sem vencimento",IF($D60&lt;Hoje,"Vencida",IF($D60=Hoje,"Vence hoje",IF($D60-Hoje&lt;=DiasAlerta,"Vence em breve","A vencer"))))))</f>
        <v>0</v>
      </c>
      <c r="J60" s="20">
        <f>IF(OR($E60="",$D60=""),"",IF($K60&lt;=0.005,"",$D60-Hoje))</f>
        <v>0</v>
      </c>
      <c r="K60" s="21">
        <f>IF($E60="","",MAX(0,$E60-N($G60)))</f>
        <v>0</v>
      </c>
      <c r="L60" s="20">
        <f>IF($I60="Vencida","PAGAR JÁ (multa e juros)",IF($I60="Vence hoje","Pagar hoje",IF($I60="Vence em breve","Programar pagamento","")))</f>
        <v>0</v>
      </c>
    </row>
    <row r="61" spans="1:12">
      <c r="A61" s="13"/>
      <c r="B61" s="13"/>
      <c r="C61" s="13"/>
      <c r="D61" s="17"/>
      <c r="E61" s="18"/>
      <c r="F61" s="17"/>
      <c r="G61" s="18"/>
      <c r="H61" s="13"/>
      <c r="I61" s="19">
        <f>IF($E61="","",IF($K61&lt;=0.005,"Pago",IF($D61="","Sem vencimento",IF($D61&lt;Hoje,"Vencida",IF($D61=Hoje,"Vence hoje",IF($D61-Hoje&lt;=DiasAlerta,"Vence em breve","A vencer"))))))</f>
        <v>0</v>
      </c>
      <c r="J61" s="20">
        <f>IF(OR($E61="",$D61=""),"",IF($K61&lt;=0.005,"",$D61-Hoje))</f>
        <v>0</v>
      </c>
      <c r="K61" s="21">
        <f>IF($E61="","",MAX(0,$E61-N($G61)))</f>
        <v>0</v>
      </c>
      <c r="L61" s="20">
        <f>IF($I61="Vencida","PAGAR JÁ (multa e juros)",IF($I61="Vence hoje","Pagar hoje",IF($I61="Vence em breve","Programar pagamento","")))</f>
        <v>0</v>
      </c>
    </row>
    <row r="62" spans="1:12">
      <c r="A62" s="13"/>
      <c r="B62" s="13"/>
      <c r="C62" s="13"/>
      <c r="D62" s="17"/>
      <c r="E62" s="18"/>
      <c r="F62" s="17"/>
      <c r="G62" s="18"/>
      <c r="H62" s="13"/>
      <c r="I62" s="19">
        <f>IF($E62="","",IF($K62&lt;=0.005,"Pago",IF($D62="","Sem vencimento",IF($D62&lt;Hoje,"Vencida",IF($D62=Hoje,"Vence hoje",IF($D62-Hoje&lt;=DiasAlerta,"Vence em breve","A vencer"))))))</f>
        <v>0</v>
      </c>
      <c r="J62" s="20">
        <f>IF(OR($E62="",$D62=""),"",IF($K62&lt;=0.005,"",$D62-Hoje))</f>
        <v>0</v>
      </c>
      <c r="K62" s="21">
        <f>IF($E62="","",MAX(0,$E62-N($G62)))</f>
        <v>0</v>
      </c>
      <c r="L62" s="20">
        <f>IF($I62="Vencida","PAGAR JÁ (multa e juros)",IF($I62="Vence hoje","Pagar hoje",IF($I62="Vence em breve","Programar pagamento","")))</f>
        <v>0</v>
      </c>
    </row>
    <row r="63" spans="1:12">
      <c r="A63" s="13"/>
      <c r="B63" s="13"/>
      <c r="C63" s="13"/>
      <c r="D63" s="17"/>
      <c r="E63" s="18"/>
      <c r="F63" s="17"/>
      <c r="G63" s="18"/>
      <c r="H63" s="13"/>
      <c r="I63" s="19">
        <f>IF($E63="","",IF($K63&lt;=0.005,"Pago",IF($D63="","Sem vencimento",IF($D63&lt;Hoje,"Vencida",IF($D63=Hoje,"Vence hoje",IF($D63-Hoje&lt;=DiasAlerta,"Vence em breve","A vencer"))))))</f>
        <v>0</v>
      </c>
      <c r="J63" s="20">
        <f>IF(OR($E63="",$D63=""),"",IF($K63&lt;=0.005,"",$D63-Hoje))</f>
        <v>0</v>
      </c>
      <c r="K63" s="21">
        <f>IF($E63="","",MAX(0,$E63-N($G63)))</f>
        <v>0</v>
      </c>
      <c r="L63" s="20">
        <f>IF($I63="Vencida","PAGAR JÁ (multa e juros)",IF($I63="Vence hoje","Pagar hoje",IF($I63="Vence em breve","Programar pagamento","")))</f>
        <v>0</v>
      </c>
    </row>
    <row r="64" spans="1:12">
      <c r="A64" s="13"/>
      <c r="B64" s="13"/>
      <c r="C64" s="13"/>
      <c r="D64" s="17"/>
      <c r="E64" s="18"/>
      <c r="F64" s="17"/>
      <c r="G64" s="18"/>
      <c r="H64" s="13"/>
      <c r="I64" s="19">
        <f>IF($E64="","",IF($K64&lt;=0.005,"Pago",IF($D64="","Sem vencimento",IF($D64&lt;Hoje,"Vencida",IF($D64=Hoje,"Vence hoje",IF($D64-Hoje&lt;=DiasAlerta,"Vence em breve","A vencer"))))))</f>
        <v>0</v>
      </c>
      <c r="J64" s="20">
        <f>IF(OR($E64="",$D64=""),"",IF($K64&lt;=0.005,"",$D64-Hoje))</f>
        <v>0</v>
      </c>
      <c r="K64" s="21">
        <f>IF($E64="","",MAX(0,$E64-N($G64)))</f>
        <v>0</v>
      </c>
      <c r="L64" s="20">
        <f>IF($I64="Vencida","PAGAR JÁ (multa e juros)",IF($I64="Vence hoje","Pagar hoje",IF($I64="Vence em breve","Programar pagamento","")))</f>
        <v>0</v>
      </c>
    </row>
    <row r="65" spans="1:12">
      <c r="A65" s="13"/>
      <c r="B65" s="13"/>
      <c r="C65" s="13"/>
      <c r="D65" s="17"/>
      <c r="E65" s="18"/>
      <c r="F65" s="17"/>
      <c r="G65" s="18"/>
      <c r="H65" s="13"/>
      <c r="I65" s="19">
        <f>IF($E65="","",IF($K65&lt;=0.005,"Pago",IF($D65="","Sem vencimento",IF($D65&lt;Hoje,"Vencida",IF($D65=Hoje,"Vence hoje",IF($D65-Hoje&lt;=DiasAlerta,"Vence em breve","A vencer"))))))</f>
        <v>0</v>
      </c>
      <c r="J65" s="20">
        <f>IF(OR($E65="",$D65=""),"",IF($K65&lt;=0.005,"",$D65-Hoje))</f>
        <v>0</v>
      </c>
      <c r="K65" s="21">
        <f>IF($E65="","",MAX(0,$E65-N($G65)))</f>
        <v>0</v>
      </c>
      <c r="L65" s="20">
        <f>IF($I65="Vencida","PAGAR JÁ (multa e juros)",IF($I65="Vence hoje","Pagar hoje",IF($I65="Vence em breve","Programar pagamento","")))</f>
        <v>0</v>
      </c>
    </row>
    <row r="66" spans="1:12">
      <c r="A66" s="13"/>
      <c r="B66" s="13"/>
      <c r="C66" s="13"/>
      <c r="D66" s="17"/>
      <c r="E66" s="18"/>
      <c r="F66" s="17"/>
      <c r="G66" s="18"/>
      <c r="H66" s="13"/>
      <c r="I66" s="19">
        <f>IF($E66="","",IF($K66&lt;=0.005,"Pago",IF($D66="","Sem vencimento",IF($D66&lt;Hoje,"Vencida",IF($D66=Hoje,"Vence hoje",IF($D66-Hoje&lt;=DiasAlerta,"Vence em breve","A vencer"))))))</f>
        <v>0</v>
      </c>
      <c r="J66" s="20">
        <f>IF(OR($E66="",$D66=""),"",IF($K66&lt;=0.005,"",$D66-Hoje))</f>
        <v>0</v>
      </c>
      <c r="K66" s="21">
        <f>IF($E66="","",MAX(0,$E66-N($G66)))</f>
        <v>0</v>
      </c>
      <c r="L66" s="20">
        <f>IF($I66="Vencida","PAGAR JÁ (multa e juros)",IF($I66="Vence hoje","Pagar hoje",IF($I66="Vence em breve","Programar pagamento","")))</f>
        <v>0</v>
      </c>
    </row>
    <row r="67" spans="1:12">
      <c r="A67" s="13"/>
      <c r="B67" s="13"/>
      <c r="C67" s="13"/>
      <c r="D67" s="17"/>
      <c r="E67" s="18"/>
      <c r="F67" s="17"/>
      <c r="G67" s="18"/>
      <c r="H67" s="13"/>
      <c r="I67" s="19">
        <f>IF($E67="","",IF($K67&lt;=0.005,"Pago",IF($D67="","Sem vencimento",IF($D67&lt;Hoje,"Vencida",IF($D67=Hoje,"Vence hoje",IF($D67-Hoje&lt;=DiasAlerta,"Vence em breve","A vencer"))))))</f>
        <v>0</v>
      </c>
      <c r="J67" s="20">
        <f>IF(OR($E67="",$D67=""),"",IF($K67&lt;=0.005,"",$D67-Hoje))</f>
        <v>0</v>
      </c>
      <c r="K67" s="21">
        <f>IF($E67="","",MAX(0,$E67-N($G67)))</f>
        <v>0</v>
      </c>
      <c r="L67" s="20">
        <f>IF($I67="Vencida","PAGAR JÁ (multa e juros)",IF($I67="Vence hoje","Pagar hoje",IF($I67="Vence em breve","Programar pagamento","")))</f>
        <v>0</v>
      </c>
    </row>
    <row r="68" spans="1:12">
      <c r="A68" s="13"/>
      <c r="B68" s="13"/>
      <c r="C68" s="13"/>
      <c r="D68" s="17"/>
      <c r="E68" s="18"/>
      <c r="F68" s="17"/>
      <c r="G68" s="18"/>
      <c r="H68" s="13"/>
      <c r="I68" s="19">
        <f>IF($E68="","",IF($K68&lt;=0.005,"Pago",IF($D68="","Sem vencimento",IF($D68&lt;Hoje,"Vencida",IF($D68=Hoje,"Vence hoje",IF($D68-Hoje&lt;=DiasAlerta,"Vence em breve","A vencer"))))))</f>
        <v>0</v>
      </c>
      <c r="J68" s="20">
        <f>IF(OR($E68="",$D68=""),"",IF($K68&lt;=0.005,"",$D68-Hoje))</f>
        <v>0</v>
      </c>
      <c r="K68" s="21">
        <f>IF($E68="","",MAX(0,$E68-N($G68)))</f>
        <v>0</v>
      </c>
      <c r="L68" s="20">
        <f>IF($I68="Vencida","PAGAR JÁ (multa e juros)",IF($I68="Vence hoje","Pagar hoje",IF($I68="Vence em breve","Programar pagamento","")))</f>
        <v>0</v>
      </c>
    </row>
    <row r="69" spans="1:12">
      <c r="A69" s="13"/>
      <c r="B69" s="13"/>
      <c r="C69" s="13"/>
      <c r="D69" s="17"/>
      <c r="E69" s="18"/>
      <c r="F69" s="17"/>
      <c r="G69" s="18"/>
      <c r="H69" s="13"/>
      <c r="I69" s="19">
        <f>IF($E69="","",IF($K69&lt;=0.005,"Pago",IF($D69="","Sem vencimento",IF($D69&lt;Hoje,"Vencida",IF($D69=Hoje,"Vence hoje",IF($D69-Hoje&lt;=DiasAlerta,"Vence em breve","A vencer"))))))</f>
        <v>0</v>
      </c>
      <c r="J69" s="20">
        <f>IF(OR($E69="",$D69=""),"",IF($K69&lt;=0.005,"",$D69-Hoje))</f>
        <v>0</v>
      </c>
      <c r="K69" s="21">
        <f>IF($E69="","",MAX(0,$E69-N($G69)))</f>
        <v>0</v>
      </c>
      <c r="L69" s="20">
        <f>IF($I69="Vencida","PAGAR JÁ (multa e juros)",IF($I69="Vence hoje","Pagar hoje",IF($I69="Vence em breve","Programar pagamento","")))</f>
        <v>0</v>
      </c>
    </row>
    <row r="70" spans="1:12">
      <c r="A70" s="13"/>
      <c r="B70" s="13"/>
      <c r="C70" s="13"/>
      <c r="D70" s="17"/>
      <c r="E70" s="18"/>
      <c r="F70" s="17"/>
      <c r="G70" s="18"/>
      <c r="H70" s="13"/>
      <c r="I70" s="19">
        <f>IF($E70="","",IF($K70&lt;=0.005,"Pago",IF($D70="","Sem vencimento",IF($D70&lt;Hoje,"Vencida",IF($D70=Hoje,"Vence hoje",IF($D70-Hoje&lt;=DiasAlerta,"Vence em breve","A vencer"))))))</f>
        <v>0</v>
      </c>
      <c r="J70" s="20">
        <f>IF(OR($E70="",$D70=""),"",IF($K70&lt;=0.005,"",$D70-Hoje))</f>
        <v>0</v>
      </c>
      <c r="K70" s="21">
        <f>IF($E70="","",MAX(0,$E70-N($G70)))</f>
        <v>0</v>
      </c>
      <c r="L70" s="20">
        <f>IF($I70="Vencida","PAGAR JÁ (multa e juros)",IF($I70="Vence hoje","Pagar hoje",IF($I70="Vence em breve","Programar pagamento","")))</f>
        <v>0</v>
      </c>
    </row>
    <row r="71" spans="1:12">
      <c r="A71" s="13"/>
      <c r="B71" s="13"/>
      <c r="C71" s="13"/>
      <c r="D71" s="17"/>
      <c r="E71" s="18"/>
      <c r="F71" s="17"/>
      <c r="G71" s="18"/>
      <c r="H71" s="13"/>
      <c r="I71" s="19">
        <f>IF($E71="","",IF($K71&lt;=0.005,"Pago",IF($D71="","Sem vencimento",IF($D71&lt;Hoje,"Vencida",IF($D71=Hoje,"Vence hoje",IF($D71-Hoje&lt;=DiasAlerta,"Vence em breve","A vencer"))))))</f>
        <v>0</v>
      </c>
      <c r="J71" s="20">
        <f>IF(OR($E71="",$D71=""),"",IF($K71&lt;=0.005,"",$D71-Hoje))</f>
        <v>0</v>
      </c>
      <c r="K71" s="21">
        <f>IF($E71="","",MAX(0,$E71-N($G71)))</f>
        <v>0</v>
      </c>
      <c r="L71" s="20">
        <f>IF($I71="Vencida","PAGAR JÁ (multa e juros)",IF($I71="Vence hoje","Pagar hoje",IF($I71="Vence em breve","Programar pagamento","")))</f>
        <v>0</v>
      </c>
    </row>
    <row r="72" spans="1:12">
      <c r="A72" s="13"/>
      <c r="B72" s="13"/>
      <c r="C72" s="13"/>
      <c r="D72" s="17"/>
      <c r="E72" s="18"/>
      <c r="F72" s="17"/>
      <c r="G72" s="18"/>
      <c r="H72" s="13"/>
      <c r="I72" s="19">
        <f>IF($E72="","",IF($K72&lt;=0.005,"Pago",IF($D72="","Sem vencimento",IF($D72&lt;Hoje,"Vencida",IF($D72=Hoje,"Vence hoje",IF($D72-Hoje&lt;=DiasAlerta,"Vence em breve","A vencer"))))))</f>
        <v>0</v>
      </c>
      <c r="J72" s="20">
        <f>IF(OR($E72="",$D72=""),"",IF($K72&lt;=0.005,"",$D72-Hoje))</f>
        <v>0</v>
      </c>
      <c r="K72" s="21">
        <f>IF($E72="","",MAX(0,$E72-N($G72)))</f>
        <v>0</v>
      </c>
      <c r="L72" s="20">
        <f>IF($I72="Vencida","PAGAR JÁ (multa e juros)",IF($I72="Vence hoje","Pagar hoje",IF($I72="Vence em breve","Programar pagamento","")))</f>
        <v>0</v>
      </c>
    </row>
    <row r="73" spans="1:12">
      <c r="A73" s="13"/>
      <c r="B73" s="13"/>
      <c r="C73" s="13"/>
      <c r="D73" s="17"/>
      <c r="E73" s="18"/>
      <c r="F73" s="17"/>
      <c r="G73" s="18"/>
      <c r="H73" s="13"/>
      <c r="I73" s="19">
        <f>IF($E73="","",IF($K73&lt;=0.005,"Pago",IF($D73="","Sem vencimento",IF($D73&lt;Hoje,"Vencida",IF($D73=Hoje,"Vence hoje",IF($D73-Hoje&lt;=DiasAlerta,"Vence em breve","A vencer"))))))</f>
        <v>0</v>
      </c>
      <c r="J73" s="20">
        <f>IF(OR($E73="",$D73=""),"",IF($K73&lt;=0.005,"",$D73-Hoje))</f>
        <v>0</v>
      </c>
      <c r="K73" s="21">
        <f>IF($E73="","",MAX(0,$E73-N($G73)))</f>
        <v>0</v>
      </c>
      <c r="L73" s="20">
        <f>IF($I73="Vencida","PAGAR JÁ (multa e juros)",IF($I73="Vence hoje","Pagar hoje",IF($I73="Vence em breve","Programar pagamento","")))</f>
        <v>0</v>
      </c>
    </row>
    <row r="74" spans="1:12">
      <c r="A74" s="13"/>
      <c r="B74" s="13"/>
      <c r="C74" s="13"/>
      <c r="D74" s="17"/>
      <c r="E74" s="18"/>
      <c r="F74" s="17"/>
      <c r="G74" s="18"/>
      <c r="H74" s="13"/>
      <c r="I74" s="19">
        <f>IF($E74="","",IF($K74&lt;=0.005,"Pago",IF($D74="","Sem vencimento",IF($D74&lt;Hoje,"Vencida",IF($D74=Hoje,"Vence hoje",IF($D74-Hoje&lt;=DiasAlerta,"Vence em breve","A vencer"))))))</f>
        <v>0</v>
      </c>
      <c r="J74" s="20">
        <f>IF(OR($E74="",$D74=""),"",IF($K74&lt;=0.005,"",$D74-Hoje))</f>
        <v>0</v>
      </c>
      <c r="K74" s="21">
        <f>IF($E74="","",MAX(0,$E74-N($G74)))</f>
        <v>0</v>
      </c>
      <c r="L74" s="20">
        <f>IF($I74="Vencida","PAGAR JÁ (multa e juros)",IF($I74="Vence hoje","Pagar hoje",IF($I74="Vence em breve","Programar pagamento","")))</f>
        <v>0</v>
      </c>
    </row>
    <row r="75" spans="1:12">
      <c r="A75" s="13"/>
      <c r="B75" s="13"/>
      <c r="C75" s="13"/>
      <c r="D75" s="17"/>
      <c r="E75" s="18"/>
      <c r="F75" s="17"/>
      <c r="G75" s="18"/>
      <c r="H75" s="13"/>
      <c r="I75" s="19">
        <f>IF($E75="","",IF($K75&lt;=0.005,"Pago",IF($D75="","Sem vencimento",IF($D75&lt;Hoje,"Vencida",IF($D75=Hoje,"Vence hoje",IF($D75-Hoje&lt;=DiasAlerta,"Vence em breve","A vencer"))))))</f>
        <v>0</v>
      </c>
      <c r="J75" s="20">
        <f>IF(OR($E75="",$D75=""),"",IF($K75&lt;=0.005,"",$D75-Hoje))</f>
        <v>0</v>
      </c>
      <c r="K75" s="21">
        <f>IF($E75="","",MAX(0,$E75-N($G75)))</f>
        <v>0</v>
      </c>
      <c r="L75" s="20">
        <f>IF($I75="Vencida","PAGAR JÁ (multa e juros)",IF($I75="Vence hoje","Pagar hoje",IF($I75="Vence em breve","Programar pagamento","")))</f>
        <v>0</v>
      </c>
    </row>
    <row r="76" spans="1:12">
      <c r="A76" s="13"/>
      <c r="B76" s="13"/>
      <c r="C76" s="13"/>
      <c r="D76" s="17"/>
      <c r="E76" s="18"/>
      <c r="F76" s="17"/>
      <c r="G76" s="18"/>
      <c r="H76" s="13"/>
      <c r="I76" s="19">
        <f>IF($E76="","",IF($K76&lt;=0.005,"Pago",IF($D76="","Sem vencimento",IF($D76&lt;Hoje,"Vencida",IF($D76=Hoje,"Vence hoje",IF($D76-Hoje&lt;=DiasAlerta,"Vence em breve","A vencer"))))))</f>
        <v>0</v>
      </c>
      <c r="J76" s="20">
        <f>IF(OR($E76="",$D76=""),"",IF($K76&lt;=0.005,"",$D76-Hoje))</f>
        <v>0</v>
      </c>
      <c r="K76" s="21">
        <f>IF($E76="","",MAX(0,$E76-N($G76)))</f>
        <v>0</v>
      </c>
      <c r="L76" s="20">
        <f>IF($I76="Vencida","PAGAR JÁ (multa e juros)",IF($I76="Vence hoje","Pagar hoje",IF($I76="Vence em breve","Programar pagamento","")))</f>
        <v>0</v>
      </c>
    </row>
    <row r="77" spans="1:12">
      <c r="A77" s="13"/>
      <c r="B77" s="13"/>
      <c r="C77" s="13"/>
      <c r="D77" s="17"/>
      <c r="E77" s="18"/>
      <c r="F77" s="17"/>
      <c r="G77" s="18"/>
      <c r="H77" s="13"/>
      <c r="I77" s="19">
        <f>IF($E77="","",IF($K77&lt;=0.005,"Pago",IF($D77="","Sem vencimento",IF($D77&lt;Hoje,"Vencida",IF($D77=Hoje,"Vence hoje",IF($D77-Hoje&lt;=DiasAlerta,"Vence em breve","A vencer"))))))</f>
        <v>0</v>
      </c>
      <c r="J77" s="20">
        <f>IF(OR($E77="",$D77=""),"",IF($K77&lt;=0.005,"",$D77-Hoje))</f>
        <v>0</v>
      </c>
      <c r="K77" s="21">
        <f>IF($E77="","",MAX(0,$E77-N($G77)))</f>
        <v>0</v>
      </c>
      <c r="L77" s="20">
        <f>IF($I77="Vencida","PAGAR JÁ (multa e juros)",IF($I77="Vence hoje","Pagar hoje",IF($I77="Vence em breve","Programar pagamento","")))</f>
        <v>0</v>
      </c>
    </row>
    <row r="78" spans="1:12">
      <c r="A78" s="13"/>
      <c r="B78" s="13"/>
      <c r="C78" s="13"/>
      <c r="D78" s="17"/>
      <c r="E78" s="18"/>
      <c r="F78" s="17"/>
      <c r="G78" s="18"/>
      <c r="H78" s="13"/>
      <c r="I78" s="19">
        <f>IF($E78="","",IF($K78&lt;=0.005,"Pago",IF($D78="","Sem vencimento",IF($D78&lt;Hoje,"Vencida",IF($D78=Hoje,"Vence hoje",IF($D78-Hoje&lt;=DiasAlerta,"Vence em breve","A vencer"))))))</f>
        <v>0</v>
      </c>
      <c r="J78" s="20">
        <f>IF(OR($E78="",$D78=""),"",IF($K78&lt;=0.005,"",$D78-Hoje))</f>
        <v>0</v>
      </c>
      <c r="K78" s="21">
        <f>IF($E78="","",MAX(0,$E78-N($G78)))</f>
        <v>0</v>
      </c>
      <c r="L78" s="20">
        <f>IF($I78="Vencida","PAGAR JÁ (multa e juros)",IF($I78="Vence hoje","Pagar hoje",IF($I78="Vence em breve","Programar pagamento","")))</f>
        <v>0</v>
      </c>
    </row>
    <row r="79" spans="1:12">
      <c r="A79" s="13"/>
      <c r="B79" s="13"/>
      <c r="C79" s="13"/>
      <c r="D79" s="17"/>
      <c r="E79" s="18"/>
      <c r="F79" s="17"/>
      <c r="G79" s="18"/>
      <c r="H79" s="13"/>
      <c r="I79" s="19">
        <f>IF($E79="","",IF($K79&lt;=0.005,"Pago",IF($D79="","Sem vencimento",IF($D79&lt;Hoje,"Vencida",IF($D79=Hoje,"Vence hoje",IF($D79-Hoje&lt;=DiasAlerta,"Vence em breve","A vencer"))))))</f>
        <v>0</v>
      </c>
      <c r="J79" s="20">
        <f>IF(OR($E79="",$D79=""),"",IF($K79&lt;=0.005,"",$D79-Hoje))</f>
        <v>0</v>
      </c>
      <c r="K79" s="21">
        <f>IF($E79="","",MAX(0,$E79-N($G79)))</f>
        <v>0</v>
      </c>
      <c r="L79" s="20">
        <f>IF($I79="Vencida","PAGAR JÁ (multa e juros)",IF($I79="Vence hoje","Pagar hoje",IF($I79="Vence em breve","Programar pagamento","")))</f>
        <v>0</v>
      </c>
    </row>
    <row r="80" spans="1:12">
      <c r="A80" s="13"/>
      <c r="B80" s="13"/>
      <c r="C80" s="13"/>
      <c r="D80" s="17"/>
      <c r="E80" s="18"/>
      <c r="F80" s="17"/>
      <c r="G80" s="18"/>
      <c r="H80" s="13"/>
      <c r="I80" s="19">
        <f>IF($E80="","",IF($K80&lt;=0.005,"Pago",IF($D80="","Sem vencimento",IF($D80&lt;Hoje,"Vencida",IF($D80=Hoje,"Vence hoje",IF($D80-Hoje&lt;=DiasAlerta,"Vence em breve","A vencer"))))))</f>
        <v>0</v>
      </c>
      <c r="J80" s="20">
        <f>IF(OR($E80="",$D80=""),"",IF($K80&lt;=0.005,"",$D80-Hoje))</f>
        <v>0</v>
      </c>
      <c r="K80" s="21">
        <f>IF($E80="","",MAX(0,$E80-N($G80)))</f>
        <v>0</v>
      </c>
      <c r="L80" s="20">
        <f>IF($I80="Vencida","PAGAR JÁ (multa e juros)",IF($I80="Vence hoje","Pagar hoje",IF($I80="Vence em breve","Programar pagamento","")))</f>
        <v>0</v>
      </c>
    </row>
    <row r="81" spans="1:12">
      <c r="A81" s="13"/>
      <c r="B81" s="13"/>
      <c r="C81" s="13"/>
      <c r="D81" s="17"/>
      <c r="E81" s="18"/>
      <c r="F81" s="17"/>
      <c r="G81" s="18"/>
      <c r="H81" s="13"/>
      <c r="I81" s="19">
        <f>IF($E81="","",IF($K81&lt;=0.005,"Pago",IF($D81="","Sem vencimento",IF($D81&lt;Hoje,"Vencida",IF($D81=Hoje,"Vence hoje",IF($D81-Hoje&lt;=DiasAlerta,"Vence em breve","A vencer"))))))</f>
        <v>0</v>
      </c>
      <c r="J81" s="20">
        <f>IF(OR($E81="",$D81=""),"",IF($K81&lt;=0.005,"",$D81-Hoje))</f>
        <v>0</v>
      </c>
      <c r="K81" s="21">
        <f>IF($E81="","",MAX(0,$E81-N($G81)))</f>
        <v>0</v>
      </c>
      <c r="L81" s="20">
        <f>IF($I81="Vencida","PAGAR JÁ (multa e juros)",IF($I81="Vence hoje","Pagar hoje",IF($I81="Vence em breve","Programar pagamento","")))</f>
        <v>0</v>
      </c>
    </row>
    <row r="82" spans="1:12">
      <c r="A82" s="13"/>
      <c r="B82" s="13"/>
      <c r="C82" s="13"/>
      <c r="D82" s="17"/>
      <c r="E82" s="18"/>
      <c r="F82" s="17"/>
      <c r="G82" s="18"/>
      <c r="H82" s="13"/>
      <c r="I82" s="19">
        <f>IF($E82="","",IF($K82&lt;=0.005,"Pago",IF($D82="","Sem vencimento",IF($D82&lt;Hoje,"Vencida",IF($D82=Hoje,"Vence hoje",IF($D82-Hoje&lt;=DiasAlerta,"Vence em breve","A vencer"))))))</f>
        <v>0</v>
      </c>
      <c r="J82" s="20">
        <f>IF(OR($E82="",$D82=""),"",IF($K82&lt;=0.005,"",$D82-Hoje))</f>
        <v>0</v>
      </c>
      <c r="K82" s="21">
        <f>IF($E82="","",MAX(0,$E82-N($G82)))</f>
        <v>0</v>
      </c>
      <c r="L82" s="20">
        <f>IF($I82="Vencida","PAGAR JÁ (multa e juros)",IF($I82="Vence hoje","Pagar hoje",IF($I82="Vence em breve","Programar pagamento","")))</f>
        <v>0</v>
      </c>
    </row>
    <row r="83" spans="1:12">
      <c r="A83" s="13"/>
      <c r="B83" s="13"/>
      <c r="C83" s="13"/>
      <c r="D83" s="17"/>
      <c r="E83" s="18"/>
      <c r="F83" s="17"/>
      <c r="G83" s="18"/>
      <c r="H83" s="13"/>
      <c r="I83" s="19">
        <f>IF($E83="","",IF($K83&lt;=0.005,"Pago",IF($D83="","Sem vencimento",IF($D83&lt;Hoje,"Vencida",IF($D83=Hoje,"Vence hoje",IF($D83-Hoje&lt;=DiasAlerta,"Vence em breve","A vencer"))))))</f>
        <v>0</v>
      </c>
      <c r="J83" s="20">
        <f>IF(OR($E83="",$D83=""),"",IF($K83&lt;=0.005,"",$D83-Hoje))</f>
        <v>0</v>
      </c>
      <c r="K83" s="21">
        <f>IF($E83="","",MAX(0,$E83-N($G83)))</f>
        <v>0</v>
      </c>
      <c r="L83" s="20">
        <f>IF($I83="Vencida","PAGAR JÁ (multa e juros)",IF($I83="Vence hoje","Pagar hoje",IF($I83="Vence em breve","Programar pagamento","")))</f>
        <v>0</v>
      </c>
    </row>
    <row r="84" spans="1:12">
      <c r="A84" s="13"/>
      <c r="B84" s="13"/>
      <c r="C84" s="13"/>
      <c r="D84" s="17"/>
      <c r="E84" s="18"/>
      <c r="F84" s="17"/>
      <c r="G84" s="18"/>
      <c r="H84" s="13"/>
      <c r="I84" s="19">
        <f>IF($E84="","",IF($K84&lt;=0.005,"Pago",IF($D84="","Sem vencimento",IF($D84&lt;Hoje,"Vencida",IF($D84=Hoje,"Vence hoje",IF($D84-Hoje&lt;=DiasAlerta,"Vence em breve","A vencer"))))))</f>
        <v>0</v>
      </c>
      <c r="J84" s="20">
        <f>IF(OR($E84="",$D84=""),"",IF($K84&lt;=0.005,"",$D84-Hoje))</f>
        <v>0</v>
      </c>
      <c r="K84" s="21">
        <f>IF($E84="","",MAX(0,$E84-N($G84)))</f>
        <v>0</v>
      </c>
      <c r="L84" s="20">
        <f>IF($I84="Vencida","PAGAR JÁ (multa e juros)",IF($I84="Vence hoje","Pagar hoje",IF($I84="Vence em breve","Programar pagamento","")))</f>
        <v>0</v>
      </c>
    </row>
    <row r="85" spans="1:12">
      <c r="A85" s="13"/>
      <c r="B85" s="13"/>
      <c r="C85" s="13"/>
      <c r="D85" s="17"/>
      <c r="E85" s="18"/>
      <c r="F85" s="17"/>
      <c r="G85" s="18"/>
      <c r="H85" s="13"/>
      <c r="I85" s="19">
        <f>IF($E85="","",IF($K85&lt;=0.005,"Pago",IF($D85="","Sem vencimento",IF($D85&lt;Hoje,"Vencida",IF($D85=Hoje,"Vence hoje",IF($D85-Hoje&lt;=DiasAlerta,"Vence em breve","A vencer"))))))</f>
        <v>0</v>
      </c>
      <c r="J85" s="20">
        <f>IF(OR($E85="",$D85=""),"",IF($K85&lt;=0.005,"",$D85-Hoje))</f>
        <v>0</v>
      </c>
      <c r="K85" s="21">
        <f>IF($E85="","",MAX(0,$E85-N($G85)))</f>
        <v>0</v>
      </c>
      <c r="L85" s="20">
        <f>IF($I85="Vencida","PAGAR JÁ (multa e juros)",IF($I85="Vence hoje","Pagar hoje",IF($I85="Vence em breve","Programar pagamento","")))</f>
        <v>0</v>
      </c>
    </row>
    <row r="86" spans="1:12">
      <c r="A86" s="13"/>
      <c r="B86" s="13"/>
      <c r="C86" s="13"/>
      <c r="D86" s="17"/>
      <c r="E86" s="18"/>
      <c r="F86" s="17"/>
      <c r="G86" s="18"/>
      <c r="H86" s="13"/>
      <c r="I86" s="19">
        <f>IF($E86="","",IF($K86&lt;=0.005,"Pago",IF($D86="","Sem vencimento",IF($D86&lt;Hoje,"Vencida",IF($D86=Hoje,"Vence hoje",IF($D86-Hoje&lt;=DiasAlerta,"Vence em breve","A vencer"))))))</f>
        <v>0</v>
      </c>
      <c r="J86" s="20">
        <f>IF(OR($E86="",$D86=""),"",IF($K86&lt;=0.005,"",$D86-Hoje))</f>
        <v>0</v>
      </c>
      <c r="K86" s="21">
        <f>IF($E86="","",MAX(0,$E86-N($G86)))</f>
        <v>0</v>
      </c>
      <c r="L86" s="20">
        <f>IF($I86="Vencida","PAGAR JÁ (multa e juros)",IF($I86="Vence hoje","Pagar hoje",IF($I86="Vence em breve","Programar pagamento","")))</f>
        <v>0</v>
      </c>
    </row>
    <row r="87" spans="1:12">
      <c r="A87" s="13"/>
      <c r="B87" s="13"/>
      <c r="C87" s="13"/>
      <c r="D87" s="17"/>
      <c r="E87" s="18"/>
      <c r="F87" s="17"/>
      <c r="G87" s="18"/>
      <c r="H87" s="13"/>
      <c r="I87" s="19">
        <f>IF($E87="","",IF($K87&lt;=0.005,"Pago",IF($D87="","Sem vencimento",IF($D87&lt;Hoje,"Vencida",IF($D87=Hoje,"Vence hoje",IF($D87-Hoje&lt;=DiasAlerta,"Vence em breve","A vencer"))))))</f>
        <v>0</v>
      </c>
      <c r="J87" s="20">
        <f>IF(OR($E87="",$D87=""),"",IF($K87&lt;=0.005,"",$D87-Hoje))</f>
        <v>0</v>
      </c>
      <c r="K87" s="21">
        <f>IF($E87="","",MAX(0,$E87-N($G87)))</f>
        <v>0</v>
      </c>
      <c r="L87" s="20">
        <f>IF($I87="Vencida","PAGAR JÁ (multa e juros)",IF($I87="Vence hoje","Pagar hoje",IF($I87="Vence em breve","Programar pagamento","")))</f>
        <v>0</v>
      </c>
    </row>
    <row r="88" spans="1:12">
      <c r="A88" s="13"/>
      <c r="B88" s="13"/>
      <c r="C88" s="13"/>
      <c r="D88" s="17"/>
      <c r="E88" s="18"/>
      <c r="F88" s="17"/>
      <c r="G88" s="18"/>
      <c r="H88" s="13"/>
      <c r="I88" s="19">
        <f>IF($E88="","",IF($K88&lt;=0.005,"Pago",IF($D88="","Sem vencimento",IF($D88&lt;Hoje,"Vencida",IF($D88=Hoje,"Vence hoje",IF($D88-Hoje&lt;=DiasAlerta,"Vence em breve","A vencer"))))))</f>
        <v>0</v>
      </c>
      <c r="J88" s="20">
        <f>IF(OR($E88="",$D88=""),"",IF($K88&lt;=0.005,"",$D88-Hoje))</f>
        <v>0</v>
      </c>
      <c r="K88" s="21">
        <f>IF($E88="","",MAX(0,$E88-N($G88)))</f>
        <v>0</v>
      </c>
      <c r="L88" s="20">
        <f>IF($I88="Vencida","PAGAR JÁ (multa e juros)",IF($I88="Vence hoje","Pagar hoje",IF($I88="Vence em breve","Programar pagamento","")))</f>
        <v>0</v>
      </c>
    </row>
    <row r="89" spans="1:12">
      <c r="A89" s="13"/>
      <c r="B89" s="13"/>
      <c r="C89" s="13"/>
      <c r="D89" s="17"/>
      <c r="E89" s="18"/>
      <c r="F89" s="17"/>
      <c r="G89" s="18"/>
      <c r="H89" s="13"/>
      <c r="I89" s="19">
        <f>IF($E89="","",IF($K89&lt;=0.005,"Pago",IF($D89="","Sem vencimento",IF($D89&lt;Hoje,"Vencida",IF($D89=Hoje,"Vence hoje",IF($D89-Hoje&lt;=DiasAlerta,"Vence em breve","A vencer"))))))</f>
        <v>0</v>
      </c>
      <c r="J89" s="20">
        <f>IF(OR($E89="",$D89=""),"",IF($K89&lt;=0.005,"",$D89-Hoje))</f>
        <v>0</v>
      </c>
      <c r="K89" s="21">
        <f>IF($E89="","",MAX(0,$E89-N($G89)))</f>
        <v>0</v>
      </c>
      <c r="L89" s="20">
        <f>IF($I89="Vencida","PAGAR JÁ (multa e juros)",IF($I89="Vence hoje","Pagar hoje",IF($I89="Vence em breve","Programar pagamento","")))</f>
        <v>0</v>
      </c>
    </row>
    <row r="90" spans="1:12">
      <c r="A90" s="13"/>
      <c r="B90" s="13"/>
      <c r="C90" s="13"/>
      <c r="D90" s="17"/>
      <c r="E90" s="18"/>
      <c r="F90" s="17"/>
      <c r="G90" s="18"/>
      <c r="H90" s="13"/>
      <c r="I90" s="19">
        <f>IF($E90="","",IF($K90&lt;=0.005,"Pago",IF($D90="","Sem vencimento",IF($D90&lt;Hoje,"Vencida",IF($D90=Hoje,"Vence hoje",IF($D90-Hoje&lt;=DiasAlerta,"Vence em breve","A vencer"))))))</f>
        <v>0</v>
      </c>
      <c r="J90" s="20">
        <f>IF(OR($E90="",$D90=""),"",IF($K90&lt;=0.005,"",$D90-Hoje))</f>
        <v>0</v>
      </c>
      <c r="K90" s="21">
        <f>IF($E90="","",MAX(0,$E90-N($G90)))</f>
        <v>0</v>
      </c>
      <c r="L90" s="20">
        <f>IF($I90="Vencida","PAGAR JÁ (multa e juros)",IF($I90="Vence hoje","Pagar hoje",IF($I90="Vence em breve","Programar pagamento","")))</f>
        <v>0</v>
      </c>
    </row>
    <row r="91" spans="1:12">
      <c r="A91" s="13"/>
      <c r="B91" s="13"/>
      <c r="C91" s="13"/>
      <c r="D91" s="17"/>
      <c r="E91" s="18"/>
      <c r="F91" s="17"/>
      <c r="G91" s="18"/>
      <c r="H91" s="13"/>
      <c r="I91" s="19">
        <f>IF($E91="","",IF($K91&lt;=0.005,"Pago",IF($D91="","Sem vencimento",IF($D91&lt;Hoje,"Vencida",IF($D91=Hoje,"Vence hoje",IF($D91-Hoje&lt;=DiasAlerta,"Vence em breve","A vencer"))))))</f>
        <v>0</v>
      </c>
      <c r="J91" s="20">
        <f>IF(OR($E91="",$D91=""),"",IF($K91&lt;=0.005,"",$D91-Hoje))</f>
        <v>0</v>
      </c>
      <c r="K91" s="21">
        <f>IF($E91="","",MAX(0,$E91-N($G91)))</f>
        <v>0</v>
      </c>
      <c r="L91" s="20">
        <f>IF($I91="Vencida","PAGAR JÁ (multa e juros)",IF($I91="Vence hoje","Pagar hoje",IF($I91="Vence em breve","Programar pagamento","")))</f>
        <v>0</v>
      </c>
    </row>
    <row r="92" spans="1:12">
      <c r="A92" s="13"/>
      <c r="B92" s="13"/>
      <c r="C92" s="13"/>
      <c r="D92" s="17"/>
      <c r="E92" s="18"/>
      <c r="F92" s="17"/>
      <c r="G92" s="18"/>
      <c r="H92" s="13"/>
      <c r="I92" s="19">
        <f>IF($E92="","",IF($K92&lt;=0.005,"Pago",IF($D92="","Sem vencimento",IF($D92&lt;Hoje,"Vencida",IF($D92=Hoje,"Vence hoje",IF($D92-Hoje&lt;=DiasAlerta,"Vence em breve","A vencer"))))))</f>
        <v>0</v>
      </c>
      <c r="J92" s="20">
        <f>IF(OR($E92="",$D92=""),"",IF($K92&lt;=0.005,"",$D92-Hoje))</f>
        <v>0</v>
      </c>
      <c r="K92" s="21">
        <f>IF($E92="","",MAX(0,$E92-N($G92)))</f>
        <v>0</v>
      </c>
      <c r="L92" s="20">
        <f>IF($I92="Vencida","PAGAR JÁ (multa e juros)",IF($I92="Vence hoje","Pagar hoje",IF($I92="Vence em breve","Programar pagamento","")))</f>
        <v>0</v>
      </c>
    </row>
    <row r="93" spans="1:12">
      <c r="A93" s="13"/>
      <c r="B93" s="13"/>
      <c r="C93" s="13"/>
      <c r="D93" s="17"/>
      <c r="E93" s="18"/>
      <c r="F93" s="17"/>
      <c r="G93" s="18"/>
      <c r="H93" s="13"/>
      <c r="I93" s="19">
        <f>IF($E93="","",IF($K93&lt;=0.005,"Pago",IF($D93="","Sem vencimento",IF($D93&lt;Hoje,"Vencida",IF($D93=Hoje,"Vence hoje",IF($D93-Hoje&lt;=DiasAlerta,"Vence em breve","A vencer"))))))</f>
        <v>0</v>
      </c>
      <c r="J93" s="20">
        <f>IF(OR($E93="",$D93=""),"",IF($K93&lt;=0.005,"",$D93-Hoje))</f>
        <v>0</v>
      </c>
      <c r="K93" s="21">
        <f>IF($E93="","",MAX(0,$E93-N($G93)))</f>
        <v>0</v>
      </c>
      <c r="L93" s="20">
        <f>IF($I93="Vencida","PAGAR JÁ (multa e juros)",IF($I93="Vence hoje","Pagar hoje",IF($I93="Vence em breve","Programar pagamento","")))</f>
        <v>0</v>
      </c>
    </row>
    <row r="94" spans="1:12">
      <c r="A94" s="13"/>
      <c r="B94" s="13"/>
      <c r="C94" s="13"/>
      <c r="D94" s="17"/>
      <c r="E94" s="18"/>
      <c r="F94" s="17"/>
      <c r="G94" s="18"/>
      <c r="H94" s="13"/>
      <c r="I94" s="19">
        <f>IF($E94="","",IF($K94&lt;=0.005,"Pago",IF($D94="","Sem vencimento",IF($D94&lt;Hoje,"Vencida",IF($D94=Hoje,"Vence hoje",IF($D94-Hoje&lt;=DiasAlerta,"Vence em breve","A vencer"))))))</f>
        <v>0</v>
      </c>
      <c r="J94" s="20">
        <f>IF(OR($E94="",$D94=""),"",IF($K94&lt;=0.005,"",$D94-Hoje))</f>
        <v>0</v>
      </c>
      <c r="K94" s="21">
        <f>IF($E94="","",MAX(0,$E94-N($G94)))</f>
        <v>0</v>
      </c>
      <c r="L94" s="20">
        <f>IF($I94="Vencida","PAGAR JÁ (multa e juros)",IF($I94="Vence hoje","Pagar hoje",IF($I94="Vence em breve","Programar pagamento","")))</f>
        <v>0</v>
      </c>
    </row>
    <row r="95" spans="1:12">
      <c r="A95" s="13"/>
      <c r="B95" s="13"/>
      <c r="C95" s="13"/>
      <c r="D95" s="17"/>
      <c r="E95" s="18"/>
      <c r="F95" s="17"/>
      <c r="G95" s="18"/>
      <c r="H95" s="13"/>
      <c r="I95" s="19">
        <f>IF($E95="","",IF($K95&lt;=0.005,"Pago",IF($D95="","Sem vencimento",IF($D95&lt;Hoje,"Vencida",IF($D95=Hoje,"Vence hoje",IF($D95-Hoje&lt;=DiasAlerta,"Vence em breve","A vencer"))))))</f>
        <v>0</v>
      </c>
      <c r="J95" s="20">
        <f>IF(OR($E95="",$D95=""),"",IF($K95&lt;=0.005,"",$D95-Hoje))</f>
        <v>0</v>
      </c>
      <c r="K95" s="21">
        <f>IF($E95="","",MAX(0,$E95-N($G95)))</f>
        <v>0</v>
      </c>
      <c r="L95" s="20">
        <f>IF($I95="Vencida","PAGAR JÁ (multa e juros)",IF($I95="Vence hoje","Pagar hoje",IF($I95="Vence em breve","Programar pagamento","")))</f>
        <v>0</v>
      </c>
    </row>
    <row r="96" spans="1:12">
      <c r="A96" s="13"/>
      <c r="B96" s="13"/>
      <c r="C96" s="13"/>
      <c r="D96" s="17"/>
      <c r="E96" s="18"/>
      <c r="F96" s="17"/>
      <c r="G96" s="18"/>
      <c r="H96" s="13"/>
      <c r="I96" s="19">
        <f>IF($E96="","",IF($K96&lt;=0.005,"Pago",IF($D96="","Sem vencimento",IF($D96&lt;Hoje,"Vencida",IF($D96=Hoje,"Vence hoje",IF($D96-Hoje&lt;=DiasAlerta,"Vence em breve","A vencer"))))))</f>
        <v>0</v>
      </c>
      <c r="J96" s="20">
        <f>IF(OR($E96="",$D96=""),"",IF($K96&lt;=0.005,"",$D96-Hoje))</f>
        <v>0</v>
      </c>
      <c r="K96" s="21">
        <f>IF($E96="","",MAX(0,$E96-N($G96)))</f>
        <v>0</v>
      </c>
      <c r="L96" s="20">
        <f>IF($I96="Vencida","PAGAR JÁ (multa e juros)",IF($I96="Vence hoje","Pagar hoje",IF($I96="Vence em breve","Programar pagamento","")))</f>
        <v>0</v>
      </c>
    </row>
    <row r="97" spans="1:12">
      <c r="A97" s="13"/>
      <c r="B97" s="13"/>
      <c r="C97" s="13"/>
      <c r="D97" s="17"/>
      <c r="E97" s="18"/>
      <c r="F97" s="17"/>
      <c r="G97" s="18"/>
      <c r="H97" s="13"/>
      <c r="I97" s="19">
        <f>IF($E97="","",IF($K97&lt;=0.005,"Pago",IF($D97="","Sem vencimento",IF($D97&lt;Hoje,"Vencida",IF($D97=Hoje,"Vence hoje",IF($D97-Hoje&lt;=DiasAlerta,"Vence em breve","A vencer"))))))</f>
        <v>0</v>
      </c>
      <c r="J97" s="20">
        <f>IF(OR($E97="",$D97=""),"",IF($K97&lt;=0.005,"",$D97-Hoje))</f>
        <v>0</v>
      </c>
      <c r="K97" s="21">
        <f>IF($E97="","",MAX(0,$E97-N($G97)))</f>
        <v>0</v>
      </c>
      <c r="L97" s="20">
        <f>IF($I97="Vencida","PAGAR JÁ (multa e juros)",IF($I97="Vence hoje","Pagar hoje",IF($I97="Vence em breve","Programar pagamento","")))</f>
        <v>0</v>
      </c>
    </row>
    <row r="98" spans="1:12">
      <c r="A98" s="13"/>
      <c r="B98" s="13"/>
      <c r="C98" s="13"/>
      <c r="D98" s="17"/>
      <c r="E98" s="18"/>
      <c r="F98" s="17"/>
      <c r="G98" s="18"/>
      <c r="H98" s="13"/>
      <c r="I98" s="19">
        <f>IF($E98="","",IF($K98&lt;=0.005,"Pago",IF($D98="","Sem vencimento",IF($D98&lt;Hoje,"Vencida",IF($D98=Hoje,"Vence hoje",IF($D98-Hoje&lt;=DiasAlerta,"Vence em breve","A vencer"))))))</f>
        <v>0</v>
      </c>
      <c r="J98" s="20">
        <f>IF(OR($E98="",$D98=""),"",IF($K98&lt;=0.005,"",$D98-Hoje))</f>
        <v>0</v>
      </c>
      <c r="K98" s="21">
        <f>IF($E98="","",MAX(0,$E98-N($G98)))</f>
        <v>0</v>
      </c>
      <c r="L98" s="20">
        <f>IF($I98="Vencida","PAGAR JÁ (multa e juros)",IF($I98="Vence hoje","Pagar hoje",IF($I98="Vence em breve","Programar pagamento","")))</f>
        <v>0</v>
      </c>
    </row>
    <row r="99" spans="1:12">
      <c r="A99" s="13"/>
      <c r="B99" s="13"/>
      <c r="C99" s="13"/>
      <c r="D99" s="17"/>
      <c r="E99" s="18"/>
      <c r="F99" s="17"/>
      <c r="G99" s="18"/>
      <c r="H99" s="13"/>
      <c r="I99" s="19">
        <f>IF($E99="","",IF($K99&lt;=0.005,"Pago",IF($D99="","Sem vencimento",IF($D99&lt;Hoje,"Vencida",IF($D99=Hoje,"Vence hoje",IF($D99-Hoje&lt;=DiasAlerta,"Vence em breve","A vencer"))))))</f>
        <v>0</v>
      </c>
      <c r="J99" s="20">
        <f>IF(OR($E99="",$D99=""),"",IF($K99&lt;=0.005,"",$D99-Hoje))</f>
        <v>0</v>
      </c>
      <c r="K99" s="21">
        <f>IF($E99="","",MAX(0,$E99-N($G99)))</f>
        <v>0</v>
      </c>
      <c r="L99" s="20">
        <f>IF($I99="Vencida","PAGAR JÁ (multa e juros)",IF($I99="Vence hoje","Pagar hoje",IF($I99="Vence em breve","Programar pagamento","")))</f>
        <v>0</v>
      </c>
    </row>
    <row r="100" spans="1:12">
      <c r="A100" s="13"/>
      <c r="B100" s="13"/>
      <c r="C100" s="13"/>
      <c r="D100" s="17"/>
      <c r="E100" s="18"/>
      <c r="F100" s="17"/>
      <c r="G100" s="18"/>
      <c r="H100" s="13"/>
      <c r="I100" s="19">
        <f>IF($E100="","",IF($K100&lt;=0.005,"Pago",IF($D100="","Sem vencimento",IF($D100&lt;Hoje,"Vencida",IF($D100=Hoje,"Vence hoje",IF($D100-Hoje&lt;=DiasAlerta,"Vence em breve","A vencer"))))))</f>
        <v>0</v>
      </c>
      <c r="J100" s="20">
        <f>IF(OR($E100="",$D100=""),"",IF($K100&lt;=0.005,"",$D100-Hoje))</f>
        <v>0</v>
      </c>
      <c r="K100" s="21">
        <f>IF($E100="","",MAX(0,$E100-N($G100)))</f>
        <v>0</v>
      </c>
      <c r="L100" s="20">
        <f>IF($I100="Vencida","PAGAR JÁ (multa e juros)",IF($I100="Vence hoje","Pagar hoje",IF($I100="Vence em breve","Programar pagamento","")))</f>
        <v>0</v>
      </c>
    </row>
    <row r="101" spans="1:12">
      <c r="A101" s="13"/>
      <c r="B101" s="13"/>
      <c r="C101" s="13"/>
      <c r="D101" s="17"/>
      <c r="E101" s="18"/>
      <c r="F101" s="17"/>
      <c r="G101" s="18"/>
      <c r="H101" s="13"/>
      <c r="I101" s="19">
        <f>IF($E101="","",IF($K101&lt;=0.005,"Pago",IF($D101="","Sem vencimento",IF($D101&lt;Hoje,"Vencida",IF($D101=Hoje,"Vence hoje",IF($D101-Hoje&lt;=DiasAlerta,"Vence em breve","A vencer"))))))</f>
        <v>0</v>
      </c>
      <c r="J101" s="20">
        <f>IF(OR($E101="",$D101=""),"",IF($K101&lt;=0.005,"",$D101-Hoje))</f>
        <v>0</v>
      </c>
      <c r="K101" s="21">
        <f>IF($E101="","",MAX(0,$E101-N($G101)))</f>
        <v>0</v>
      </c>
      <c r="L101" s="20">
        <f>IF($I101="Vencida","PAGAR JÁ (multa e juros)",IF($I101="Vence hoje","Pagar hoje",IF($I101="Vence em breve","Programar pagamento","")))</f>
        <v>0</v>
      </c>
    </row>
    <row r="102" spans="1:12">
      <c r="A102" s="13"/>
      <c r="B102" s="13"/>
      <c r="C102" s="13"/>
      <c r="D102" s="17"/>
      <c r="E102" s="18"/>
      <c r="F102" s="17"/>
      <c r="G102" s="18"/>
      <c r="H102" s="13"/>
      <c r="I102" s="19">
        <f>IF($E102="","",IF($K102&lt;=0.005,"Pago",IF($D102="","Sem vencimento",IF($D102&lt;Hoje,"Vencida",IF($D102=Hoje,"Vence hoje",IF($D102-Hoje&lt;=DiasAlerta,"Vence em breve","A vencer"))))))</f>
        <v>0</v>
      </c>
      <c r="J102" s="20">
        <f>IF(OR($E102="",$D102=""),"",IF($K102&lt;=0.005,"",$D102-Hoje))</f>
        <v>0</v>
      </c>
      <c r="K102" s="21">
        <f>IF($E102="","",MAX(0,$E102-N($G102)))</f>
        <v>0</v>
      </c>
      <c r="L102" s="20">
        <f>IF($I102="Vencida","PAGAR JÁ (multa e juros)",IF($I102="Vence hoje","Pagar hoje",IF($I102="Vence em breve","Programar pagamento","")))</f>
        <v>0</v>
      </c>
    </row>
    <row r="103" spans="1:12">
      <c r="A103" s="13"/>
      <c r="B103" s="13"/>
      <c r="C103" s="13"/>
      <c r="D103" s="17"/>
      <c r="E103" s="18"/>
      <c r="F103" s="17"/>
      <c r="G103" s="18"/>
      <c r="H103" s="13"/>
      <c r="I103" s="19">
        <f>IF($E103="","",IF($K103&lt;=0.005,"Pago",IF($D103="","Sem vencimento",IF($D103&lt;Hoje,"Vencida",IF($D103=Hoje,"Vence hoje",IF($D103-Hoje&lt;=DiasAlerta,"Vence em breve","A vencer"))))))</f>
        <v>0</v>
      </c>
      <c r="J103" s="20">
        <f>IF(OR($E103="",$D103=""),"",IF($K103&lt;=0.005,"",$D103-Hoje))</f>
        <v>0</v>
      </c>
      <c r="K103" s="21">
        <f>IF($E103="","",MAX(0,$E103-N($G103)))</f>
        <v>0</v>
      </c>
      <c r="L103" s="20">
        <f>IF($I103="Vencida","PAGAR JÁ (multa e juros)",IF($I103="Vence hoje","Pagar hoje",IF($I103="Vence em breve","Programar pagamento","")))</f>
        <v>0</v>
      </c>
    </row>
    <row r="104" spans="1:12">
      <c r="A104" s="13"/>
      <c r="B104" s="13"/>
      <c r="C104" s="13"/>
      <c r="D104" s="17"/>
      <c r="E104" s="18"/>
      <c r="F104" s="17"/>
      <c r="G104" s="18"/>
      <c r="H104" s="13"/>
      <c r="I104" s="19">
        <f>IF($E104="","",IF($K104&lt;=0.005,"Pago",IF($D104="","Sem vencimento",IF($D104&lt;Hoje,"Vencida",IF($D104=Hoje,"Vence hoje",IF($D104-Hoje&lt;=DiasAlerta,"Vence em breve","A vencer"))))))</f>
        <v>0</v>
      </c>
      <c r="J104" s="20">
        <f>IF(OR($E104="",$D104=""),"",IF($K104&lt;=0.005,"",$D104-Hoje))</f>
        <v>0</v>
      </c>
      <c r="K104" s="21">
        <f>IF($E104="","",MAX(0,$E104-N($G104)))</f>
        <v>0</v>
      </c>
      <c r="L104" s="20">
        <f>IF($I104="Vencida","PAGAR JÁ (multa e juros)",IF($I104="Vence hoje","Pagar hoje",IF($I104="Vence em breve","Programar pagamento","")))</f>
        <v>0</v>
      </c>
    </row>
    <row r="105" spans="1:12">
      <c r="A105" s="13"/>
      <c r="B105" s="13"/>
      <c r="C105" s="13"/>
      <c r="D105" s="17"/>
      <c r="E105" s="18"/>
      <c r="F105" s="17"/>
      <c r="G105" s="18"/>
      <c r="H105" s="13"/>
      <c r="I105" s="19">
        <f>IF($E105="","",IF($K105&lt;=0.005,"Pago",IF($D105="","Sem vencimento",IF($D105&lt;Hoje,"Vencida",IF($D105=Hoje,"Vence hoje",IF($D105-Hoje&lt;=DiasAlerta,"Vence em breve","A vencer"))))))</f>
        <v>0</v>
      </c>
      <c r="J105" s="20">
        <f>IF(OR($E105="",$D105=""),"",IF($K105&lt;=0.005,"",$D105-Hoje))</f>
        <v>0</v>
      </c>
      <c r="K105" s="21">
        <f>IF($E105="","",MAX(0,$E105-N($G105)))</f>
        <v>0</v>
      </c>
      <c r="L105" s="20">
        <f>IF($I105="Vencida","PAGAR JÁ (multa e juros)",IF($I105="Vence hoje","Pagar hoje",IF($I105="Vence em breve","Programar pagamento","")))</f>
        <v>0</v>
      </c>
    </row>
    <row r="106" spans="1:12">
      <c r="A106" s="13"/>
      <c r="B106" s="13"/>
      <c r="C106" s="13"/>
      <c r="D106" s="17"/>
      <c r="E106" s="18"/>
      <c r="F106" s="17"/>
      <c r="G106" s="18"/>
      <c r="H106" s="13"/>
      <c r="I106" s="19">
        <f>IF($E106="","",IF($K106&lt;=0.005,"Pago",IF($D106="","Sem vencimento",IF($D106&lt;Hoje,"Vencida",IF($D106=Hoje,"Vence hoje",IF($D106-Hoje&lt;=DiasAlerta,"Vence em breve","A vencer"))))))</f>
        <v>0</v>
      </c>
      <c r="J106" s="20">
        <f>IF(OR($E106="",$D106=""),"",IF($K106&lt;=0.005,"",$D106-Hoje))</f>
        <v>0</v>
      </c>
      <c r="K106" s="21">
        <f>IF($E106="","",MAX(0,$E106-N($G106)))</f>
        <v>0</v>
      </c>
      <c r="L106" s="20">
        <f>IF($I106="Vencida","PAGAR JÁ (multa e juros)",IF($I106="Vence hoje","Pagar hoje",IF($I106="Vence em breve","Programar pagamento","")))</f>
        <v>0</v>
      </c>
    </row>
    <row r="107" spans="1:12">
      <c r="A107" s="13"/>
      <c r="B107" s="13"/>
      <c r="C107" s="13"/>
      <c r="D107" s="17"/>
      <c r="E107" s="18"/>
      <c r="F107" s="17"/>
      <c r="G107" s="18"/>
      <c r="H107" s="13"/>
      <c r="I107" s="19">
        <f>IF($E107="","",IF($K107&lt;=0.005,"Pago",IF($D107="","Sem vencimento",IF($D107&lt;Hoje,"Vencida",IF($D107=Hoje,"Vence hoje",IF($D107-Hoje&lt;=DiasAlerta,"Vence em breve","A vencer"))))))</f>
        <v>0</v>
      </c>
      <c r="J107" s="20">
        <f>IF(OR($E107="",$D107=""),"",IF($K107&lt;=0.005,"",$D107-Hoje))</f>
        <v>0</v>
      </c>
      <c r="K107" s="21">
        <f>IF($E107="","",MAX(0,$E107-N($G107)))</f>
        <v>0</v>
      </c>
      <c r="L107" s="20">
        <f>IF($I107="Vencida","PAGAR JÁ (multa e juros)",IF($I107="Vence hoje","Pagar hoje",IF($I107="Vence em breve","Programar pagamento","")))</f>
        <v>0</v>
      </c>
    </row>
    <row r="108" spans="1:12">
      <c r="A108" s="13"/>
      <c r="B108" s="13"/>
      <c r="C108" s="13"/>
      <c r="D108" s="17"/>
      <c r="E108" s="18"/>
      <c r="F108" s="17"/>
      <c r="G108" s="18"/>
      <c r="H108" s="13"/>
      <c r="I108" s="19">
        <f>IF($E108="","",IF($K108&lt;=0.005,"Pago",IF($D108="","Sem vencimento",IF($D108&lt;Hoje,"Vencida",IF($D108=Hoje,"Vence hoje",IF($D108-Hoje&lt;=DiasAlerta,"Vence em breve","A vencer"))))))</f>
        <v>0</v>
      </c>
      <c r="J108" s="20">
        <f>IF(OR($E108="",$D108=""),"",IF($K108&lt;=0.005,"",$D108-Hoje))</f>
        <v>0</v>
      </c>
      <c r="K108" s="21">
        <f>IF($E108="","",MAX(0,$E108-N($G108)))</f>
        <v>0</v>
      </c>
      <c r="L108" s="20">
        <f>IF($I108="Vencida","PAGAR JÁ (multa e juros)",IF($I108="Vence hoje","Pagar hoje",IF($I108="Vence em breve","Programar pagamento","")))</f>
        <v>0</v>
      </c>
    </row>
    <row r="109" spans="1:12">
      <c r="A109" s="13"/>
      <c r="B109" s="13"/>
      <c r="C109" s="13"/>
      <c r="D109" s="17"/>
      <c r="E109" s="18"/>
      <c r="F109" s="17"/>
      <c r="G109" s="18"/>
      <c r="H109" s="13"/>
      <c r="I109" s="19">
        <f>IF($E109="","",IF($K109&lt;=0.005,"Pago",IF($D109="","Sem vencimento",IF($D109&lt;Hoje,"Vencida",IF($D109=Hoje,"Vence hoje",IF($D109-Hoje&lt;=DiasAlerta,"Vence em breve","A vencer"))))))</f>
        <v>0</v>
      </c>
      <c r="J109" s="20">
        <f>IF(OR($E109="",$D109=""),"",IF($K109&lt;=0.005,"",$D109-Hoje))</f>
        <v>0</v>
      </c>
      <c r="K109" s="21">
        <f>IF($E109="","",MAX(0,$E109-N($G109)))</f>
        <v>0</v>
      </c>
      <c r="L109" s="20">
        <f>IF($I109="Vencida","PAGAR JÁ (multa e juros)",IF($I109="Vence hoje","Pagar hoje",IF($I109="Vence em breve","Programar pagamento","")))</f>
        <v>0</v>
      </c>
    </row>
    <row r="110" spans="1:12">
      <c r="A110" s="13"/>
      <c r="B110" s="13"/>
      <c r="C110" s="13"/>
      <c r="D110" s="17"/>
      <c r="E110" s="18"/>
      <c r="F110" s="17"/>
      <c r="G110" s="18"/>
      <c r="H110" s="13"/>
      <c r="I110" s="19">
        <f>IF($E110="","",IF($K110&lt;=0.005,"Pago",IF($D110="","Sem vencimento",IF($D110&lt;Hoje,"Vencida",IF($D110=Hoje,"Vence hoje",IF($D110-Hoje&lt;=DiasAlerta,"Vence em breve","A vencer"))))))</f>
        <v>0</v>
      </c>
      <c r="J110" s="20">
        <f>IF(OR($E110="",$D110=""),"",IF($K110&lt;=0.005,"",$D110-Hoje))</f>
        <v>0</v>
      </c>
      <c r="K110" s="21">
        <f>IF($E110="","",MAX(0,$E110-N($G110)))</f>
        <v>0</v>
      </c>
      <c r="L110" s="20">
        <f>IF($I110="Vencida","PAGAR JÁ (multa e juros)",IF($I110="Vence hoje","Pagar hoje",IF($I110="Vence em breve","Programar pagamento","")))</f>
        <v>0</v>
      </c>
    </row>
    <row r="111" spans="1:12">
      <c r="A111" s="13"/>
      <c r="B111" s="13"/>
      <c r="C111" s="13"/>
      <c r="D111" s="17"/>
      <c r="E111" s="18"/>
      <c r="F111" s="17"/>
      <c r="G111" s="18"/>
      <c r="H111" s="13"/>
      <c r="I111" s="19">
        <f>IF($E111="","",IF($K111&lt;=0.005,"Pago",IF($D111="","Sem vencimento",IF($D111&lt;Hoje,"Vencida",IF($D111=Hoje,"Vence hoje",IF($D111-Hoje&lt;=DiasAlerta,"Vence em breve","A vencer"))))))</f>
        <v>0</v>
      </c>
      <c r="J111" s="20">
        <f>IF(OR($E111="",$D111=""),"",IF($K111&lt;=0.005,"",$D111-Hoje))</f>
        <v>0</v>
      </c>
      <c r="K111" s="21">
        <f>IF($E111="","",MAX(0,$E111-N($G111)))</f>
        <v>0</v>
      </c>
      <c r="L111" s="20">
        <f>IF($I111="Vencida","PAGAR JÁ (multa e juros)",IF($I111="Vence hoje","Pagar hoje",IF($I111="Vence em breve","Programar pagamento","")))</f>
        <v>0</v>
      </c>
    </row>
    <row r="112" spans="1:12">
      <c r="A112" s="13"/>
      <c r="B112" s="13"/>
      <c r="C112" s="13"/>
      <c r="D112" s="17"/>
      <c r="E112" s="18"/>
      <c r="F112" s="17"/>
      <c r="G112" s="18"/>
      <c r="H112" s="13"/>
      <c r="I112" s="19">
        <f>IF($E112="","",IF($K112&lt;=0.005,"Pago",IF($D112="","Sem vencimento",IF($D112&lt;Hoje,"Vencida",IF($D112=Hoje,"Vence hoje",IF($D112-Hoje&lt;=DiasAlerta,"Vence em breve","A vencer"))))))</f>
        <v>0</v>
      </c>
      <c r="J112" s="20">
        <f>IF(OR($E112="",$D112=""),"",IF($K112&lt;=0.005,"",$D112-Hoje))</f>
        <v>0</v>
      </c>
      <c r="K112" s="21">
        <f>IF($E112="","",MAX(0,$E112-N($G112)))</f>
        <v>0</v>
      </c>
      <c r="L112" s="20">
        <f>IF($I112="Vencida","PAGAR JÁ (multa e juros)",IF($I112="Vence hoje","Pagar hoje",IF($I112="Vence em breve","Programar pagamento","")))</f>
        <v>0</v>
      </c>
    </row>
    <row r="113" spans="1:12">
      <c r="A113" s="13"/>
      <c r="B113" s="13"/>
      <c r="C113" s="13"/>
      <c r="D113" s="17"/>
      <c r="E113" s="18"/>
      <c r="F113" s="17"/>
      <c r="G113" s="18"/>
      <c r="H113" s="13"/>
      <c r="I113" s="19">
        <f>IF($E113="","",IF($K113&lt;=0.005,"Pago",IF($D113="","Sem vencimento",IF($D113&lt;Hoje,"Vencida",IF($D113=Hoje,"Vence hoje",IF($D113-Hoje&lt;=DiasAlerta,"Vence em breve","A vencer"))))))</f>
        <v>0</v>
      </c>
      <c r="J113" s="20">
        <f>IF(OR($E113="",$D113=""),"",IF($K113&lt;=0.005,"",$D113-Hoje))</f>
        <v>0</v>
      </c>
      <c r="K113" s="21">
        <f>IF($E113="","",MAX(0,$E113-N($G113)))</f>
        <v>0</v>
      </c>
      <c r="L113" s="20">
        <f>IF($I113="Vencida","PAGAR JÁ (multa e juros)",IF($I113="Vence hoje","Pagar hoje",IF($I113="Vence em breve","Programar pagamento","")))</f>
        <v>0</v>
      </c>
    </row>
    <row r="114" spans="1:12">
      <c r="A114" s="13"/>
      <c r="B114" s="13"/>
      <c r="C114" s="13"/>
      <c r="D114" s="17"/>
      <c r="E114" s="18"/>
      <c r="F114" s="17"/>
      <c r="G114" s="18"/>
      <c r="H114" s="13"/>
      <c r="I114" s="19">
        <f>IF($E114="","",IF($K114&lt;=0.005,"Pago",IF($D114="","Sem vencimento",IF($D114&lt;Hoje,"Vencida",IF($D114=Hoje,"Vence hoje",IF($D114-Hoje&lt;=DiasAlerta,"Vence em breve","A vencer"))))))</f>
        <v>0</v>
      </c>
      <c r="J114" s="20">
        <f>IF(OR($E114="",$D114=""),"",IF($K114&lt;=0.005,"",$D114-Hoje))</f>
        <v>0</v>
      </c>
      <c r="K114" s="21">
        <f>IF($E114="","",MAX(0,$E114-N($G114)))</f>
        <v>0</v>
      </c>
      <c r="L114" s="20">
        <f>IF($I114="Vencida","PAGAR JÁ (multa e juros)",IF($I114="Vence hoje","Pagar hoje",IF($I114="Vence em breve","Programar pagamento","")))</f>
        <v>0</v>
      </c>
    </row>
    <row r="115" spans="1:12">
      <c r="A115" s="13"/>
      <c r="B115" s="13"/>
      <c r="C115" s="13"/>
      <c r="D115" s="17"/>
      <c r="E115" s="18"/>
      <c r="F115" s="17"/>
      <c r="G115" s="18"/>
      <c r="H115" s="13"/>
      <c r="I115" s="19">
        <f>IF($E115="","",IF($K115&lt;=0.005,"Pago",IF($D115="","Sem vencimento",IF($D115&lt;Hoje,"Vencida",IF($D115=Hoje,"Vence hoje",IF($D115-Hoje&lt;=DiasAlerta,"Vence em breve","A vencer"))))))</f>
        <v>0</v>
      </c>
      <c r="J115" s="20">
        <f>IF(OR($E115="",$D115=""),"",IF($K115&lt;=0.005,"",$D115-Hoje))</f>
        <v>0</v>
      </c>
      <c r="K115" s="21">
        <f>IF($E115="","",MAX(0,$E115-N($G115)))</f>
        <v>0</v>
      </c>
      <c r="L115" s="20">
        <f>IF($I115="Vencida","PAGAR JÁ (multa e juros)",IF($I115="Vence hoje","Pagar hoje",IF($I115="Vence em breve","Programar pagamento","")))</f>
        <v>0</v>
      </c>
    </row>
    <row r="116" spans="1:12">
      <c r="A116" s="13"/>
      <c r="B116" s="13"/>
      <c r="C116" s="13"/>
      <c r="D116" s="17"/>
      <c r="E116" s="18"/>
      <c r="F116" s="17"/>
      <c r="G116" s="18"/>
      <c r="H116" s="13"/>
      <c r="I116" s="19">
        <f>IF($E116="","",IF($K116&lt;=0.005,"Pago",IF($D116="","Sem vencimento",IF($D116&lt;Hoje,"Vencida",IF($D116=Hoje,"Vence hoje",IF($D116-Hoje&lt;=DiasAlerta,"Vence em breve","A vencer"))))))</f>
        <v>0</v>
      </c>
      <c r="J116" s="20">
        <f>IF(OR($E116="",$D116=""),"",IF($K116&lt;=0.005,"",$D116-Hoje))</f>
        <v>0</v>
      </c>
      <c r="K116" s="21">
        <f>IF($E116="","",MAX(0,$E116-N($G116)))</f>
        <v>0</v>
      </c>
      <c r="L116" s="20">
        <f>IF($I116="Vencida","PAGAR JÁ (multa e juros)",IF($I116="Vence hoje","Pagar hoje",IF($I116="Vence em breve","Programar pagamento","")))</f>
        <v>0</v>
      </c>
    </row>
    <row r="117" spans="1:12">
      <c r="A117" s="13"/>
      <c r="B117" s="13"/>
      <c r="C117" s="13"/>
      <c r="D117" s="17"/>
      <c r="E117" s="18"/>
      <c r="F117" s="17"/>
      <c r="G117" s="18"/>
      <c r="H117" s="13"/>
      <c r="I117" s="19">
        <f>IF($E117="","",IF($K117&lt;=0.005,"Pago",IF($D117="","Sem vencimento",IF($D117&lt;Hoje,"Vencida",IF($D117=Hoje,"Vence hoje",IF($D117-Hoje&lt;=DiasAlerta,"Vence em breve","A vencer"))))))</f>
        <v>0</v>
      </c>
      <c r="J117" s="20">
        <f>IF(OR($E117="",$D117=""),"",IF($K117&lt;=0.005,"",$D117-Hoje))</f>
        <v>0</v>
      </c>
      <c r="K117" s="21">
        <f>IF($E117="","",MAX(0,$E117-N($G117)))</f>
        <v>0</v>
      </c>
      <c r="L117" s="20">
        <f>IF($I117="Vencida","PAGAR JÁ (multa e juros)",IF($I117="Vence hoje","Pagar hoje",IF($I117="Vence em breve","Programar pagamento","")))</f>
        <v>0</v>
      </c>
    </row>
    <row r="118" spans="1:12">
      <c r="A118" s="13"/>
      <c r="B118" s="13"/>
      <c r="C118" s="13"/>
      <c r="D118" s="17"/>
      <c r="E118" s="18"/>
      <c r="F118" s="17"/>
      <c r="G118" s="18"/>
      <c r="H118" s="13"/>
      <c r="I118" s="19">
        <f>IF($E118="","",IF($K118&lt;=0.005,"Pago",IF($D118="","Sem vencimento",IF($D118&lt;Hoje,"Vencida",IF($D118=Hoje,"Vence hoje",IF($D118-Hoje&lt;=DiasAlerta,"Vence em breve","A vencer"))))))</f>
        <v>0</v>
      </c>
      <c r="J118" s="20">
        <f>IF(OR($E118="",$D118=""),"",IF($K118&lt;=0.005,"",$D118-Hoje))</f>
        <v>0</v>
      </c>
      <c r="K118" s="21">
        <f>IF($E118="","",MAX(0,$E118-N($G118)))</f>
        <v>0</v>
      </c>
      <c r="L118" s="20">
        <f>IF($I118="Vencida","PAGAR JÁ (multa e juros)",IF($I118="Vence hoje","Pagar hoje",IF($I118="Vence em breve","Programar pagamento","")))</f>
        <v>0</v>
      </c>
    </row>
    <row r="119" spans="1:12">
      <c r="A119" s="13"/>
      <c r="B119" s="13"/>
      <c r="C119" s="13"/>
      <c r="D119" s="17"/>
      <c r="E119" s="18"/>
      <c r="F119" s="17"/>
      <c r="G119" s="18"/>
      <c r="H119" s="13"/>
      <c r="I119" s="19">
        <f>IF($E119="","",IF($K119&lt;=0.005,"Pago",IF($D119="","Sem vencimento",IF($D119&lt;Hoje,"Vencida",IF($D119=Hoje,"Vence hoje",IF($D119-Hoje&lt;=DiasAlerta,"Vence em breve","A vencer"))))))</f>
        <v>0</v>
      </c>
      <c r="J119" s="20">
        <f>IF(OR($E119="",$D119=""),"",IF($K119&lt;=0.005,"",$D119-Hoje))</f>
        <v>0</v>
      </c>
      <c r="K119" s="21">
        <f>IF($E119="","",MAX(0,$E119-N($G119)))</f>
        <v>0</v>
      </c>
      <c r="L119" s="20">
        <f>IF($I119="Vencida","PAGAR JÁ (multa e juros)",IF($I119="Vence hoje","Pagar hoje",IF($I119="Vence em breve","Programar pagamento","")))</f>
        <v>0</v>
      </c>
    </row>
    <row r="120" spans="1:12">
      <c r="A120" s="13"/>
      <c r="B120" s="13"/>
      <c r="C120" s="13"/>
      <c r="D120" s="17"/>
      <c r="E120" s="18"/>
      <c r="F120" s="17"/>
      <c r="G120" s="18"/>
      <c r="H120" s="13"/>
      <c r="I120" s="19">
        <f>IF($E120="","",IF($K120&lt;=0.005,"Pago",IF($D120="","Sem vencimento",IF($D120&lt;Hoje,"Vencida",IF($D120=Hoje,"Vence hoje",IF($D120-Hoje&lt;=DiasAlerta,"Vence em breve","A vencer"))))))</f>
        <v>0</v>
      </c>
      <c r="J120" s="20">
        <f>IF(OR($E120="",$D120=""),"",IF($K120&lt;=0.005,"",$D120-Hoje))</f>
        <v>0</v>
      </c>
      <c r="K120" s="21">
        <f>IF($E120="","",MAX(0,$E120-N($G120)))</f>
        <v>0</v>
      </c>
      <c r="L120" s="20">
        <f>IF($I120="Vencida","PAGAR JÁ (multa e juros)",IF($I120="Vence hoje","Pagar hoje",IF($I120="Vence em breve","Programar pagamento","")))</f>
        <v>0</v>
      </c>
    </row>
    <row r="121" spans="1:12">
      <c r="A121" s="13"/>
      <c r="B121" s="13"/>
      <c r="C121" s="13"/>
      <c r="D121" s="17"/>
      <c r="E121" s="18"/>
      <c r="F121" s="17"/>
      <c r="G121" s="18"/>
      <c r="H121" s="13"/>
      <c r="I121" s="19">
        <f>IF($E121="","",IF($K121&lt;=0.005,"Pago",IF($D121="","Sem vencimento",IF($D121&lt;Hoje,"Vencida",IF($D121=Hoje,"Vence hoje",IF($D121-Hoje&lt;=DiasAlerta,"Vence em breve","A vencer"))))))</f>
        <v>0</v>
      </c>
      <c r="J121" s="20">
        <f>IF(OR($E121="",$D121=""),"",IF($K121&lt;=0.005,"",$D121-Hoje))</f>
        <v>0</v>
      </c>
      <c r="K121" s="21">
        <f>IF($E121="","",MAX(0,$E121-N($G121)))</f>
        <v>0</v>
      </c>
      <c r="L121" s="20">
        <f>IF($I121="Vencida","PAGAR JÁ (multa e juros)",IF($I121="Vence hoje","Pagar hoje",IF($I121="Vence em breve","Programar pagamento","")))</f>
        <v>0</v>
      </c>
    </row>
    <row r="122" spans="1:12">
      <c r="A122" s="13"/>
      <c r="B122" s="13"/>
      <c r="C122" s="13"/>
      <c r="D122" s="17"/>
      <c r="E122" s="18"/>
      <c r="F122" s="17"/>
      <c r="G122" s="18"/>
      <c r="H122" s="13"/>
      <c r="I122" s="19">
        <f>IF($E122="","",IF($K122&lt;=0.005,"Pago",IF($D122="","Sem vencimento",IF($D122&lt;Hoje,"Vencida",IF($D122=Hoje,"Vence hoje",IF($D122-Hoje&lt;=DiasAlerta,"Vence em breve","A vencer"))))))</f>
        <v>0</v>
      </c>
      <c r="J122" s="20">
        <f>IF(OR($E122="",$D122=""),"",IF($K122&lt;=0.005,"",$D122-Hoje))</f>
        <v>0</v>
      </c>
      <c r="K122" s="21">
        <f>IF($E122="","",MAX(0,$E122-N($G122)))</f>
        <v>0</v>
      </c>
      <c r="L122" s="20">
        <f>IF($I122="Vencida","PAGAR JÁ (multa e juros)",IF($I122="Vence hoje","Pagar hoje",IF($I122="Vence em breve","Programar pagamento","")))</f>
        <v>0</v>
      </c>
    </row>
    <row r="123" spans="1:12">
      <c r="A123" s="13"/>
      <c r="B123" s="13"/>
      <c r="C123" s="13"/>
      <c r="D123" s="17"/>
      <c r="E123" s="18"/>
      <c r="F123" s="17"/>
      <c r="G123" s="18"/>
      <c r="H123" s="13"/>
      <c r="I123" s="19">
        <f>IF($E123="","",IF($K123&lt;=0.005,"Pago",IF($D123="","Sem vencimento",IF($D123&lt;Hoje,"Vencida",IF($D123=Hoje,"Vence hoje",IF($D123-Hoje&lt;=DiasAlerta,"Vence em breve","A vencer"))))))</f>
        <v>0</v>
      </c>
      <c r="J123" s="20">
        <f>IF(OR($E123="",$D123=""),"",IF($K123&lt;=0.005,"",$D123-Hoje))</f>
        <v>0</v>
      </c>
      <c r="K123" s="21">
        <f>IF($E123="","",MAX(0,$E123-N($G123)))</f>
        <v>0</v>
      </c>
      <c r="L123" s="20">
        <f>IF($I123="Vencida","PAGAR JÁ (multa e juros)",IF($I123="Vence hoje","Pagar hoje",IF($I123="Vence em breve","Programar pagamento","")))</f>
        <v>0</v>
      </c>
    </row>
    <row r="124" spans="1:12">
      <c r="A124" s="13"/>
      <c r="B124" s="13"/>
      <c r="C124" s="13"/>
      <c r="D124" s="17"/>
      <c r="E124" s="18"/>
      <c r="F124" s="17"/>
      <c r="G124" s="18"/>
      <c r="H124" s="13"/>
      <c r="I124" s="19">
        <f>IF($E124="","",IF($K124&lt;=0.005,"Pago",IF($D124="","Sem vencimento",IF($D124&lt;Hoje,"Vencida",IF($D124=Hoje,"Vence hoje",IF($D124-Hoje&lt;=DiasAlerta,"Vence em breve","A vencer"))))))</f>
        <v>0</v>
      </c>
      <c r="J124" s="20">
        <f>IF(OR($E124="",$D124=""),"",IF($K124&lt;=0.005,"",$D124-Hoje))</f>
        <v>0</v>
      </c>
      <c r="K124" s="21">
        <f>IF($E124="","",MAX(0,$E124-N($G124)))</f>
        <v>0</v>
      </c>
      <c r="L124" s="20">
        <f>IF($I124="Vencida","PAGAR JÁ (multa e juros)",IF($I124="Vence hoje","Pagar hoje",IF($I124="Vence em breve","Programar pagamento","")))</f>
        <v>0</v>
      </c>
    </row>
    <row r="125" spans="1:12">
      <c r="A125" s="13"/>
      <c r="B125" s="13"/>
      <c r="C125" s="13"/>
      <c r="D125" s="17"/>
      <c r="E125" s="18"/>
      <c r="F125" s="17"/>
      <c r="G125" s="18"/>
      <c r="H125" s="13"/>
      <c r="I125" s="19">
        <f>IF($E125="","",IF($K125&lt;=0.005,"Pago",IF($D125="","Sem vencimento",IF($D125&lt;Hoje,"Vencida",IF($D125=Hoje,"Vence hoje",IF($D125-Hoje&lt;=DiasAlerta,"Vence em breve","A vencer"))))))</f>
        <v>0</v>
      </c>
      <c r="J125" s="20">
        <f>IF(OR($E125="",$D125=""),"",IF($K125&lt;=0.005,"",$D125-Hoje))</f>
        <v>0</v>
      </c>
      <c r="K125" s="21">
        <f>IF($E125="","",MAX(0,$E125-N($G125)))</f>
        <v>0</v>
      </c>
      <c r="L125" s="20">
        <f>IF($I125="Vencida","PAGAR JÁ (multa e juros)",IF($I125="Vence hoje","Pagar hoje",IF($I125="Vence em breve","Programar pagamento","")))</f>
        <v>0</v>
      </c>
    </row>
    <row r="126" spans="1:12">
      <c r="A126" s="13"/>
      <c r="B126" s="13"/>
      <c r="C126" s="13"/>
      <c r="D126" s="17"/>
      <c r="E126" s="18"/>
      <c r="F126" s="17"/>
      <c r="G126" s="18"/>
      <c r="H126" s="13"/>
      <c r="I126" s="19">
        <f>IF($E126="","",IF($K126&lt;=0.005,"Pago",IF($D126="","Sem vencimento",IF($D126&lt;Hoje,"Vencida",IF($D126=Hoje,"Vence hoje",IF($D126-Hoje&lt;=DiasAlerta,"Vence em breve","A vencer"))))))</f>
        <v>0</v>
      </c>
      <c r="J126" s="20">
        <f>IF(OR($E126="",$D126=""),"",IF($K126&lt;=0.005,"",$D126-Hoje))</f>
        <v>0</v>
      </c>
      <c r="K126" s="21">
        <f>IF($E126="","",MAX(0,$E126-N($G126)))</f>
        <v>0</v>
      </c>
      <c r="L126" s="20">
        <f>IF($I126="Vencida","PAGAR JÁ (multa e juros)",IF($I126="Vence hoje","Pagar hoje",IF($I126="Vence em breve","Programar pagamento","")))</f>
        <v>0</v>
      </c>
    </row>
    <row r="127" spans="1:12">
      <c r="A127" s="13"/>
      <c r="B127" s="13"/>
      <c r="C127" s="13"/>
      <c r="D127" s="17"/>
      <c r="E127" s="18"/>
      <c r="F127" s="17"/>
      <c r="G127" s="18"/>
      <c r="H127" s="13"/>
      <c r="I127" s="19">
        <f>IF($E127="","",IF($K127&lt;=0.005,"Pago",IF($D127="","Sem vencimento",IF($D127&lt;Hoje,"Vencida",IF($D127=Hoje,"Vence hoje",IF($D127-Hoje&lt;=DiasAlerta,"Vence em breve","A vencer"))))))</f>
        <v>0</v>
      </c>
      <c r="J127" s="20">
        <f>IF(OR($E127="",$D127=""),"",IF($K127&lt;=0.005,"",$D127-Hoje))</f>
        <v>0</v>
      </c>
      <c r="K127" s="21">
        <f>IF($E127="","",MAX(0,$E127-N($G127)))</f>
        <v>0</v>
      </c>
      <c r="L127" s="20">
        <f>IF($I127="Vencida","PAGAR JÁ (multa e juros)",IF($I127="Vence hoje","Pagar hoje",IF($I127="Vence em breve","Programar pagamento","")))</f>
        <v>0</v>
      </c>
    </row>
    <row r="128" spans="1:12">
      <c r="A128" s="13"/>
      <c r="B128" s="13"/>
      <c r="C128" s="13"/>
      <c r="D128" s="17"/>
      <c r="E128" s="18"/>
      <c r="F128" s="17"/>
      <c r="G128" s="18"/>
      <c r="H128" s="13"/>
      <c r="I128" s="19">
        <f>IF($E128="","",IF($K128&lt;=0.005,"Pago",IF($D128="","Sem vencimento",IF($D128&lt;Hoje,"Vencida",IF($D128=Hoje,"Vence hoje",IF($D128-Hoje&lt;=DiasAlerta,"Vence em breve","A vencer"))))))</f>
        <v>0</v>
      </c>
      <c r="J128" s="20">
        <f>IF(OR($E128="",$D128=""),"",IF($K128&lt;=0.005,"",$D128-Hoje))</f>
        <v>0</v>
      </c>
      <c r="K128" s="21">
        <f>IF($E128="","",MAX(0,$E128-N($G128)))</f>
        <v>0</v>
      </c>
      <c r="L128" s="20">
        <f>IF($I128="Vencida","PAGAR JÁ (multa e juros)",IF($I128="Vence hoje","Pagar hoje",IF($I128="Vence em breve","Programar pagamento","")))</f>
        <v>0</v>
      </c>
    </row>
    <row r="129" spans="1:12">
      <c r="A129" s="13"/>
      <c r="B129" s="13"/>
      <c r="C129" s="13"/>
      <c r="D129" s="17"/>
      <c r="E129" s="18"/>
      <c r="F129" s="17"/>
      <c r="G129" s="18"/>
      <c r="H129" s="13"/>
      <c r="I129" s="19">
        <f>IF($E129="","",IF($K129&lt;=0.005,"Pago",IF($D129="","Sem vencimento",IF($D129&lt;Hoje,"Vencida",IF($D129=Hoje,"Vence hoje",IF($D129-Hoje&lt;=DiasAlerta,"Vence em breve","A vencer"))))))</f>
        <v>0</v>
      </c>
      <c r="J129" s="20">
        <f>IF(OR($E129="",$D129=""),"",IF($K129&lt;=0.005,"",$D129-Hoje))</f>
        <v>0</v>
      </c>
      <c r="K129" s="21">
        <f>IF($E129="","",MAX(0,$E129-N($G129)))</f>
        <v>0</v>
      </c>
      <c r="L129" s="20">
        <f>IF($I129="Vencida","PAGAR JÁ (multa e juros)",IF($I129="Vence hoje","Pagar hoje",IF($I129="Vence em breve","Programar pagamento","")))</f>
        <v>0</v>
      </c>
    </row>
    <row r="130" spans="1:12">
      <c r="A130" s="13"/>
      <c r="B130" s="13"/>
      <c r="C130" s="13"/>
      <c r="D130" s="17"/>
      <c r="E130" s="18"/>
      <c r="F130" s="17"/>
      <c r="G130" s="18"/>
      <c r="H130" s="13"/>
      <c r="I130" s="19">
        <f>IF($E130="","",IF($K130&lt;=0.005,"Pago",IF($D130="","Sem vencimento",IF($D130&lt;Hoje,"Vencida",IF($D130=Hoje,"Vence hoje",IF($D130-Hoje&lt;=DiasAlerta,"Vence em breve","A vencer"))))))</f>
        <v>0</v>
      </c>
      <c r="J130" s="20">
        <f>IF(OR($E130="",$D130=""),"",IF($K130&lt;=0.005,"",$D130-Hoje))</f>
        <v>0</v>
      </c>
      <c r="K130" s="21">
        <f>IF($E130="","",MAX(0,$E130-N($G130)))</f>
        <v>0</v>
      </c>
      <c r="L130" s="20">
        <f>IF($I130="Vencida","PAGAR JÁ (multa e juros)",IF($I130="Vence hoje","Pagar hoje",IF($I130="Vence em breve","Programar pagamento","")))</f>
        <v>0</v>
      </c>
    </row>
    <row r="131" spans="1:12">
      <c r="A131" s="13"/>
      <c r="B131" s="13"/>
      <c r="C131" s="13"/>
      <c r="D131" s="17"/>
      <c r="E131" s="18"/>
      <c r="F131" s="17"/>
      <c r="G131" s="18"/>
      <c r="H131" s="13"/>
      <c r="I131" s="19">
        <f>IF($E131="","",IF($K131&lt;=0.005,"Pago",IF($D131="","Sem vencimento",IF($D131&lt;Hoje,"Vencida",IF($D131=Hoje,"Vence hoje",IF($D131-Hoje&lt;=DiasAlerta,"Vence em breve","A vencer"))))))</f>
        <v>0</v>
      </c>
      <c r="J131" s="20">
        <f>IF(OR($E131="",$D131=""),"",IF($K131&lt;=0.005,"",$D131-Hoje))</f>
        <v>0</v>
      </c>
      <c r="K131" s="21">
        <f>IF($E131="","",MAX(0,$E131-N($G131)))</f>
        <v>0</v>
      </c>
      <c r="L131" s="20">
        <f>IF($I131="Vencida","PAGAR JÁ (multa e juros)",IF($I131="Vence hoje","Pagar hoje",IF($I131="Vence em breve","Programar pagamento","")))</f>
        <v>0</v>
      </c>
    </row>
    <row r="132" spans="1:12">
      <c r="A132" s="13"/>
      <c r="B132" s="13"/>
      <c r="C132" s="13"/>
      <c r="D132" s="17"/>
      <c r="E132" s="18"/>
      <c r="F132" s="17"/>
      <c r="G132" s="18"/>
      <c r="H132" s="13"/>
      <c r="I132" s="19">
        <f>IF($E132="","",IF($K132&lt;=0.005,"Pago",IF($D132="","Sem vencimento",IF($D132&lt;Hoje,"Vencida",IF($D132=Hoje,"Vence hoje",IF($D132-Hoje&lt;=DiasAlerta,"Vence em breve","A vencer"))))))</f>
        <v>0</v>
      </c>
      <c r="J132" s="20">
        <f>IF(OR($E132="",$D132=""),"",IF($K132&lt;=0.005,"",$D132-Hoje))</f>
        <v>0</v>
      </c>
      <c r="K132" s="21">
        <f>IF($E132="","",MAX(0,$E132-N($G132)))</f>
        <v>0</v>
      </c>
      <c r="L132" s="20">
        <f>IF($I132="Vencida","PAGAR JÁ (multa e juros)",IF($I132="Vence hoje","Pagar hoje",IF($I132="Vence em breve","Programar pagamento","")))</f>
        <v>0</v>
      </c>
    </row>
    <row r="133" spans="1:12">
      <c r="A133" s="13"/>
      <c r="B133" s="13"/>
      <c r="C133" s="13"/>
      <c r="D133" s="17"/>
      <c r="E133" s="18"/>
      <c r="F133" s="17"/>
      <c r="G133" s="18"/>
      <c r="H133" s="13"/>
      <c r="I133" s="19">
        <f>IF($E133="","",IF($K133&lt;=0.005,"Pago",IF($D133="","Sem vencimento",IF($D133&lt;Hoje,"Vencida",IF($D133=Hoje,"Vence hoje",IF($D133-Hoje&lt;=DiasAlerta,"Vence em breve","A vencer"))))))</f>
        <v>0</v>
      </c>
      <c r="J133" s="20">
        <f>IF(OR($E133="",$D133=""),"",IF($K133&lt;=0.005,"",$D133-Hoje))</f>
        <v>0</v>
      </c>
      <c r="K133" s="21">
        <f>IF($E133="","",MAX(0,$E133-N($G133)))</f>
        <v>0</v>
      </c>
      <c r="L133" s="20">
        <f>IF($I133="Vencida","PAGAR JÁ (multa e juros)",IF($I133="Vence hoje","Pagar hoje",IF($I133="Vence em breve","Programar pagamento","")))</f>
        <v>0</v>
      </c>
    </row>
    <row r="134" spans="1:12">
      <c r="A134" s="13"/>
      <c r="B134" s="13"/>
      <c r="C134" s="13"/>
      <c r="D134" s="17"/>
      <c r="E134" s="18"/>
      <c r="F134" s="17"/>
      <c r="G134" s="18"/>
      <c r="H134" s="13"/>
      <c r="I134" s="19">
        <f>IF($E134="","",IF($K134&lt;=0.005,"Pago",IF($D134="","Sem vencimento",IF($D134&lt;Hoje,"Vencida",IF($D134=Hoje,"Vence hoje",IF($D134-Hoje&lt;=DiasAlerta,"Vence em breve","A vencer"))))))</f>
        <v>0</v>
      </c>
      <c r="J134" s="20">
        <f>IF(OR($E134="",$D134=""),"",IF($K134&lt;=0.005,"",$D134-Hoje))</f>
        <v>0</v>
      </c>
      <c r="K134" s="21">
        <f>IF($E134="","",MAX(0,$E134-N($G134)))</f>
        <v>0</v>
      </c>
      <c r="L134" s="20">
        <f>IF($I134="Vencida","PAGAR JÁ (multa e juros)",IF($I134="Vence hoje","Pagar hoje",IF($I134="Vence em breve","Programar pagamento","")))</f>
        <v>0</v>
      </c>
    </row>
    <row r="135" spans="1:12">
      <c r="A135" s="13"/>
      <c r="B135" s="13"/>
      <c r="C135" s="13"/>
      <c r="D135" s="17"/>
      <c r="E135" s="18"/>
      <c r="F135" s="17"/>
      <c r="G135" s="18"/>
      <c r="H135" s="13"/>
      <c r="I135" s="19">
        <f>IF($E135="","",IF($K135&lt;=0.005,"Pago",IF($D135="","Sem vencimento",IF($D135&lt;Hoje,"Vencida",IF($D135=Hoje,"Vence hoje",IF($D135-Hoje&lt;=DiasAlerta,"Vence em breve","A vencer"))))))</f>
        <v>0</v>
      </c>
      <c r="J135" s="20">
        <f>IF(OR($E135="",$D135=""),"",IF($K135&lt;=0.005,"",$D135-Hoje))</f>
        <v>0</v>
      </c>
      <c r="K135" s="21">
        <f>IF($E135="","",MAX(0,$E135-N($G135)))</f>
        <v>0</v>
      </c>
      <c r="L135" s="20">
        <f>IF($I135="Vencida","PAGAR JÁ (multa e juros)",IF($I135="Vence hoje","Pagar hoje",IF($I135="Vence em breve","Programar pagamento","")))</f>
        <v>0</v>
      </c>
    </row>
    <row r="136" spans="1:12">
      <c r="A136" s="13"/>
      <c r="B136" s="13"/>
      <c r="C136" s="13"/>
      <c r="D136" s="17"/>
      <c r="E136" s="18"/>
      <c r="F136" s="17"/>
      <c r="G136" s="18"/>
      <c r="H136" s="13"/>
      <c r="I136" s="19">
        <f>IF($E136="","",IF($K136&lt;=0.005,"Pago",IF($D136="","Sem vencimento",IF($D136&lt;Hoje,"Vencida",IF($D136=Hoje,"Vence hoje",IF($D136-Hoje&lt;=DiasAlerta,"Vence em breve","A vencer"))))))</f>
        <v>0</v>
      </c>
      <c r="J136" s="20">
        <f>IF(OR($E136="",$D136=""),"",IF($K136&lt;=0.005,"",$D136-Hoje))</f>
        <v>0</v>
      </c>
      <c r="K136" s="21">
        <f>IF($E136="","",MAX(0,$E136-N($G136)))</f>
        <v>0</v>
      </c>
      <c r="L136" s="20">
        <f>IF($I136="Vencida","PAGAR JÁ (multa e juros)",IF($I136="Vence hoje","Pagar hoje",IF($I136="Vence em breve","Programar pagamento","")))</f>
        <v>0</v>
      </c>
    </row>
    <row r="137" spans="1:12">
      <c r="A137" s="13"/>
      <c r="B137" s="13"/>
      <c r="C137" s="13"/>
      <c r="D137" s="17"/>
      <c r="E137" s="18"/>
      <c r="F137" s="17"/>
      <c r="G137" s="18"/>
      <c r="H137" s="13"/>
      <c r="I137" s="19">
        <f>IF($E137="","",IF($K137&lt;=0.005,"Pago",IF($D137="","Sem vencimento",IF($D137&lt;Hoje,"Vencida",IF($D137=Hoje,"Vence hoje",IF($D137-Hoje&lt;=DiasAlerta,"Vence em breve","A vencer"))))))</f>
        <v>0</v>
      </c>
      <c r="J137" s="20">
        <f>IF(OR($E137="",$D137=""),"",IF($K137&lt;=0.005,"",$D137-Hoje))</f>
        <v>0</v>
      </c>
      <c r="K137" s="21">
        <f>IF($E137="","",MAX(0,$E137-N($G137)))</f>
        <v>0</v>
      </c>
      <c r="L137" s="20">
        <f>IF($I137="Vencida","PAGAR JÁ (multa e juros)",IF($I137="Vence hoje","Pagar hoje",IF($I137="Vence em breve","Programar pagamento","")))</f>
        <v>0</v>
      </c>
    </row>
    <row r="138" spans="1:12">
      <c r="A138" s="13"/>
      <c r="B138" s="13"/>
      <c r="C138" s="13"/>
      <c r="D138" s="17"/>
      <c r="E138" s="18"/>
      <c r="F138" s="17"/>
      <c r="G138" s="18"/>
      <c r="H138" s="13"/>
      <c r="I138" s="19">
        <f>IF($E138="","",IF($K138&lt;=0.005,"Pago",IF($D138="","Sem vencimento",IF($D138&lt;Hoje,"Vencida",IF($D138=Hoje,"Vence hoje",IF($D138-Hoje&lt;=DiasAlerta,"Vence em breve","A vencer"))))))</f>
        <v>0</v>
      </c>
      <c r="J138" s="20">
        <f>IF(OR($E138="",$D138=""),"",IF($K138&lt;=0.005,"",$D138-Hoje))</f>
        <v>0</v>
      </c>
      <c r="K138" s="21">
        <f>IF($E138="","",MAX(0,$E138-N($G138)))</f>
        <v>0</v>
      </c>
      <c r="L138" s="20">
        <f>IF($I138="Vencida","PAGAR JÁ (multa e juros)",IF($I138="Vence hoje","Pagar hoje",IF($I138="Vence em breve","Programar pagamento","")))</f>
        <v>0</v>
      </c>
    </row>
    <row r="139" spans="1:12">
      <c r="A139" s="13"/>
      <c r="B139" s="13"/>
      <c r="C139" s="13"/>
      <c r="D139" s="17"/>
      <c r="E139" s="18"/>
      <c r="F139" s="17"/>
      <c r="G139" s="18"/>
      <c r="H139" s="13"/>
      <c r="I139" s="19">
        <f>IF($E139="","",IF($K139&lt;=0.005,"Pago",IF($D139="","Sem vencimento",IF($D139&lt;Hoje,"Vencida",IF($D139=Hoje,"Vence hoje",IF($D139-Hoje&lt;=DiasAlerta,"Vence em breve","A vencer"))))))</f>
        <v>0</v>
      </c>
      <c r="J139" s="20">
        <f>IF(OR($E139="",$D139=""),"",IF($K139&lt;=0.005,"",$D139-Hoje))</f>
        <v>0</v>
      </c>
      <c r="K139" s="21">
        <f>IF($E139="","",MAX(0,$E139-N($G139)))</f>
        <v>0</v>
      </c>
      <c r="L139" s="20">
        <f>IF($I139="Vencida","PAGAR JÁ (multa e juros)",IF($I139="Vence hoje","Pagar hoje",IF($I139="Vence em breve","Programar pagamento","")))</f>
        <v>0</v>
      </c>
    </row>
    <row r="140" spans="1:12">
      <c r="A140" s="13"/>
      <c r="B140" s="13"/>
      <c r="C140" s="13"/>
      <c r="D140" s="17"/>
      <c r="E140" s="18"/>
      <c r="F140" s="17"/>
      <c r="G140" s="18"/>
      <c r="H140" s="13"/>
      <c r="I140" s="19">
        <f>IF($E140="","",IF($K140&lt;=0.005,"Pago",IF($D140="","Sem vencimento",IF($D140&lt;Hoje,"Vencida",IF($D140=Hoje,"Vence hoje",IF($D140-Hoje&lt;=DiasAlerta,"Vence em breve","A vencer"))))))</f>
        <v>0</v>
      </c>
      <c r="J140" s="20">
        <f>IF(OR($E140="",$D140=""),"",IF($K140&lt;=0.005,"",$D140-Hoje))</f>
        <v>0</v>
      </c>
      <c r="K140" s="21">
        <f>IF($E140="","",MAX(0,$E140-N($G140)))</f>
        <v>0</v>
      </c>
      <c r="L140" s="20">
        <f>IF($I140="Vencida","PAGAR JÁ (multa e juros)",IF($I140="Vence hoje","Pagar hoje",IF($I140="Vence em breve","Programar pagamento","")))</f>
        <v>0</v>
      </c>
    </row>
    <row r="141" spans="1:12">
      <c r="A141" s="13"/>
      <c r="B141" s="13"/>
      <c r="C141" s="13"/>
      <c r="D141" s="17"/>
      <c r="E141" s="18"/>
      <c r="F141" s="17"/>
      <c r="G141" s="18"/>
      <c r="H141" s="13"/>
      <c r="I141" s="19">
        <f>IF($E141="","",IF($K141&lt;=0.005,"Pago",IF($D141="","Sem vencimento",IF($D141&lt;Hoje,"Vencida",IF($D141=Hoje,"Vence hoje",IF($D141-Hoje&lt;=DiasAlerta,"Vence em breve","A vencer"))))))</f>
        <v>0</v>
      </c>
      <c r="J141" s="20">
        <f>IF(OR($E141="",$D141=""),"",IF($K141&lt;=0.005,"",$D141-Hoje))</f>
        <v>0</v>
      </c>
      <c r="K141" s="21">
        <f>IF($E141="","",MAX(0,$E141-N($G141)))</f>
        <v>0</v>
      </c>
      <c r="L141" s="20">
        <f>IF($I141="Vencida","PAGAR JÁ (multa e juros)",IF($I141="Vence hoje","Pagar hoje",IF($I141="Vence em breve","Programar pagamento","")))</f>
        <v>0</v>
      </c>
    </row>
    <row r="142" spans="1:12">
      <c r="A142" s="13"/>
      <c r="B142" s="13"/>
      <c r="C142" s="13"/>
      <c r="D142" s="17"/>
      <c r="E142" s="18"/>
      <c r="F142" s="17"/>
      <c r="G142" s="18"/>
      <c r="H142" s="13"/>
      <c r="I142" s="19">
        <f>IF($E142="","",IF($K142&lt;=0.005,"Pago",IF($D142="","Sem vencimento",IF($D142&lt;Hoje,"Vencida",IF($D142=Hoje,"Vence hoje",IF($D142-Hoje&lt;=DiasAlerta,"Vence em breve","A vencer"))))))</f>
        <v>0</v>
      </c>
      <c r="J142" s="20">
        <f>IF(OR($E142="",$D142=""),"",IF($K142&lt;=0.005,"",$D142-Hoje))</f>
        <v>0</v>
      </c>
      <c r="K142" s="21">
        <f>IF($E142="","",MAX(0,$E142-N($G142)))</f>
        <v>0</v>
      </c>
      <c r="L142" s="20">
        <f>IF($I142="Vencida","PAGAR JÁ (multa e juros)",IF($I142="Vence hoje","Pagar hoje",IF($I142="Vence em breve","Programar pagamento","")))</f>
        <v>0</v>
      </c>
    </row>
    <row r="143" spans="1:12">
      <c r="A143" s="13"/>
      <c r="B143" s="13"/>
      <c r="C143" s="13"/>
      <c r="D143" s="17"/>
      <c r="E143" s="18"/>
      <c r="F143" s="17"/>
      <c r="G143" s="18"/>
      <c r="H143" s="13"/>
      <c r="I143" s="19">
        <f>IF($E143="","",IF($K143&lt;=0.005,"Pago",IF($D143="","Sem vencimento",IF($D143&lt;Hoje,"Vencida",IF($D143=Hoje,"Vence hoje",IF($D143-Hoje&lt;=DiasAlerta,"Vence em breve","A vencer"))))))</f>
        <v>0</v>
      </c>
      <c r="J143" s="20">
        <f>IF(OR($E143="",$D143=""),"",IF($K143&lt;=0.005,"",$D143-Hoje))</f>
        <v>0</v>
      </c>
      <c r="K143" s="21">
        <f>IF($E143="","",MAX(0,$E143-N($G143)))</f>
        <v>0</v>
      </c>
      <c r="L143" s="20">
        <f>IF($I143="Vencida","PAGAR JÁ (multa e juros)",IF($I143="Vence hoje","Pagar hoje",IF($I143="Vence em breve","Programar pagamento","")))</f>
        <v>0</v>
      </c>
    </row>
    <row r="144" spans="1:12">
      <c r="A144" s="13"/>
      <c r="B144" s="13"/>
      <c r="C144" s="13"/>
      <c r="D144" s="17"/>
      <c r="E144" s="18"/>
      <c r="F144" s="17"/>
      <c r="G144" s="18"/>
      <c r="H144" s="13"/>
      <c r="I144" s="19">
        <f>IF($E144="","",IF($K144&lt;=0.005,"Pago",IF($D144="","Sem vencimento",IF($D144&lt;Hoje,"Vencida",IF($D144=Hoje,"Vence hoje",IF($D144-Hoje&lt;=DiasAlerta,"Vence em breve","A vencer"))))))</f>
        <v>0</v>
      </c>
      <c r="J144" s="20">
        <f>IF(OR($E144="",$D144=""),"",IF($K144&lt;=0.005,"",$D144-Hoje))</f>
        <v>0</v>
      </c>
      <c r="K144" s="21">
        <f>IF($E144="","",MAX(0,$E144-N($G144)))</f>
        <v>0</v>
      </c>
      <c r="L144" s="20">
        <f>IF($I144="Vencida","PAGAR JÁ (multa e juros)",IF($I144="Vence hoje","Pagar hoje",IF($I144="Vence em breve","Programar pagamento","")))</f>
        <v>0</v>
      </c>
    </row>
    <row r="145" spans="1:12">
      <c r="A145" s="13"/>
      <c r="B145" s="13"/>
      <c r="C145" s="13"/>
      <c r="D145" s="17"/>
      <c r="E145" s="18"/>
      <c r="F145" s="17"/>
      <c r="G145" s="18"/>
      <c r="H145" s="13"/>
      <c r="I145" s="19">
        <f>IF($E145="","",IF($K145&lt;=0.005,"Pago",IF($D145="","Sem vencimento",IF($D145&lt;Hoje,"Vencida",IF($D145=Hoje,"Vence hoje",IF($D145-Hoje&lt;=DiasAlerta,"Vence em breve","A vencer"))))))</f>
        <v>0</v>
      </c>
      <c r="J145" s="20">
        <f>IF(OR($E145="",$D145=""),"",IF($K145&lt;=0.005,"",$D145-Hoje))</f>
        <v>0</v>
      </c>
      <c r="K145" s="21">
        <f>IF($E145="","",MAX(0,$E145-N($G145)))</f>
        <v>0</v>
      </c>
      <c r="L145" s="20">
        <f>IF($I145="Vencida","PAGAR JÁ (multa e juros)",IF($I145="Vence hoje","Pagar hoje",IF($I145="Vence em breve","Programar pagamento","")))</f>
        <v>0</v>
      </c>
    </row>
    <row r="146" spans="1:12">
      <c r="A146" s="13"/>
      <c r="B146" s="13"/>
      <c r="C146" s="13"/>
      <c r="D146" s="17"/>
      <c r="E146" s="18"/>
      <c r="F146" s="17"/>
      <c r="G146" s="18"/>
      <c r="H146" s="13"/>
      <c r="I146" s="19">
        <f>IF($E146="","",IF($K146&lt;=0.005,"Pago",IF($D146="","Sem vencimento",IF($D146&lt;Hoje,"Vencida",IF($D146=Hoje,"Vence hoje",IF($D146-Hoje&lt;=DiasAlerta,"Vence em breve","A vencer"))))))</f>
        <v>0</v>
      </c>
      <c r="J146" s="20">
        <f>IF(OR($E146="",$D146=""),"",IF($K146&lt;=0.005,"",$D146-Hoje))</f>
        <v>0</v>
      </c>
      <c r="K146" s="21">
        <f>IF($E146="","",MAX(0,$E146-N($G146)))</f>
        <v>0</v>
      </c>
      <c r="L146" s="20">
        <f>IF($I146="Vencida","PAGAR JÁ (multa e juros)",IF($I146="Vence hoje","Pagar hoje",IF($I146="Vence em breve","Programar pagamento","")))</f>
        <v>0</v>
      </c>
    </row>
    <row r="147" spans="1:12">
      <c r="A147" s="13"/>
      <c r="B147" s="13"/>
      <c r="C147" s="13"/>
      <c r="D147" s="17"/>
      <c r="E147" s="18"/>
      <c r="F147" s="17"/>
      <c r="G147" s="18"/>
      <c r="H147" s="13"/>
      <c r="I147" s="19">
        <f>IF($E147="","",IF($K147&lt;=0.005,"Pago",IF($D147="","Sem vencimento",IF($D147&lt;Hoje,"Vencida",IF($D147=Hoje,"Vence hoje",IF($D147-Hoje&lt;=DiasAlerta,"Vence em breve","A vencer"))))))</f>
        <v>0</v>
      </c>
      <c r="J147" s="20">
        <f>IF(OR($E147="",$D147=""),"",IF($K147&lt;=0.005,"",$D147-Hoje))</f>
        <v>0</v>
      </c>
      <c r="K147" s="21">
        <f>IF($E147="","",MAX(0,$E147-N($G147)))</f>
        <v>0</v>
      </c>
      <c r="L147" s="20">
        <f>IF($I147="Vencida","PAGAR JÁ (multa e juros)",IF($I147="Vence hoje","Pagar hoje",IF($I147="Vence em breve","Programar pagamento","")))</f>
        <v>0</v>
      </c>
    </row>
    <row r="148" spans="1:12">
      <c r="A148" s="13"/>
      <c r="B148" s="13"/>
      <c r="C148" s="13"/>
      <c r="D148" s="17"/>
      <c r="E148" s="18"/>
      <c r="F148" s="17"/>
      <c r="G148" s="18"/>
      <c r="H148" s="13"/>
      <c r="I148" s="19">
        <f>IF($E148="","",IF($K148&lt;=0.005,"Pago",IF($D148="","Sem vencimento",IF($D148&lt;Hoje,"Vencida",IF($D148=Hoje,"Vence hoje",IF($D148-Hoje&lt;=DiasAlerta,"Vence em breve","A vencer"))))))</f>
        <v>0</v>
      </c>
      <c r="J148" s="20">
        <f>IF(OR($E148="",$D148=""),"",IF($K148&lt;=0.005,"",$D148-Hoje))</f>
        <v>0</v>
      </c>
      <c r="K148" s="21">
        <f>IF($E148="","",MAX(0,$E148-N($G148)))</f>
        <v>0</v>
      </c>
      <c r="L148" s="20">
        <f>IF($I148="Vencida","PAGAR JÁ (multa e juros)",IF($I148="Vence hoje","Pagar hoje",IF($I148="Vence em breve","Programar pagamento","")))</f>
        <v>0</v>
      </c>
    </row>
    <row r="149" spans="1:12">
      <c r="A149" s="13"/>
      <c r="B149" s="13"/>
      <c r="C149" s="13"/>
      <c r="D149" s="17"/>
      <c r="E149" s="18"/>
      <c r="F149" s="17"/>
      <c r="G149" s="18"/>
      <c r="H149" s="13"/>
      <c r="I149" s="19">
        <f>IF($E149="","",IF($K149&lt;=0.005,"Pago",IF($D149="","Sem vencimento",IF($D149&lt;Hoje,"Vencida",IF($D149=Hoje,"Vence hoje",IF($D149-Hoje&lt;=DiasAlerta,"Vence em breve","A vencer"))))))</f>
        <v>0</v>
      </c>
      <c r="J149" s="20">
        <f>IF(OR($E149="",$D149=""),"",IF($K149&lt;=0.005,"",$D149-Hoje))</f>
        <v>0</v>
      </c>
      <c r="K149" s="21">
        <f>IF($E149="","",MAX(0,$E149-N($G149)))</f>
        <v>0</v>
      </c>
      <c r="L149" s="20">
        <f>IF($I149="Vencida","PAGAR JÁ (multa e juros)",IF($I149="Vence hoje","Pagar hoje",IF($I149="Vence em breve","Programar pagamento","")))</f>
        <v>0</v>
      </c>
    </row>
    <row r="150" spans="1:12">
      <c r="A150" s="13"/>
      <c r="B150" s="13"/>
      <c r="C150" s="13"/>
      <c r="D150" s="17"/>
      <c r="E150" s="18"/>
      <c r="F150" s="17"/>
      <c r="G150" s="18"/>
      <c r="H150" s="13"/>
      <c r="I150" s="19">
        <f>IF($E150="","",IF($K150&lt;=0.005,"Pago",IF($D150="","Sem vencimento",IF($D150&lt;Hoje,"Vencida",IF($D150=Hoje,"Vence hoje",IF($D150-Hoje&lt;=DiasAlerta,"Vence em breve","A vencer"))))))</f>
        <v>0</v>
      </c>
      <c r="J150" s="20">
        <f>IF(OR($E150="",$D150=""),"",IF($K150&lt;=0.005,"",$D150-Hoje))</f>
        <v>0</v>
      </c>
      <c r="K150" s="21">
        <f>IF($E150="","",MAX(0,$E150-N($G150)))</f>
        <v>0</v>
      </c>
      <c r="L150" s="20">
        <f>IF($I150="Vencida","PAGAR JÁ (multa e juros)",IF($I150="Vence hoje","Pagar hoje",IF($I150="Vence em breve","Programar pagamento","")))</f>
        <v>0</v>
      </c>
    </row>
    <row r="151" spans="1:12">
      <c r="A151" s="13"/>
      <c r="B151" s="13"/>
      <c r="C151" s="13"/>
      <c r="D151" s="17"/>
      <c r="E151" s="18"/>
      <c r="F151" s="17"/>
      <c r="G151" s="18"/>
      <c r="H151" s="13"/>
      <c r="I151" s="19">
        <f>IF($E151="","",IF($K151&lt;=0.005,"Pago",IF($D151="","Sem vencimento",IF($D151&lt;Hoje,"Vencida",IF($D151=Hoje,"Vence hoje",IF($D151-Hoje&lt;=DiasAlerta,"Vence em breve","A vencer"))))))</f>
        <v>0</v>
      </c>
      <c r="J151" s="20">
        <f>IF(OR($E151="",$D151=""),"",IF($K151&lt;=0.005,"",$D151-Hoje))</f>
        <v>0</v>
      </c>
      <c r="K151" s="21">
        <f>IF($E151="","",MAX(0,$E151-N($G151)))</f>
        <v>0</v>
      </c>
      <c r="L151" s="20">
        <f>IF($I151="Vencida","PAGAR JÁ (multa e juros)",IF($I151="Vence hoje","Pagar hoje",IF($I151="Vence em breve","Programar pagamento","")))</f>
        <v>0</v>
      </c>
    </row>
    <row r="152" spans="1:12">
      <c r="A152" s="13"/>
      <c r="B152" s="13"/>
      <c r="C152" s="13"/>
      <c r="D152" s="17"/>
      <c r="E152" s="18"/>
      <c r="F152" s="17"/>
      <c r="G152" s="18"/>
      <c r="H152" s="13"/>
      <c r="I152" s="19">
        <f>IF($E152="","",IF($K152&lt;=0.005,"Pago",IF($D152="","Sem vencimento",IF($D152&lt;Hoje,"Vencida",IF($D152=Hoje,"Vence hoje",IF($D152-Hoje&lt;=DiasAlerta,"Vence em breve","A vencer"))))))</f>
        <v>0</v>
      </c>
      <c r="J152" s="20">
        <f>IF(OR($E152="",$D152=""),"",IF($K152&lt;=0.005,"",$D152-Hoje))</f>
        <v>0</v>
      </c>
      <c r="K152" s="21">
        <f>IF($E152="","",MAX(0,$E152-N($G152)))</f>
        <v>0</v>
      </c>
      <c r="L152" s="20">
        <f>IF($I152="Vencida","PAGAR JÁ (multa e juros)",IF($I152="Vence hoje","Pagar hoje",IF($I152="Vence em breve","Programar pagamento","")))</f>
        <v>0</v>
      </c>
    </row>
    <row r="153" spans="1:12">
      <c r="A153" s="13"/>
      <c r="B153" s="13"/>
      <c r="C153" s="13"/>
      <c r="D153" s="17"/>
      <c r="E153" s="18"/>
      <c r="F153" s="17"/>
      <c r="G153" s="18"/>
      <c r="H153" s="13"/>
      <c r="I153" s="19">
        <f>IF($E153="","",IF($K153&lt;=0.005,"Pago",IF($D153="","Sem vencimento",IF($D153&lt;Hoje,"Vencida",IF($D153=Hoje,"Vence hoje",IF($D153-Hoje&lt;=DiasAlerta,"Vence em breve","A vencer"))))))</f>
        <v>0</v>
      </c>
      <c r="J153" s="20">
        <f>IF(OR($E153="",$D153=""),"",IF($K153&lt;=0.005,"",$D153-Hoje))</f>
        <v>0</v>
      </c>
      <c r="K153" s="21">
        <f>IF($E153="","",MAX(0,$E153-N($G153)))</f>
        <v>0</v>
      </c>
      <c r="L153" s="20">
        <f>IF($I153="Vencida","PAGAR JÁ (multa e juros)",IF($I153="Vence hoje","Pagar hoje",IF($I153="Vence em breve","Programar pagamento","")))</f>
        <v>0</v>
      </c>
    </row>
    <row r="154" spans="1:12">
      <c r="A154" s="13"/>
      <c r="B154" s="13"/>
      <c r="C154" s="13"/>
      <c r="D154" s="17"/>
      <c r="E154" s="18"/>
      <c r="F154" s="17"/>
      <c r="G154" s="18"/>
      <c r="H154" s="13"/>
      <c r="I154" s="19">
        <f>IF($E154="","",IF($K154&lt;=0.005,"Pago",IF($D154="","Sem vencimento",IF($D154&lt;Hoje,"Vencida",IF($D154=Hoje,"Vence hoje",IF($D154-Hoje&lt;=DiasAlerta,"Vence em breve","A vencer"))))))</f>
        <v>0</v>
      </c>
      <c r="J154" s="20">
        <f>IF(OR($E154="",$D154=""),"",IF($K154&lt;=0.005,"",$D154-Hoje))</f>
        <v>0</v>
      </c>
      <c r="K154" s="21">
        <f>IF($E154="","",MAX(0,$E154-N($G154)))</f>
        <v>0</v>
      </c>
      <c r="L154" s="20">
        <f>IF($I154="Vencida","PAGAR JÁ (multa e juros)",IF($I154="Vence hoje","Pagar hoje",IF($I154="Vence em breve","Programar pagamento","")))</f>
        <v>0</v>
      </c>
    </row>
    <row r="155" spans="1:12">
      <c r="A155" s="13"/>
      <c r="B155" s="13"/>
      <c r="C155" s="13"/>
      <c r="D155" s="17"/>
      <c r="E155" s="18"/>
      <c r="F155" s="17"/>
      <c r="G155" s="18"/>
      <c r="H155" s="13"/>
      <c r="I155" s="19">
        <f>IF($E155="","",IF($K155&lt;=0.005,"Pago",IF($D155="","Sem vencimento",IF($D155&lt;Hoje,"Vencida",IF($D155=Hoje,"Vence hoje",IF($D155-Hoje&lt;=DiasAlerta,"Vence em breve","A vencer"))))))</f>
        <v>0</v>
      </c>
      <c r="J155" s="20">
        <f>IF(OR($E155="",$D155=""),"",IF($K155&lt;=0.005,"",$D155-Hoje))</f>
        <v>0</v>
      </c>
      <c r="K155" s="21">
        <f>IF($E155="","",MAX(0,$E155-N($G155)))</f>
        <v>0</v>
      </c>
      <c r="L155" s="20">
        <f>IF($I155="Vencida","PAGAR JÁ (multa e juros)",IF($I155="Vence hoje","Pagar hoje",IF($I155="Vence em breve","Programar pagamento","")))</f>
        <v>0</v>
      </c>
    </row>
    <row r="156" spans="1:12">
      <c r="A156" s="13"/>
      <c r="B156" s="13"/>
      <c r="C156" s="13"/>
      <c r="D156" s="17"/>
      <c r="E156" s="18"/>
      <c r="F156" s="17"/>
      <c r="G156" s="18"/>
      <c r="H156" s="13"/>
      <c r="I156" s="19">
        <f>IF($E156="","",IF($K156&lt;=0.005,"Pago",IF($D156="","Sem vencimento",IF($D156&lt;Hoje,"Vencida",IF($D156=Hoje,"Vence hoje",IF($D156-Hoje&lt;=DiasAlerta,"Vence em breve","A vencer"))))))</f>
        <v>0</v>
      </c>
      <c r="J156" s="20">
        <f>IF(OR($E156="",$D156=""),"",IF($K156&lt;=0.005,"",$D156-Hoje))</f>
        <v>0</v>
      </c>
      <c r="K156" s="21">
        <f>IF($E156="","",MAX(0,$E156-N($G156)))</f>
        <v>0</v>
      </c>
      <c r="L156" s="20">
        <f>IF($I156="Vencida","PAGAR JÁ (multa e juros)",IF($I156="Vence hoje","Pagar hoje",IF($I156="Vence em breve","Programar pagamento","")))</f>
        <v>0</v>
      </c>
    </row>
    <row r="157" spans="1:12">
      <c r="A157" s="13"/>
      <c r="B157" s="13"/>
      <c r="C157" s="13"/>
      <c r="D157" s="17"/>
      <c r="E157" s="18"/>
      <c r="F157" s="17"/>
      <c r="G157" s="18"/>
      <c r="H157" s="13"/>
      <c r="I157" s="19">
        <f>IF($E157="","",IF($K157&lt;=0.005,"Pago",IF($D157="","Sem vencimento",IF($D157&lt;Hoje,"Vencida",IF($D157=Hoje,"Vence hoje",IF($D157-Hoje&lt;=DiasAlerta,"Vence em breve","A vencer"))))))</f>
        <v>0</v>
      </c>
      <c r="J157" s="20">
        <f>IF(OR($E157="",$D157=""),"",IF($K157&lt;=0.005,"",$D157-Hoje))</f>
        <v>0</v>
      </c>
      <c r="K157" s="21">
        <f>IF($E157="","",MAX(0,$E157-N($G157)))</f>
        <v>0</v>
      </c>
      <c r="L157" s="20">
        <f>IF($I157="Vencida","PAGAR JÁ (multa e juros)",IF($I157="Vence hoje","Pagar hoje",IF($I157="Vence em breve","Programar pagamento","")))</f>
        <v>0</v>
      </c>
    </row>
    <row r="158" spans="1:12">
      <c r="A158" s="13"/>
      <c r="B158" s="13"/>
      <c r="C158" s="13"/>
      <c r="D158" s="17"/>
      <c r="E158" s="18"/>
      <c r="F158" s="17"/>
      <c r="G158" s="18"/>
      <c r="H158" s="13"/>
      <c r="I158" s="19">
        <f>IF($E158="","",IF($K158&lt;=0.005,"Pago",IF($D158="","Sem vencimento",IF($D158&lt;Hoje,"Vencida",IF($D158=Hoje,"Vence hoje",IF($D158-Hoje&lt;=DiasAlerta,"Vence em breve","A vencer"))))))</f>
        <v>0</v>
      </c>
      <c r="J158" s="20">
        <f>IF(OR($E158="",$D158=""),"",IF($K158&lt;=0.005,"",$D158-Hoje))</f>
        <v>0</v>
      </c>
      <c r="K158" s="21">
        <f>IF($E158="","",MAX(0,$E158-N($G158)))</f>
        <v>0</v>
      </c>
      <c r="L158" s="20">
        <f>IF($I158="Vencida","PAGAR JÁ (multa e juros)",IF($I158="Vence hoje","Pagar hoje",IF($I158="Vence em breve","Programar pagamento","")))</f>
        <v>0</v>
      </c>
    </row>
    <row r="159" spans="1:12">
      <c r="A159" s="13"/>
      <c r="B159" s="13"/>
      <c r="C159" s="13"/>
      <c r="D159" s="17"/>
      <c r="E159" s="18"/>
      <c r="F159" s="17"/>
      <c r="G159" s="18"/>
      <c r="H159" s="13"/>
      <c r="I159" s="19">
        <f>IF($E159="","",IF($K159&lt;=0.005,"Pago",IF($D159="","Sem vencimento",IF($D159&lt;Hoje,"Vencida",IF($D159=Hoje,"Vence hoje",IF($D159-Hoje&lt;=DiasAlerta,"Vence em breve","A vencer"))))))</f>
        <v>0</v>
      </c>
      <c r="J159" s="20">
        <f>IF(OR($E159="",$D159=""),"",IF($K159&lt;=0.005,"",$D159-Hoje))</f>
        <v>0</v>
      </c>
      <c r="K159" s="21">
        <f>IF($E159="","",MAX(0,$E159-N($G159)))</f>
        <v>0</v>
      </c>
      <c r="L159" s="20">
        <f>IF($I159="Vencida","PAGAR JÁ (multa e juros)",IF($I159="Vence hoje","Pagar hoje",IF($I159="Vence em breve","Programar pagamento","")))</f>
        <v>0</v>
      </c>
    </row>
    <row r="160" spans="1:12">
      <c r="A160" s="13"/>
      <c r="B160" s="13"/>
      <c r="C160" s="13"/>
      <c r="D160" s="17"/>
      <c r="E160" s="18"/>
      <c r="F160" s="17"/>
      <c r="G160" s="18"/>
      <c r="H160" s="13"/>
      <c r="I160" s="19">
        <f>IF($E160="","",IF($K160&lt;=0.005,"Pago",IF($D160="","Sem vencimento",IF($D160&lt;Hoje,"Vencida",IF($D160=Hoje,"Vence hoje",IF($D160-Hoje&lt;=DiasAlerta,"Vence em breve","A vencer"))))))</f>
        <v>0</v>
      </c>
      <c r="J160" s="20">
        <f>IF(OR($E160="",$D160=""),"",IF($K160&lt;=0.005,"",$D160-Hoje))</f>
        <v>0</v>
      </c>
      <c r="K160" s="21">
        <f>IF($E160="","",MAX(0,$E160-N($G160)))</f>
        <v>0</v>
      </c>
      <c r="L160" s="20">
        <f>IF($I160="Vencida","PAGAR JÁ (multa e juros)",IF($I160="Vence hoje","Pagar hoje",IF($I160="Vence em breve","Programar pagamento","")))</f>
        <v>0</v>
      </c>
    </row>
    <row r="161" spans="1:12">
      <c r="A161" s="13"/>
      <c r="B161" s="13"/>
      <c r="C161" s="13"/>
      <c r="D161" s="17"/>
      <c r="E161" s="18"/>
      <c r="F161" s="17"/>
      <c r="G161" s="18"/>
      <c r="H161" s="13"/>
      <c r="I161" s="19">
        <f>IF($E161="","",IF($K161&lt;=0.005,"Pago",IF($D161="","Sem vencimento",IF($D161&lt;Hoje,"Vencida",IF($D161=Hoje,"Vence hoje",IF($D161-Hoje&lt;=DiasAlerta,"Vence em breve","A vencer"))))))</f>
        <v>0</v>
      </c>
      <c r="J161" s="20">
        <f>IF(OR($E161="",$D161=""),"",IF($K161&lt;=0.005,"",$D161-Hoje))</f>
        <v>0</v>
      </c>
      <c r="K161" s="21">
        <f>IF($E161="","",MAX(0,$E161-N($G161)))</f>
        <v>0</v>
      </c>
      <c r="L161" s="20">
        <f>IF($I161="Vencida","PAGAR JÁ (multa e juros)",IF($I161="Vence hoje","Pagar hoje",IF($I161="Vence em breve","Programar pagamento","")))</f>
        <v>0</v>
      </c>
    </row>
    <row r="162" spans="1:12">
      <c r="A162" s="13"/>
      <c r="B162" s="13"/>
      <c r="C162" s="13"/>
      <c r="D162" s="17"/>
      <c r="E162" s="18"/>
      <c r="F162" s="17"/>
      <c r="G162" s="18"/>
      <c r="H162" s="13"/>
      <c r="I162" s="19">
        <f>IF($E162="","",IF($K162&lt;=0.005,"Pago",IF($D162="","Sem vencimento",IF($D162&lt;Hoje,"Vencida",IF($D162=Hoje,"Vence hoje",IF($D162-Hoje&lt;=DiasAlerta,"Vence em breve","A vencer"))))))</f>
        <v>0</v>
      </c>
      <c r="J162" s="20">
        <f>IF(OR($E162="",$D162=""),"",IF($K162&lt;=0.005,"",$D162-Hoje))</f>
        <v>0</v>
      </c>
      <c r="K162" s="21">
        <f>IF($E162="","",MAX(0,$E162-N($G162)))</f>
        <v>0</v>
      </c>
      <c r="L162" s="20">
        <f>IF($I162="Vencida","PAGAR JÁ (multa e juros)",IF($I162="Vence hoje","Pagar hoje",IF($I162="Vence em breve","Programar pagamento","")))</f>
        <v>0</v>
      </c>
    </row>
    <row r="163" spans="1:12">
      <c r="A163" s="13"/>
      <c r="B163" s="13"/>
      <c r="C163" s="13"/>
      <c r="D163" s="17"/>
      <c r="E163" s="18"/>
      <c r="F163" s="17"/>
      <c r="G163" s="18"/>
      <c r="H163" s="13"/>
      <c r="I163" s="19">
        <f>IF($E163="","",IF($K163&lt;=0.005,"Pago",IF($D163="","Sem vencimento",IF($D163&lt;Hoje,"Vencida",IF($D163=Hoje,"Vence hoje",IF($D163-Hoje&lt;=DiasAlerta,"Vence em breve","A vencer"))))))</f>
        <v>0</v>
      </c>
      <c r="J163" s="20">
        <f>IF(OR($E163="",$D163=""),"",IF($K163&lt;=0.005,"",$D163-Hoje))</f>
        <v>0</v>
      </c>
      <c r="K163" s="21">
        <f>IF($E163="","",MAX(0,$E163-N($G163)))</f>
        <v>0</v>
      </c>
      <c r="L163" s="20">
        <f>IF($I163="Vencida","PAGAR JÁ (multa e juros)",IF($I163="Vence hoje","Pagar hoje",IF($I163="Vence em breve","Programar pagamento","")))</f>
        <v>0</v>
      </c>
    </row>
    <row r="164" spans="1:12">
      <c r="A164" s="13"/>
      <c r="B164" s="13"/>
      <c r="C164" s="13"/>
      <c r="D164" s="17"/>
      <c r="E164" s="18"/>
      <c r="F164" s="17"/>
      <c r="G164" s="18"/>
      <c r="H164" s="13"/>
      <c r="I164" s="19">
        <f>IF($E164="","",IF($K164&lt;=0.005,"Pago",IF($D164="","Sem vencimento",IF($D164&lt;Hoje,"Vencida",IF($D164=Hoje,"Vence hoje",IF($D164-Hoje&lt;=DiasAlerta,"Vence em breve","A vencer"))))))</f>
        <v>0</v>
      </c>
      <c r="J164" s="20">
        <f>IF(OR($E164="",$D164=""),"",IF($K164&lt;=0.005,"",$D164-Hoje))</f>
        <v>0</v>
      </c>
      <c r="K164" s="21">
        <f>IF($E164="","",MAX(0,$E164-N($G164)))</f>
        <v>0</v>
      </c>
      <c r="L164" s="20">
        <f>IF($I164="Vencida","PAGAR JÁ (multa e juros)",IF($I164="Vence hoje","Pagar hoje",IF($I164="Vence em breve","Programar pagamento","")))</f>
        <v>0</v>
      </c>
    </row>
    <row r="165" spans="1:12">
      <c r="A165" s="13"/>
      <c r="B165" s="13"/>
      <c r="C165" s="13"/>
      <c r="D165" s="17"/>
      <c r="E165" s="18"/>
      <c r="F165" s="17"/>
      <c r="G165" s="18"/>
      <c r="H165" s="13"/>
      <c r="I165" s="19">
        <f>IF($E165="","",IF($K165&lt;=0.005,"Pago",IF($D165="","Sem vencimento",IF($D165&lt;Hoje,"Vencida",IF($D165=Hoje,"Vence hoje",IF($D165-Hoje&lt;=DiasAlerta,"Vence em breve","A vencer"))))))</f>
        <v>0</v>
      </c>
      <c r="J165" s="20">
        <f>IF(OR($E165="",$D165=""),"",IF($K165&lt;=0.005,"",$D165-Hoje))</f>
        <v>0</v>
      </c>
      <c r="K165" s="21">
        <f>IF($E165="","",MAX(0,$E165-N($G165)))</f>
        <v>0</v>
      </c>
      <c r="L165" s="20">
        <f>IF($I165="Vencida","PAGAR JÁ (multa e juros)",IF($I165="Vence hoje","Pagar hoje",IF($I165="Vence em breve","Programar pagamento","")))</f>
        <v>0</v>
      </c>
    </row>
    <row r="166" spans="1:12">
      <c r="A166" s="13"/>
      <c r="B166" s="13"/>
      <c r="C166" s="13"/>
      <c r="D166" s="17"/>
      <c r="E166" s="18"/>
      <c r="F166" s="17"/>
      <c r="G166" s="18"/>
      <c r="H166" s="13"/>
      <c r="I166" s="19">
        <f>IF($E166="","",IF($K166&lt;=0.005,"Pago",IF($D166="","Sem vencimento",IF($D166&lt;Hoje,"Vencida",IF($D166=Hoje,"Vence hoje",IF($D166-Hoje&lt;=DiasAlerta,"Vence em breve","A vencer"))))))</f>
        <v>0</v>
      </c>
      <c r="J166" s="20">
        <f>IF(OR($E166="",$D166=""),"",IF($K166&lt;=0.005,"",$D166-Hoje))</f>
        <v>0</v>
      </c>
      <c r="K166" s="21">
        <f>IF($E166="","",MAX(0,$E166-N($G166)))</f>
        <v>0</v>
      </c>
      <c r="L166" s="20">
        <f>IF($I166="Vencida","PAGAR JÁ (multa e juros)",IF($I166="Vence hoje","Pagar hoje",IF($I166="Vence em breve","Programar pagamento","")))</f>
        <v>0</v>
      </c>
    </row>
    <row r="167" spans="1:12">
      <c r="A167" s="13"/>
      <c r="B167" s="13"/>
      <c r="C167" s="13"/>
      <c r="D167" s="17"/>
      <c r="E167" s="18"/>
      <c r="F167" s="17"/>
      <c r="G167" s="18"/>
      <c r="H167" s="13"/>
      <c r="I167" s="19">
        <f>IF($E167="","",IF($K167&lt;=0.005,"Pago",IF($D167="","Sem vencimento",IF($D167&lt;Hoje,"Vencida",IF($D167=Hoje,"Vence hoje",IF($D167-Hoje&lt;=DiasAlerta,"Vence em breve","A vencer"))))))</f>
        <v>0</v>
      </c>
      <c r="J167" s="20">
        <f>IF(OR($E167="",$D167=""),"",IF($K167&lt;=0.005,"",$D167-Hoje))</f>
        <v>0</v>
      </c>
      <c r="K167" s="21">
        <f>IF($E167="","",MAX(0,$E167-N($G167)))</f>
        <v>0</v>
      </c>
      <c r="L167" s="20">
        <f>IF($I167="Vencida","PAGAR JÁ (multa e juros)",IF($I167="Vence hoje","Pagar hoje",IF($I167="Vence em breve","Programar pagamento","")))</f>
        <v>0</v>
      </c>
    </row>
    <row r="168" spans="1:12">
      <c r="A168" s="13"/>
      <c r="B168" s="13"/>
      <c r="C168" s="13"/>
      <c r="D168" s="17"/>
      <c r="E168" s="18"/>
      <c r="F168" s="17"/>
      <c r="G168" s="18"/>
      <c r="H168" s="13"/>
      <c r="I168" s="19">
        <f>IF($E168="","",IF($K168&lt;=0.005,"Pago",IF($D168="","Sem vencimento",IF($D168&lt;Hoje,"Vencida",IF($D168=Hoje,"Vence hoje",IF($D168-Hoje&lt;=DiasAlerta,"Vence em breve","A vencer"))))))</f>
        <v>0</v>
      </c>
      <c r="J168" s="20">
        <f>IF(OR($E168="",$D168=""),"",IF($K168&lt;=0.005,"",$D168-Hoje))</f>
        <v>0</v>
      </c>
      <c r="K168" s="21">
        <f>IF($E168="","",MAX(0,$E168-N($G168)))</f>
        <v>0</v>
      </c>
      <c r="L168" s="20">
        <f>IF($I168="Vencida","PAGAR JÁ (multa e juros)",IF($I168="Vence hoje","Pagar hoje",IF($I168="Vence em breve","Programar pagamento","")))</f>
        <v>0</v>
      </c>
    </row>
    <row r="169" spans="1:12">
      <c r="A169" s="13"/>
      <c r="B169" s="13"/>
      <c r="C169" s="13"/>
      <c r="D169" s="17"/>
      <c r="E169" s="18"/>
      <c r="F169" s="17"/>
      <c r="G169" s="18"/>
      <c r="H169" s="13"/>
      <c r="I169" s="19">
        <f>IF($E169="","",IF($K169&lt;=0.005,"Pago",IF($D169="","Sem vencimento",IF($D169&lt;Hoje,"Vencida",IF($D169=Hoje,"Vence hoje",IF($D169-Hoje&lt;=DiasAlerta,"Vence em breve","A vencer"))))))</f>
        <v>0</v>
      </c>
      <c r="J169" s="20">
        <f>IF(OR($E169="",$D169=""),"",IF($K169&lt;=0.005,"",$D169-Hoje))</f>
        <v>0</v>
      </c>
      <c r="K169" s="21">
        <f>IF($E169="","",MAX(0,$E169-N($G169)))</f>
        <v>0</v>
      </c>
      <c r="L169" s="20">
        <f>IF($I169="Vencida","PAGAR JÁ (multa e juros)",IF($I169="Vence hoje","Pagar hoje",IF($I169="Vence em breve","Programar pagamento","")))</f>
        <v>0</v>
      </c>
    </row>
    <row r="170" spans="1:12">
      <c r="A170" s="13"/>
      <c r="B170" s="13"/>
      <c r="C170" s="13"/>
      <c r="D170" s="17"/>
      <c r="E170" s="18"/>
      <c r="F170" s="17"/>
      <c r="G170" s="18"/>
      <c r="H170" s="13"/>
      <c r="I170" s="19">
        <f>IF($E170="","",IF($K170&lt;=0.005,"Pago",IF($D170="","Sem vencimento",IF($D170&lt;Hoje,"Vencida",IF($D170=Hoje,"Vence hoje",IF($D170-Hoje&lt;=DiasAlerta,"Vence em breve","A vencer"))))))</f>
        <v>0</v>
      </c>
      <c r="J170" s="20">
        <f>IF(OR($E170="",$D170=""),"",IF($K170&lt;=0.005,"",$D170-Hoje))</f>
        <v>0</v>
      </c>
      <c r="K170" s="21">
        <f>IF($E170="","",MAX(0,$E170-N($G170)))</f>
        <v>0</v>
      </c>
      <c r="L170" s="20">
        <f>IF($I170="Vencida","PAGAR JÁ (multa e juros)",IF($I170="Vence hoje","Pagar hoje",IF($I170="Vence em breve","Programar pagamento","")))</f>
        <v>0</v>
      </c>
    </row>
    <row r="171" spans="1:12">
      <c r="A171" s="13"/>
      <c r="B171" s="13"/>
      <c r="C171" s="13"/>
      <c r="D171" s="17"/>
      <c r="E171" s="18"/>
      <c r="F171" s="17"/>
      <c r="G171" s="18"/>
      <c r="H171" s="13"/>
      <c r="I171" s="19">
        <f>IF($E171="","",IF($K171&lt;=0.005,"Pago",IF($D171="","Sem vencimento",IF($D171&lt;Hoje,"Vencida",IF($D171=Hoje,"Vence hoje",IF($D171-Hoje&lt;=DiasAlerta,"Vence em breve","A vencer"))))))</f>
        <v>0</v>
      </c>
      <c r="J171" s="20">
        <f>IF(OR($E171="",$D171=""),"",IF($K171&lt;=0.005,"",$D171-Hoje))</f>
        <v>0</v>
      </c>
      <c r="K171" s="21">
        <f>IF($E171="","",MAX(0,$E171-N($G171)))</f>
        <v>0</v>
      </c>
      <c r="L171" s="20">
        <f>IF($I171="Vencida","PAGAR JÁ (multa e juros)",IF($I171="Vence hoje","Pagar hoje",IF($I171="Vence em breve","Programar pagamento","")))</f>
        <v>0</v>
      </c>
    </row>
    <row r="172" spans="1:12">
      <c r="A172" s="13"/>
      <c r="B172" s="13"/>
      <c r="C172" s="13"/>
      <c r="D172" s="17"/>
      <c r="E172" s="18"/>
      <c r="F172" s="17"/>
      <c r="G172" s="18"/>
      <c r="H172" s="13"/>
      <c r="I172" s="19">
        <f>IF($E172="","",IF($K172&lt;=0.005,"Pago",IF($D172="","Sem vencimento",IF($D172&lt;Hoje,"Vencida",IF($D172=Hoje,"Vence hoje",IF($D172-Hoje&lt;=DiasAlerta,"Vence em breve","A vencer"))))))</f>
        <v>0</v>
      </c>
      <c r="J172" s="20">
        <f>IF(OR($E172="",$D172=""),"",IF($K172&lt;=0.005,"",$D172-Hoje))</f>
        <v>0</v>
      </c>
      <c r="K172" s="21">
        <f>IF($E172="","",MAX(0,$E172-N($G172)))</f>
        <v>0</v>
      </c>
      <c r="L172" s="20">
        <f>IF($I172="Vencida","PAGAR JÁ (multa e juros)",IF($I172="Vence hoje","Pagar hoje",IF($I172="Vence em breve","Programar pagamento","")))</f>
        <v>0</v>
      </c>
    </row>
    <row r="173" spans="1:12">
      <c r="A173" s="13"/>
      <c r="B173" s="13"/>
      <c r="C173" s="13"/>
      <c r="D173" s="17"/>
      <c r="E173" s="18"/>
      <c r="F173" s="17"/>
      <c r="G173" s="18"/>
      <c r="H173" s="13"/>
      <c r="I173" s="19">
        <f>IF($E173="","",IF($K173&lt;=0.005,"Pago",IF($D173="","Sem vencimento",IF($D173&lt;Hoje,"Vencida",IF($D173=Hoje,"Vence hoje",IF($D173-Hoje&lt;=DiasAlerta,"Vence em breve","A vencer"))))))</f>
        <v>0</v>
      </c>
      <c r="J173" s="20">
        <f>IF(OR($E173="",$D173=""),"",IF($K173&lt;=0.005,"",$D173-Hoje))</f>
        <v>0</v>
      </c>
      <c r="K173" s="21">
        <f>IF($E173="","",MAX(0,$E173-N($G173)))</f>
        <v>0</v>
      </c>
      <c r="L173" s="20">
        <f>IF($I173="Vencida","PAGAR JÁ (multa e juros)",IF($I173="Vence hoje","Pagar hoje",IF($I173="Vence em breve","Programar pagamento","")))</f>
        <v>0</v>
      </c>
    </row>
    <row r="174" spans="1:12">
      <c r="A174" s="13"/>
      <c r="B174" s="13"/>
      <c r="C174" s="13"/>
      <c r="D174" s="17"/>
      <c r="E174" s="18"/>
      <c r="F174" s="17"/>
      <c r="G174" s="18"/>
      <c r="H174" s="13"/>
      <c r="I174" s="19">
        <f>IF($E174="","",IF($K174&lt;=0.005,"Pago",IF($D174="","Sem vencimento",IF($D174&lt;Hoje,"Vencida",IF($D174=Hoje,"Vence hoje",IF($D174-Hoje&lt;=DiasAlerta,"Vence em breve","A vencer"))))))</f>
        <v>0</v>
      </c>
      <c r="J174" s="20">
        <f>IF(OR($E174="",$D174=""),"",IF($K174&lt;=0.005,"",$D174-Hoje))</f>
        <v>0</v>
      </c>
      <c r="K174" s="21">
        <f>IF($E174="","",MAX(0,$E174-N($G174)))</f>
        <v>0</v>
      </c>
      <c r="L174" s="20">
        <f>IF($I174="Vencida","PAGAR JÁ (multa e juros)",IF($I174="Vence hoje","Pagar hoje",IF($I174="Vence em breve","Programar pagamento","")))</f>
        <v>0</v>
      </c>
    </row>
    <row r="175" spans="1:12">
      <c r="A175" s="13"/>
      <c r="B175" s="13"/>
      <c r="C175" s="13"/>
      <c r="D175" s="17"/>
      <c r="E175" s="18"/>
      <c r="F175" s="17"/>
      <c r="G175" s="18"/>
      <c r="H175" s="13"/>
      <c r="I175" s="19">
        <f>IF($E175="","",IF($K175&lt;=0.005,"Pago",IF($D175="","Sem vencimento",IF($D175&lt;Hoje,"Vencida",IF($D175=Hoje,"Vence hoje",IF($D175-Hoje&lt;=DiasAlerta,"Vence em breve","A vencer"))))))</f>
        <v>0</v>
      </c>
      <c r="J175" s="20">
        <f>IF(OR($E175="",$D175=""),"",IF($K175&lt;=0.005,"",$D175-Hoje))</f>
        <v>0</v>
      </c>
      <c r="K175" s="21">
        <f>IF($E175="","",MAX(0,$E175-N($G175)))</f>
        <v>0</v>
      </c>
      <c r="L175" s="20">
        <f>IF($I175="Vencida","PAGAR JÁ (multa e juros)",IF($I175="Vence hoje","Pagar hoje",IF($I175="Vence em breve","Programar pagamento","")))</f>
        <v>0</v>
      </c>
    </row>
    <row r="176" spans="1:12">
      <c r="A176" s="13"/>
      <c r="B176" s="13"/>
      <c r="C176" s="13"/>
      <c r="D176" s="17"/>
      <c r="E176" s="18"/>
      <c r="F176" s="17"/>
      <c r="G176" s="18"/>
      <c r="H176" s="13"/>
      <c r="I176" s="19">
        <f>IF($E176="","",IF($K176&lt;=0.005,"Pago",IF($D176="","Sem vencimento",IF($D176&lt;Hoje,"Vencida",IF($D176=Hoje,"Vence hoje",IF($D176-Hoje&lt;=DiasAlerta,"Vence em breve","A vencer"))))))</f>
        <v>0</v>
      </c>
      <c r="J176" s="20">
        <f>IF(OR($E176="",$D176=""),"",IF($K176&lt;=0.005,"",$D176-Hoje))</f>
        <v>0</v>
      </c>
      <c r="K176" s="21">
        <f>IF($E176="","",MAX(0,$E176-N($G176)))</f>
        <v>0</v>
      </c>
      <c r="L176" s="20">
        <f>IF($I176="Vencida","PAGAR JÁ (multa e juros)",IF($I176="Vence hoje","Pagar hoje",IF($I176="Vence em breve","Programar pagamento","")))</f>
        <v>0</v>
      </c>
    </row>
    <row r="177" spans="1:12">
      <c r="A177" s="13"/>
      <c r="B177" s="13"/>
      <c r="C177" s="13"/>
      <c r="D177" s="17"/>
      <c r="E177" s="18"/>
      <c r="F177" s="17"/>
      <c r="G177" s="18"/>
      <c r="H177" s="13"/>
      <c r="I177" s="19">
        <f>IF($E177="","",IF($K177&lt;=0.005,"Pago",IF($D177="","Sem vencimento",IF($D177&lt;Hoje,"Vencida",IF($D177=Hoje,"Vence hoje",IF($D177-Hoje&lt;=DiasAlerta,"Vence em breve","A vencer"))))))</f>
        <v>0</v>
      </c>
      <c r="J177" s="20">
        <f>IF(OR($E177="",$D177=""),"",IF($K177&lt;=0.005,"",$D177-Hoje))</f>
        <v>0</v>
      </c>
      <c r="K177" s="21">
        <f>IF($E177="","",MAX(0,$E177-N($G177)))</f>
        <v>0</v>
      </c>
      <c r="L177" s="20">
        <f>IF($I177="Vencida","PAGAR JÁ (multa e juros)",IF($I177="Vence hoje","Pagar hoje",IF($I177="Vence em breve","Programar pagamento","")))</f>
        <v>0</v>
      </c>
    </row>
    <row r="178" spans="1:12">
      <c r="A178" s="13"/>
      <c r="B178" s="13"/>
      <c r="C178" s="13"/>
      <c r="D178" s="17"/>
      <c r="E178" s="18"/>
      <c r="F178" s="17"/>
      <c r="G178" s="18"/>
      <c r="H178" s="13"/>
      <c r="I178" s="19">
        <f>IF($E178="","",IF($K178&lt;=0.005,"Pago",IF($D178="","Sem vencimento",IF($D178&lt;Hoje,"Vencida",IF($D178=Hoje,"Vence hoje",IF($D178-Hoje&lt;=DiasAlerta,"Vence em breve","A vencer"))))))</f>
        <v>0</v>
      </c>
      <c r="J178" s="20">
        <f>IF(OR($E178="",$D178=""),"",IF($K178&lt;=0.005,"",$D178-Hoje))</f>
        <v>0</v>
      </c>
      <c r="K178" s="21">
        <f>IF($E178="","",MAX(0,$E178-N($G178)))</f>
        <v>0</v>
      </c>
      <c r="L178" s="20">
        <f>IF($I178="Vencida","PAGAR JÁ (multa e juros)",IF($I178="Vence hoje","Pagar hoje",IF($I178="Vence em breve","Programar pagamento","")))</f>
        <v>0</v>
      </c>
    </row>
    <row r="179" spans="1:12">
      <c r="A179" s="13"/>
      <c r="B179" s="13"/>
      <c r="C179" s="13"/>
      <c r="D179" s="17"/>
      <c r="E179" s="18"/>
      <c r="F179" s="17"/>
      <c r="G179" s="18"/>
      <c r="H179" s="13"/>
      <c r="I179" s="19">
        <f>IF($E179="","",IF($K179&lt;=0.005,"Pago",IF($D179="","Sem vencimento",IF($D179&lt;Hoje,"Vencida",IF($D179=Hoje,"Vence hoje",IF($D179-Hoje&lt;=DiasAlerta,"Vence em breve","A vencer"))))))</f>
        <v>0</v>
      </c>
      <c r="J179" s="20">
        <f>IF(OR($E179="",$D179=""),"",IF($K179&lt;=0.005,"",$D179-Hoje))</f>
        <v>0</v>
      </c>
      <c r="K179" s="21">
        <f>IF($E179="","",MAX(0,$E179-N($G179)))</f>
        <v>0</v>
      </c>
      <c r="L179" s="20">
        <f>IF($I179="Vencida","PAGAR JÁ (multa e juros)",IF($I179="Vence hoje","Pagar hoje",IF($I179="Vence em breve","Programar pagamento","")))</f>
        <v>0</v>
      </c>
    </row>
    <row r="180" spans="1:12">
      <c r="A180" s="13"/>
      <c r="B180" s="13"/>
      <c r="C180" s="13"/>
      <c r="D180" s="17"/>
      <c r="E180" s="18"/>
      <c r="F180" s="17"/>
      <c r="G180" s="18"/>
      <c r="H180" s="13"/>
      <c r="I180" s="19">
        <f>IF($E180="","",IF($K180&lt;=0.005,"Pago",IF($D180="","Sem vencimento",IF($D180&lt;Hoje,"Vencida",IF($D180=Hoje,"Vence hoje",IF($D180-Hoje&lt;=DiasAlerta,"Vence em breve","A vencer"))))))</f>
        <v>0</v>
      </c>
      <c r="J180" s="20">
        <f>IF(OR($E180="",$D180=""),"",IF($K180&lt;=0.005,"",$D180-Hoje))</f>
        <v>0</v>
      </c>
      <c r="K180" s="21">
        <f>IF($E180="","",MAX(0,$E180-N($G180)))</f>
        <v>0</v>
      </c>
      <c r="L180" s="20">
        <f>IF($I180="Vencida","PAGAR JÁ (multa e juros)",IF($I180="Vence hoje","Pagar hoje",IF($I180="Vence em breve","Programar pagamento","")))</f>
        <v>0</v>
      </c>
    </row>
    <row r="181" spans="1:12">
      <c r="A181" s="13"/>
      <c r="B181" s="13"/>
      <c r="C181" s="13"/>
      <c r="D181" s="17"/>
      <c r="E181" s="18"/>
      <c r="F181" s="17"/>
      <c r="G181" s="18"/>
      <c r="H181" s="13"/>
      <c r="I181" s="19">
        <f>IF($E181="","",IF($K181&lt;=0.005,"Pago",IF($D181="","Sem vencimento",IF($D181&lt;Hoje,"Vencida",IF($D181=Hoje,"Vence hoje",IF($D181-Hoje&lt;=DiasAlerta,"Vence em breve","A vencer"))))))</f>
        <v>0</v>
      </c>
      <c r="J181" s="20">
        <f>IF(OR($E181="",$D181=""),"",IF($K181&lt;=0.005,"",$D181-Hoje))</f>
        <v>0</v>
      </c>
      <c r="K181" s="21">
        <f>IF($E181="","",MAX(0,$E181-N($G181)))</f>
        <v>0</v>
      </c>
      <c r="L181" s="20">
        <f>IF($I181="Vencida","PAGAR JÁ (multa e juros)",IF($I181="Vence hoje","Pagar hoje",IF($I181="Vence em breve","Programar pagamento","")))</f>
        <v>0</v>
      </c>
    </row>
    <row r="182" spans="1:12">
      <c r="A182" s="13"/>
      <c r="B182" s="13"/>
      <c r="C182" s="13"/>
      <c r="D182" s="17"/>
      <c r="E182" s="18"/>
      <c r="F182" s="17"/>
      <c r="G182" s="18"/>
      <c r="H182" s="13"/>
      <c r="I182" s="19">
        <f>IF($E182="","",IF($K182&lt;=0.005,"Pago",IF($D182="","Sem vencimento",IF($D182&lt;Hoje,"Vencida",IF($D182=Hoje,"Vence hoje",IF($D182-Hoje&lt;=DiasAlerta,"Vence em breve","A vencer"))))))</f>
        <v>0</v>
      </c>
      <c r="J182" s="20">
        <f>IF(OR($E182="",$D182=""),"",IF($K182&lt;=0.005,"",$D182-Hoje))</f>
        <v>0</v>
      </c>
      <c r="K182" s="21">
        <f>IF($E182="","",MAX(0,$E182-N($G182)))</f>
        <v>0</v>
      </c>
      <c r="L182" s="20">
        <f>IF($I182="Vencida","PAGAR JÁ (multa e juros)",IF($I182="Vence hoje","Pagar hoje",IF($I182="Vence em breve","Programar pagamento","")))</f>
        <v>0</v>
      </c>
    </row>
    <row r="183" spans="1:12">
      <c r="A183" s="13"/>
      <c r="B183" s="13"/>
      <c r="C183" s="13"/>
      <c r="D183" s="17"/>
      <c r="E183" s="18"/>
      <c r="F183" s="17"/>
      <c r="G183" s="18"/>
      <c r="H183" s="13"/>
      <c r="I183" s="19">
        <f>IF($E183="","",IF($K183&lt;=0.005,"Pago",IF($D183="","Sem vencimento",IF($D183&lt;Hoje,"Vencida",IF($D183=Hoje,"Vence hoje",IF($D183-Hoje&lt;=DiasAlerta,"Vence em breve","A vencer"))))))</f>
        <v>0</v>
      </c>
      <c r="J183" s="20">
        <f>IF(OR($E183="",$D183=""),"",IF($K183&lt;=0.005,"",$D183-Hoje))</f>
        <v>0</v>
      </c>
      <c r="K183" s="21">
        <f>IF($E183="","",MAX(0,$E183-N($G183)))</f>
        <v>0</v>
      </c>
      <c r="L183" s="20">
        <f>IF($I183="Vencida","PAGAR JÁ (multa e juros)",IF($I183="Vence hoje","Pagar hoje",IF($I183="Vence em breve","Programar pagamento","")))</f>
        <v>0</v>
      </c>
    </row>
    <row r="184" spans="1:12">
      <c r="A184" s="13"/>
      <c r="B184" s="13"/>
      <c r="C184" s="13"/>
      <c r="D184" s="17"/>
      <c r="E184" s="18"/>
      <c r="F184" s="17"/>
      <c r="G184" s="18"/>
      <c r="H184" s="13"/>
      <c r="I184" s="19">
        <f>IF($E184="","",IF($K184&lt;=0.005,"Pago",IF($D184="","Sem vencimento",IF($D184&lt;Hoje,"Vencida",IF($D184=Hoje,"Vence hoje",IF($D184-Hoje&lt;=DiasAlerta,"Vence em breve","A vencer"))))))</f>
        <v>0</v>
      </c>
      <c r="J184" s="20">
        <f>IF(OR($E184="",$D184=""),"",IF($K184&lt;=0.005,"",$D184-Hoje))</f>
        <v>0</v>
      </c>
      <c r="K184" s="21">
        <f>IF($E184="","",MAX(0,$E184-N($G184)))</f>
        <v>0</v>
      </c>
      <c r="L184" s="20">
        <f>IF($I184="Vencida","PAGAR JÁ (multa e juros)",IF($I184="Vence hoje","Pagar hoje",IF($I184="Vence em breve","Programar pagamento","")))</f>
        <v>0</v>
      </c>
    </row>
    <row r="185" spans="1:12">
      <c r="A185" s="13"/>
      <c r="B185" s="13"/>
      <c r="C185" s="13"/>
      <c r="D185" s="17"/>
      <c r="E185" s="18"/>
      <c r="F185" s="17"/>
      <c r="G185" s="18"/>
      <c r="H185" s="13"/>
      <c r="I185" s="19">
        <f>IF($E185="","",IF($K185&lt;=0.005,"Pago",IF($D185="","Sem vencimento",IF($D185&lt;Hoje,"Vencida",IF($D185=Hoje,"Vence hoje",IF($D185-Hoje&lt;=DiasAlerta,"Vence em breve","A vencer"))))))</f>
        <v>0</v>
      </c>
      <c r="J185" s="20">
        <f>IF(OR($E185="",$D185=""),"",IF($K185&lt;=0.005,"",$D185-Hoje))</f>
        <v>0</v>
      </c>
      <c r="K185" s="21">
        <f>IF($E185="","",MAX(0,$E185-N($G185)))</f>
        <v>0</v>
      </c>
      <c r="L185" s="20">
        <f>IF($I185="Vencida","PAGAR JÁ (multa e juros)",IF($I185="Vence hoje","Pagar hoje",IF($I185="Vence em breve","Programar pagamento","")))</f>
        <v>0</v>
      </c>
    </row>
    <row r="186" spans="1:12">
      <c r="A186" s="13"/>
      <c r="B186" s="13"/>
      <c r="C186" s="13"/>
      <c r="D186" s="17"/>
      <c r="E186" s="18"/>
      <c r="F186" s="17"/>
      <c r="G186" s="18"/>
      <c r="H186" s="13"/>
      <c r="I186" s="19">
        <f>IF($E186="","",IF($K186&lt;=0.005,"Pago",IF($D186="","Sem vencimento",IF($D186&lt;Hoje,"Vencida",IF($D186=Hoje,"Vence hoje",IF($D186-Hoje&lt;=DiasAlerta,"Vence em breve","A vencer"))))))</f>
        <v>0</v>
      </c>
      <c r="J186" s="20">
        <f>IF(OR($E186="",$D186=""),"",IF($K186&lt;=0.005,"",$D186-Hoje))</f>
        <v>0</v>
      </c>
      <c r="K186" s="21">
        <f>IF($E186="","",MAX(0,$E186-N($G186)))</f>
        <v>0</v>
      </c>
      <c r="L186" s="20">
        <f>IF($I186="Vencida","PAGAR JÁ (multa e juros)",IF($I186="Vence hoje","Pagar hoje",IF($I186="Vence em breve","Programar pagamento","")))</f>
        <v>0</v>
      </c>
    </row>
    <row r="187" spans="1:12">
      <c r="A187" s="13"/>
      <c r="B187" s="13"/>
      <c r="C187" s="13"/>
      <c r="D187" s="17"/>
      <c r="E187" s="18"/>
      <c r="F187" s="17"/>
      <c r="G187" s="18"/>
      <c r="H187" s="13"/>
      <c r="I187" s="19">
        <f>IF($E187="","",IF($K187&lt;=0.005,"Pago",IF($D187="","Sem vencimento",IF($D187&lt;Hoje,"Vencida",IF($D187=Hoje,"Vence hoje",IF($D187-Hoje&lt;=DiasAlerta,"Vence em breve","A vencer"))))))</f>
        <v>0</v>
      </c>
      <c r="J187" s="20">
        <f>IF(OR($E187="",$D187=""),"",IF($K187&lt;=0.005,"",$D187-Hoje))</f>
        <v>0</v>
      </c>
      <c r="K187" s="21">
        <f>IF($E187="","",MAX(0,$E187-N($G187)))</f>
        <v>0</v>
      </c>
      <c r="L187" s="20">
        <f>IF($I187="Vencida","PAGAR JÁ (multa e juros)",IF($I187="Vence hoje","Pagar hoje",IF($I187="Vence em breve","Programar pagamento","")))</f>
        <v>0</v>
      </c>
    </row>
    <row r="188" spans="1:12">
      <c r="A188" s="13"/>
      <c r="B188" s="13"/>
      <c r="C188" s="13"/>
      <c r="D188" s="17"/>
      <c r="E188" s="18"/>
      <c r="F188" s="17"/>
      <c r="G188" s="18"/>
      <c r="H188" s="13"/>
      <c r="I188" s="19">
        <f>IF($E188="","",IF($K188&lt;=0.005,"Pago",IF($D188="","Sem vencimento",IF($D188&lt;Hoje,"Vencida",IF($D188=Hoje,"Vence hoje",IF($D188-Hoje&lt;=DiasAlerta,"Vence em breve","A vencer"))))))</f>
        <v>0</v>
      </c>
      <c r="J188" s="20">
        <f>IF(OR($E188="",$D188=""),"",IF($K188&lt;=0.005,"",$D188-Hoje))</f>
        <v>0</v>
      </c>
      <c r="K188" s="21">
        <f>IF($E188="","",MAX(0,$E188-N($G188)))</f>
        <v>0</v>
      </c>
      <c r="L188" s="20">
        <f>IF($I188="Vencida","PAGAR JÁ (multa e juros)",IF($I188="Vence hoje","Pagar hoje",IF($I188="Vence em breve","Programar pagamento","")))</f>
        <v>0</v>
      </c>
    </row>
    <row r="189" spans="1:12">
      <c r="A189" s="13"/>
      <c r="B189" s="13"/>
      <c r="C189" s="13"/>
      <c r="D189" s="17"/>
      <c r="E189" s="18"/>
      <c r="F189" s="17"/>
      <c r="G189" s="18"/>
      <c r="H189" s="13"/>
      <c r="I189" s="19">
        <f>IF($E189="","",IF($K189&lt;=0.005,"Pago",IF($D189="","Sem vencimento",IF($D189&lt;Hoje,"Vencida",IF($D189=Hoje,"Vence hoje",IF($D189-Hoje&lt;=DiasAlerta,"Vence em breve","A vencer"))))))</f>
        <v>0</v>
      </c>
      <c r="J189" s="20">
        <f>IF(OR($E189="",$D189=""),"",IF($K189&lt;=0.005,"",$D189-Hoje))</f>
        <v>0</v>
      </c>
      <c r="K189" s="21">
        <f>IF($E189="","",MAX(0,$E189-N($G189)))</f>
        <v>0</v>
      </c>
      <c r="L189" s="20">
        <f>IF($I189="Vencida","PAGAR JÁ (multa e juros)",IF($I189="Vence hoje","Pagar hoje",IF($I189="Vence em breve","Programar pagamento","")))</f>
        <v>0</v>
      </c>
    </row>
    <row r="190" spans="1:12">
      <c r="A190" s="13"/>
      <c r="B190" s="13"/>
      <c r="C190" s="13"/>
      <c r="D190" s="17"/>
      <c r="E190" s="18"/>
      <c r="F190" s="17"/>
      <c r="G190" s="18"/>
      <c r="H190" s="13"/>
      <c r="I190" s="19">
        <f>IF($E190="","",IF($K190&lt;=0.005,"Pago",IF($D190="","Sem vencimento",IF($D190&lt;Hoje,"Vencida",IF($D190=Hoje,"Vence hoje",IF($D190-Hoje&lt;=DiasAlerta,"Vence em breve","A vencer"))))))</f>
        <v>0</v>
      </c>
      <c r="J190" s="20">
        <f>IF(OR($E190="",$D190=""),"",IF($K190&lt;=0.005,"",$D190-Hoje))</f>
        <v>0</v>
      </c>
      <c r="K190" s="21">
        <f>IF($E190="","",MAX(0,$E190-N($G190)))</f>
        <v>0</v>
      </c>
      <c r="L190" s="20">
        <f>IF($I190="Vencida","PAGAR JÁ (multa e juros)",IF($I190="Vence hoje","Pagar hoje",IF($I190="Vence em breve","Programar pagamento","")))</f>
        <v>0</v>
      </c>
    </row>
    <row r="191" spans="1:12">
      <c r="A191" s="13"/>
      <c r="B191" s="13"/>
      <c r="C191" s="13"/>
      <c r="D191" s="17"/>
      <c r="E191" s="18"/>
      <c r="F191" s="17"/>
      <c r="G191" s="18"/>
      <c r="H191" s="13"/>
      <c r="I191" s="19">
        <f>IF($E191="","",IF($K191&lt;=0.005,"Pago",IF($D191="","Sem vencimento",IF($D191&lt;Hoje,"Vencida",IF($D191=Hoje,"Vence hoje",IF($D191-Hoje&lt;=DiasAlerta,"Vence em breve","A vencer"))))))</f>
        <v>0</v>
      </c>
      <c r="J191" s="20">
        <f>IF(OR($E191="",$D191=""),"",IF($K191&lt;=0.005,"",$D191-Hoje))</f>
        <v>0</v>
      </c>
      <c r="K191" s="21">
        <f>IF($E191="","",MAX(0,$E191-N($G191)))</f>
        <v>0</v>
      </c>
      <c r="L191" s="20">
        <f>IF($I191="Vencida","PAGAR JÁ (multa e juros)",IF($I191="Vence hoje","Pagar hoje",IF($I191="Vence em breve","Programar pagamento","")))</f>
        <v>0</v>
      </c>
    </row>
    <row r="192" spans="1:12">
      <c r="A192" s="13"/>
      <c r="B192" s="13"/>
      <c r="C192" s="13"/>
      <c r="D192" s="17"/>
      <c r="E192" s="18"/>
      <c r="F192" s="17"/>
      <c r="G192" s="18"/>
      <c r="H192" s="13"/>
      <c r="I192" s="19">
        <f>IF($E192="","",IF($K192&lt;=0.005,"Pago",IF($D192="","Sem vencimento",IF($D192&lt;Hoje,"Vencida",IF($D192=Hoje,"Vence hoje",IF($D192-Hoje&lt;=DiasAlerta,"Vence em breve","A vencer"))))))</f>
        <v>0</v>
      </c>
      <c r="J192" s="20">
        <f>IF(OR($E192="",$D192=""),"",IF($K192&lt;=0.005,"",$D192-Hoje))</f>
        <v>0</v>
      </c>
      <c r="K192" s="21">
        <f>IF($E192="","",MAX(0,$E192-N($G192)))</f>
        <v>0</v>
      </c>
      <c r="L192" s="20">
        <f>IF($I192="Vencida","PAGAR JÁ (multa e juros)",IF($I192="Vence hoje","Pagar hoje",IF($I192="Vence em breve","Programar pagamento","")))</f>
        <v>0</v>
      </c>
    </row>
    <row r="193" spans="1:12">
      <c r="A193" s="13"/>
      <c r="B193" s="13"/>
      <c r="C193" s="13"/>
      <c r="D193" s="17"/>
      <c r="E193" s="18"/>
      <c r="F193" s="17"/>
      <c r="G193" s="18"/>
      <c r="H193" s="13"/>
      <c r="I193" s="19">
        <f>IF($E193="","",IF($K193&lt;=0.005,"Pago",IF($D193="","Sem vencimento",IF($D193&lt;Hoje,"Vencida",IF($D193=Hoje,"Vence hoje",IF($D193-Hoje&lt;=DiasAlerta,"Vence em breve","A vencer"))))))</f>
        <v>0</v>
      </c>
      <c r="J193" s="20">
        <f>IF(OR($E193="",$D193=""),"",IF($K193&lt;=0.005,"",$D193-Hoje))</f>
        <v>0</v>
      </c>
      <c r="K193" s="21">
        <f>IF($E193="","",MAX(0,$E193-N($G193)))</f>
        <v>0</v>
      </c>
      <c r="L193" s="20">
        <f>IF($I193="Vencida","PAGAR JÁ (multa e juros)",IF($I193="Vence hoje","Pagar hoje",IF($I193="Vence em breve","Programar pagamento","")))</f>
        <v>0</v>
      </c>
    </row>
    <row r="194" spans="1:12">
      <c r="A194" s="13"/>
      <c r="B194" s="13"/>
      <c r="C194" s="13"/>
      <c r="D194" s="17"/>
      <c r="E194" s="18"/>
      <c r="F194" s="17"/>
      <c r="G194" s="18"/>
      <c r="H194" s="13"/>
      <c r="I194" s="19">
        <f>IF($E194="","",IF($K194&lt;=0.005,"Pago",IF($D194="","Sem vencimento",IF($D194&lt;Hoje,"Vencida",IF($D194=Hoje,"Vence hoje",IF($D194-Hoje&lt;=DiasAlerta,"Vence em breve","A vencer"))))))</f>
        <v>0</v>
      </c>
      <c r="J194" s="20">
        <f>IF(OR($E194="",$D194=""),"",IF($K194&lt;=0.005,"",$D194-Hoje))</f>
        <v>0</v>
      </c>
      <c r="K194" s="21">
        <f>IF($E194="","",MAX(0,$E194-N($G194)))</f>
        <v>0</v>
      </c>
      <c r="L194" s="20">
        <f>IF($I194="Vencida","PAGAR JÁ (multa e juros)",IF($I194="Vence hoje","Pagar hoje",IF($I194="Vence em breve","Programar pagamento","")))</f>
        <v>0</v>
      </c>
    </row>
    <row r="195" spans="1:12">
      <c r="A195" s="13"/>
      <c r="B195" s="13"/>
      <c r="C195" s="13"/>
      <c r="D195" s="17"/>
      <c r="E195" s="18"/>
      <c r="F195" s="17"/>
      <c r="G195" s="18"/>
      <c r="H195" s="13"/>
      <c r="I195" s="19">
        <f>IF($E195="","",IF($K195&lt;=0.005,"Pago",IF($D195="","Sem vencimento",IF($D195&lt;Hoje,"Vencida",IF($D195=Hoje,"Vence hoje",IF($D195-Hoje&lt;=DiasAlerta,"Vence em breve","A vencer"))))))</f>
        <v>0</v>
      </c>
      <c r="J195" s="20">
        <f>IF(OR($E195="",$D195=""),"",IF($K195&lt;=0.005,"",$D195-Hoje))</f>
        <v>0</v>
      </c>
      <c r="K195" s="21">
        <f>IF($E195="","",MAX(0,$E195-N($G195)))</f>
        <v>0</v>
      </c>
      <c r="L195" s="20">
        <f>IF($I195="Vencida","PAGAR JÁ (multa e juros)",IF($I195="Vence hoje","Pagar hoje",IF($I195="Vence em breve","Programar pagamento","")))</f>
        <v>0</v>
      </c>
    </row>
    <row r="196" spans="1:12">
      <c r="A196" s="13"/>
      <c r="B196" s="13"/>
      <c r="C196" s="13"/>
      <c r="D196" s="17"/>
      <c r="E196" s="18"/>
      <c r="F196" s="17"/>
      <c r="G196" s="18"/>
      <c r="H196" s="13"/>
      <c r="I196" s="19">
        <f>IF($E196="","",IF($K196&lt;=0.005,"Pago",IF($D196="","Sem vencimento",IF($D196&lt;Hoje,"Vencida",IF($D196=Hoje,"Vence hoje",IF($D196-Hoje&lt;=DiasAlerta,"Vence em breve","A vencer"))))))</f>
        <v>0</v>
      </c>
      <c r="J196" s="20">
        <f>IF(OR($E196="",$D196=""),"",IF($K196&lt;=0.005,"",$D196-Hoje))</f>
        <v>0</v>
      </c>
      <c r="K196" s="21">
        <f>IF($E196="","",MAX(0,$E196-N($G196)))</f>
        <v>0</v>
      </c>
      <c r="L196" s="20">
        <f>IF($I196="Vencida","PAGAR JÁ (multa e juros)",IF($I196="Vence hoje","Pagar hoje",IF($I196="Vence em breve","Programar pagamento","")))</f>
        <v>0</v>
      </c>
    </row>
    <row r="197" spans="1:12">
      <c r="A197" s="13"/>
      <c r="B197" s="13"/>
      <c r="C197" s="13"/>
      <c r="D197" s="17"/>
      <c r="E197" s="18"/>
      <c r="F197" s="17"/>
      <c r="G197" s="18"/>
      <c r="H197" s="13"/>
      <c r="I197" s="19">
        <f>IF($E197="","",IF($K197&lt;=0.005,"Pago",IF($D197="","Sem vencimento",IF($D197&lt;Hoje,"Vencida",IF($D197=Hoje,"Vence hoje",IF($D197-Hoje&lt;=DiasAlerta,"Vence em breve","A vencer"))))))</f>
        <v>0</v>
      </c>
      <c r="J197" s="20">
        <f>IF(OR($E197="",$D197=""),"",IF($K197&lt;=0.005,"",$D197-Hoje))</f>
        <v>0</v>
      </c>
      <c r="K197" s="21">
        <f>IF($E197="","",MAX(0,$E197-N($G197)))</f>
        <v>0</v>
      </c>
      <c r="L197" s="20">
        <f>IF($I197="Vencida","PAGAR JÁ (multa e juros)",IF($I197="Vence hoje","Pagar hoje",IF($I197="Vence em breve","Programar pagamento","")))</f>
        <v>0</v>
      </c>
    </row>
    <row r="198" spans="1:12">
      <c r="A198" s="13"/>
      <c r="B198" s="13"/>
      <c r="C198" s="13"/>
      <c r="D198" s="17"/>
      <c r="E198" s="18"/>
      <c r="F198" s="17"/>
      <c r="G198" s="18"/>
      <c r="H198" s="13"/>
      <c r="I198" s="19">
        <f>IF($E198="","",IF($K198&lt;=0.005,"Pago",IF($D198="","Sem vencimento",IF($D198&lt;Hoje,"Vencida",IF($D198=Hoje,"Vence hoje",IF($D198-Hoje&lt;=DiasAlerta,"Vence em breve","A vencer"))))))</f>
        <v>0</v>
      </c>
      <c r="J198" s="20">
        <f>IF(OR($E198="",$D198=""),"",IF($K198&lt;=0.005,"",$D198-Hoje))</f>
        <v>0</v>
      </c>
      <c r="K198" s="21">
        <f>IF($E198="","",MAX(0,$E198-N($G198)))</f>
        <v>0</v>
      </c>
      <c r="L198" s="20">
        <f>IF($I198="Vencida","PAGAR JÁ (multa e juros)",IF($I198="Vence hoje","Pagar hoje",IF($I198="Vence em breve","Programar pagamento","")))</f>
        <v>0</v>
      </c>
    </row>
    <row r="199" spans="1:12">
      <c r="A199" s="13"/>
      <c r="B199" s="13"/>
      <c r="C199" s="13"/>
      <c r="D199" s="17"/>
      <c r="E199" s="18"/>
      <c r="F199" s="17"/>
      <c r="G199" s="18"/>
      <c r="H199" s="13"/>
      <c r="I199" s="19">
        <f>IF($E199="","",IF($K199&lt;=0.005,"Pago",IF($D199="","Sem vencimento",IF($D199&lt;Hoje,"Vencida",IF($D199=Hoje,"Vence hoje",IF($D199-Hoje&lt;=DiasAlerta,"Vence em breve","A vencer"))))))</f>
        <v>0</v>
      </c>
      <c r="J199" s="20">
        <f>IF(OR($E199="",$D199=""),"",IF($K199&lt;=0.005,"",$D199-Hoje))</f>
        <v>0</v>
      </c>
      <c r="K199" s="21">
        <f>IF($E199="","",MAX(0,$E199-N($G199)))</f>
        <v>0</v>
      </c>
      <c r="L199" s="20">
        <f>IF($I199="Vencida","PAGAR JÁ (multa e juros)",IF($I199="Vence hoje","Pagar hoje",IF($I199="Vence em breve","Programar pagamento","")))</f>
        <v>0</v>
      </c>
    </row>
    <row r="200" spans="1:12">
      <c r="A200" s="13"/>
      <c r="B200" s="13"/>
      <c r="C200" s="13"/>
      <c r="D200" s="17"/>
      <c r="E200" s="18"/>
      <c r="F200" s="17"/>
      <c r="G200" s="18"/>
      <c r="H200" s="13"/>
      <c r="I200" s="19">
        <f>IF($E200="","",IF($K200&lt;=0.005,"Pago",IF($D200="","Sem vencimento",IF($D200&lt;Hoje,"Vencida",IF($D200=Hoje,"Vence hoje",IF($D200-Hoje&lt;=DiasAlerta,"Vence em breve","A vencer"))))))</f>
        <v>0</v>
      </c>
      <c r="J200" s="20">
        <f>IF(OR($E200="",$D200=""),"",IF($K200&lt;=0.005,"",$D200-Hoje))</f>
        <v>0</v>
      </c>
      <c r="K200" s="21">
        <f>IF($E200="","",MAX(0,$E200-N($G200)))</f>
        <v>0</v>
      </c>
      <c r="L200" s="20">
        <f>IF($I200="Vencida","PAGAR JÁ (multa e juros)",IF($I200="Vence hoje","Pagar hoje",IF($I200="Vence em breve","Programar pagamento","")))</f>
        <v>0</v>
      </c>
    </row>
    <row r="201" spans="1:12">
      <c r="A201" s="13"/>
      <c r="B201" s="13"/>
      <c r="C201" s="13"/>
      <c r="D201" s="17"/>
      <c r="E201" s="18"/>
      <c r="F201" s="17"/>
      <c r="G201" s="18"/>
      <c r="H201" s="13"/>
      <c r="I201" s="19">
        <f>IF($E201="","",IF($K201&lt;=0.005,"Pago",IF($D201="","Sem vencimento",IF($D201&lt;Hoje,"Vencida",IF($D201=Hoje,"Vence hoje",IF($D201-Hoje&lt;=DiasAlerta,"Vence em breve","A vencer"))))))</f>
        <v>0</v>
      </c>
      <c r="J201" s="20">
        <f>IF(OR($E201="",$D201=""),"",IF($K201&lt;=0.005,"",$D201-Hoje))</f>
        <v>0</v>
      </c>
      <c r="K201" s="21">
        <f>IF($E201="","",MAX(0,$E201-N($G201)))</f>
        <v>0</v>
      </c>
      <c r="L201" s="20">
        <f>IF($I201="Vencida","PAGAR JÁ (multa e juros)",IF($I201="Vence hoje","Pagar hoje",IF($I201="Vence em breve","Programar pagamento","")))</f>
        <v>0</v>
      </c>
    </row>
    <row r="202" spans="1:12">
      <c r="A202" s="13"/>
      <c r="B202" s="13"/>
      <c r="C202" s="13"/>
      <c r="D202" s="17"/>
      <c r="E202" s="18"/>
      <c r="F202" s="17"/>
      <c r="G202" s="18"/>
      <c r="H202" s="13"/>
      <c r="I202" s="19">
        <f>IF($E202="","",IF($K202&lt;=0.005,"Pago",IF($D202="","Sem vencimento",IF($D202&lt;Hoje,"Vencida",IF($D202=Hoje,"Vence hoje",IF($D202-Hoje&lt;=DiasAlerta,"Vence em breve","A vencer"))))))</f>
        <v>0</v>
      </c>
      <c r="J202" s="20">
        <f>IF(OR($E202="",$D202=""),"",IF($K202&lt;=0.005,"",$D202-Hoje))</f>
        <v>0</v>
      </c>
      <c r="K202" s="21">
        <f>IF($E202="","",MAX(0,$E202-N($G202)))</f>
        <v>0</v>
      </c>
      <c r="L202" s="20">
        <f>IF($I202="Vencida","PAGAR JÁ (multa e juros)",IF($I202="Vence hoje","Pagar hoje",IF($I202="Vence em breve","Programar pagamento","")))</f>
        <v>0</v>
      </c>
    </row>
    <row r="203" spans="1:12">
      <c r="A203" s="13"/>
      <c r="B203" s="13"/>
      <c r="C203" s="13"/>
      <c r="D203" s="17"/>
      <c r="E203" s="18"/>
      <c r="F203" s="17"/>
      <c r="G203" s="18"/>
      <c r="H203" s="13"/>
      <c r="I203" s="19">
        <f>IF($E203="","",IF($K203&lt;=0.005,"Pago",IF($D203="","Sem vencimento",IF($D203&lt;Hoje,"Vencida",IF($D203=Hoje,"Vence hoje",IF($D203-Hoje&lt;=DiasAlerta,"Vence em breve","A vencer"))))))</f>
        <v>0</v>
      </c>
      <c r="J203" s="20">
        <f>IF(OR($E203="",$D203=""),"",IF($K203&lt;=0.005,"",$D203-Hoje))</f>
        <v>0</v>
      </c>
      <c r="K203" s="21">
        <f>IF($E203="","",MAX(0,$E203-N($G203)))</f>
        <v>0</v>
      </c>
      <c r="L203" s="20">
        <f>IF($I203="Vencida","PAGAR JÁ (multa e juros)",IF($I203="Vence hoje","Pagar hoje",IF($I203="Vence em breve","Programar pagamento","")))</f>
        <v>0</v>
      </c>
    </row>
    <row r="204" spans="1:12">
      <c r="A204" s="13"/>
      <c r="B204" s="13"/>
      <c r="C204" s="13"/>
      <c r="D204" s="17"/>
      <c r="E204" s="18"/>
      <c r="F204" s="17"/>
      <c r="G204" s="18"/>
      <c r="H204" s="13"/>
      <c r="I204" s="19">
        <f>IF($E204="","",IF($K204&lt;=0.005,"Pago",IF($D204="","Sem vencimento",IF($D204&lt;Hoje,"Vencida",IF($D204=Hoje,"Vence hoje",IF($D204-Hoje&lt;=DiasAlerta,"Vence em breve","A vencer"))))))</f>
        <v>0</v>
      </c>
      <c r="J204" s="20">
        <f>IF(OR($E204="",$D204=""),"",IF($K204&lt;=0.005,"",$D204-Hoje))</f>
        <v>0</v>
      </c>
      <c r="K204" s="21">
        <f>IF($E204="","",MAX(0,$E204-N($G204)))</f>
        <v>0</v>
      </c>
      <c r="L204" s="20">
        <f>IF($I204="Vencida","PAGAR JÁ (multa e juros)",IF($I204="Vence hoje","Pagar hoje",IF($I204="Vence em breve","Programar pagamento","")))</f>
        <v>0</v>
      </c>
    </row>
    <row r="205" spans="1:12">
      <c r="A205" s="13"/>
      <c r="B205" s="13"/>
      <c r="C205" s="13"/>
      <c r="D205" s="17"/>
      <c r="E205" s="18"/>
      <c r="F205" s="17"/>
      <c r="G205" s="18"/>
      <c r="H205" s="13"/>
      <c r="I205" s="19">
        <f>IF($E205="","",IF($K205&lt;=0.005,"Pago",IF($D205="","Sem vencimento",IF($D205&lt;Hoje,"Vencida",IF($D205=Hoje,"Vence hoje",IF($D205-Hoje&lt;=DiasAlerta,"Vence em breve","A vencer"))))))</f>
        <v>0</v>
      </c>
      <c r="J205" s="20">
        <f>IF(OR($E205="",$D205=""),"",IF($K205&lt;=0.005,"",$D205-Hoje))</f>
        <v>0</v>
      </c>
      <c r="K205" s="21">
        <f>IF($E205="","",MAX(0,$E205-N($G205)))</f>
        <v>0</v>
      </c>
      <c r="L205" s="20">
        <f>IF($I205="Vencida","PAGAR JÁ (multa e juros)",IF($I205="Vence hoje","Pagar hoje",IF($I205="Vence em breve","Programar pagamento","")))</f>
        <v>0</v>
      </c>
    </row>
    <row r="206" spans="1:12">
      <c r="A206" s="13"/>
      <c r="B206" s="13"/>
      <c r="C206" s="13"/>
      <c r="D206" s="17"/>
      <c r="E206" s="18"/>
      <c r="F206" s="17"/>
      <c r="G206" s="18"/>
      <c r="H206" s="13"/>
      <c r="I206" s="19">
        <f>IF($E206="","",IF($K206&lt;=0.005,"Pago",IF($D206="","Sem vencimento",IF($D206&lt;Hoje,"Vencida",IF($D206=Hoje,"Vence hoje",IF($D206-Hoje&lt;=DiasAlerta,"Vence em breve","A vencer"))))))</f>
        <v>0</v>
      </c>
      <c r="J206" s="20">
        <f>IF(OR($E206="",$D206=""),"",IF($K206&lt;=0.005,"",$D206-Hoje))</f>
        <v>0</v>
      </c>
      <c r="K206" s="21">
        <f>IF($E206="","",MAX(0,$E206-N($G206)))</f>
        <v>0</v>
      </c>
      <c r="L206" s="20">
        <f>IF($I206="Vencida","PAGAR JÁ (multa e juros)",IF($I206="Vence hoje","Pagar hoje",IF($I206="Vence em breve","Programar pagamento","")))</f>
        <v>0</v>
      </c>
    </row>
    <row r="207" spans="1:12">
      <c r="A207" s="13"/>
      <c r="B207" s="13"/>
      <c r="C207" s="13"/>
      <c r="D207" s="17"/>
      <c r="E207" s="18"/>
      <c r="F207" s="17"/>
      <c r="G207" s="18"/>
      <c r="H207" s="13"/>
      <c r="I207" s="19">
        <f>IF($E207="","",IF($K207&lt;=0.005,"Pago",IF($D207="","Sem vencimento",IF($D207&lt;Hoje,"Vencida",IF($D207=Hoje,"Vence hoje",IF($D207-Hoje&lt;=DiasAlerta,"Vence em breve","A vencer"))))))</f>
        <v>0</v>
      </c>
      <c r="J207" s="20">
        <f>IF(OR($E207="",$D207=""),"",IF($K207&lt;=0.005,"",$D207-Hoje))</f>
        <v>0</v>
      </c>
      <c r="K207" s="21">
        <f>IF($E207="","",MAX(0,$E207-N($G207)))</f>
        <v>0</v>
      </c>
      <c r="L207" s="20">
        <f>IF($I207="Vencida","PAGAR JÁ (multa e juros)",IF($I207="Vence hoje","Pagar hoje",IF($I207="Vence em breve","Programar pagamento","")))</f>
        <v>0</v>
      </c>
    </row>
    <row r="208" spans="1:12">
      <c r="A208" s="13"/>
      <c r="B208" s="13"/>
      <c r="C208" s="13"/>
      <c r="D208" s="17"/>
      <c r="E208" s="18"/>
      <c r="F208" s="17"/>
      <c r="G208" s="18"/>
      <c r="H208" s="13"/>
      <c r="I208" s="19">
        <f>IF($E208="","",IF($K208&lt;=0.005,"Pago",IF($D208="","Sem vencimento",IF($D208&lt;Hoje,"Vencida",IF($D208=Hoje,"Vence hoje",IF($D208-Hoje&lt;=DiasAlerta,"Vence em breve","A vencer"))))))</f>
        <v>0</v>
      </c>
      <c r="J208" s="20">
        <f>IF(OR($E208="",$D208=""),"",IF($K208&lt;=0.005,"",$D208-Hoje))</f>
        <v>0</v>
      </c>
      <c r="K208" s="21">
        <f>IF($E208="","",MAX(0,$E208-N($G208)))</f>
        <v>0</v>
      </c>
      <c r="L208" s="20">
        <f>IF($I208="Vencida","PAGAR JÁ (multa e juros)",IF($I208="Vence hoje","Pagar hoje",IF($I208="Vence em breve","Programar pagamento","")))</f>
        <v>0</v>
      </c>
    </row>
    <row r="209" spans="1:12">
      <c r="A209" s="13"/>
      <c r="B209" s="13"/>
      <c r="C209" s="13"/>
      <c r="D209" s="17"/>
      <c r="E209" s="18"/>
      <c r="F209" s="17"/>
      <c r="G209" s="18"/>
      <c r="H209" s="13"/>
      <c r="I209" s="19">
        <f>IF($E209="","",IF($K209&lt;=0.005,"Pago",IF($D209="","Sem vencimento",IF($D209&lt;Hoje,"Vencida",IF($D209=Hoje,"Vence hoje",IF($D209-Hoje&lt;=DiasAlerta,"Vence em breve","A vencer"))))))</f>
        <v>0</v>
      </c>
      <c r="J209" s="20">
        <f>IF(OR($E209="",$D209=""),"",IF($K209&lt;=0.005,"",$D209-Hoje))</f>
        <v>0</v>
      </c>
      <c r="K209" s="21">
        <f>IF($E209="","",MAX(0,$E209-N($G209)))</f>
        <v>0</v>
      </c>
      <c r="L209" s="20">
        <f>IF($I209="Vencida","PAGAR JÁ (multa e juros)",IF($I209="Vence hoje","Pagar hoje",IF($I209="Vence em breve","Programar pagamento","")))</f>
        <v>0</v>
      </c>
    </row>
    <row r="210" spans="1:12">
      <c r="A210" s="13"/>
      <c r="B210" s="13"/>
      <c r="C210" s="13"/>
      <c r="D210" s="17"/>
      <c r="E210" s="18"/>
      <c r="F210" s="17"/>
      <c r="G210" s="18"/>
      <c r="H210" s="13"/>
      <c r="I210" s="19">
        <f>IF($E210="","",IF($K210&lt;=0.005,"Pago",IF($D210="","Sem vencimento",IF($D210&lt;Hoje,"Vencida",IF($D210=Hoje,"Vence hoje",IF($D210-Hoje&lt;=DiasAlerta,"Vence em breve","A vencer"))))))</f>
        <v>0</v>
      </c>
      <c r="J210" s="20">
        <f>IF(OR($E210="",$D210=""),"",IF($K210&lt;=0.005,"",$D210-Hoje))</f>
        <v>0</v>
      </c>
      <c r="K210" s="21">
        <f>IF($E210="","",MAX(0,$E210-N($G210)))</f>
        <v>0</v>
      </c>
      <c r="L210" s="20">
        <f>IF($I210="Vencida","PAGAR JÁ (multa e juros)",IF($I210="Vence hoje","Pagar hoje",IF($I210="Vence em breve","Programar pagamento","")))</f>
        <v>0</v>
      </c>
    </row>
    <row r="211" spans="1:12">
      <c r="A211" s="13"/>
      <c r="B211" s="13"/>
      <c r="C211" s="13"/>
      <c r="D211" s="17"/>
      <c r="E211" s="18"/>
      <c r="F211" s="17"/>
      <c r="G211" s="18"/>
      <c r="H211" s="13"/>
      <c r="I211" s="19">
        <f>IF($E211="","",IF($K211&lt;=0.005,"Pago",IF($D211="","Sem vencimento",IF($D211&lt;Hoje,"Vencida",IF($D211=Hoje,"Vence hoje",IF($D211-Hoje&lt;=DiasAlerta,"Vence em breve","A vencer"))))))</f>
        <v>0</v>
      </c>
      <c r="J211" s="20">
        <f>IF(OR($E211="",$D211=""),"",IF($K211&lt;=0.005,"",$D211-Hoje))</f>
        <v>0</v>
      </c>
      <c r="K211" s="21">
        <f>IF($E211="","",MAX(0,$E211-N($G211)))</f>
        <v>0</v>
      </c>
      <c r="L211" s="20">
        <f>IF($I211="Vencida","PAGAR JÁ (multa e juros)",IF($I211="Vence hoje","Pagar hoje",IF($I211="Vence em breve","Programar pagamento","")))</f>
        <v>0</v>
      </c>
    </row>
    <row r="212" spans="1:12">
      <c r="A212" s="13"/>
      <c r="B212" s="13"/>
      <c r="C212" s="13"/>
      <c r="D212" s="17"/>
      <c r="E212" s="18"/>
      <c r="F212" s="17"/>
      <c r="G212" s="18"/>
      <c r="H212" s="13"/>
      <c r="I212" s="19">
        <f>IF($E212="","",IF($K212&lt;=0.005,"Pago",IF($D212="","Sem vencimento",IF($D212&lt;Hoje,"Vencida",IF($D212=Hoje,"Vence hoje",IF($D212-Hoje&lt;=DiasAlerta,"Vence em breve","A vencer"))))))</f>
        <v>0</v>
      </c>
      <c r="J212" s="20">
        <f>IF(OR($E212="",$D212=""),"",IF($K212&lt;=0.005,"",$D212-Hoje))</f>
        <v>0</v>
      </c>
      <c r="K212" s="21">
        <f>IF($E212="","",MAX(0,$E212-N($G212)))</f>
        <v>0</v>
      </c>
      <c r="L212" s="20">
        <f>IF($I212="Vencida","PAGAR JÁ (multa e juros)",IF($I212="Vence hoje","Pagar hoje",IF($I212="Vence em breve","Programar pagamento","")))</f>
        <v>0</v>
      </c>
    </row>
    <row r="213" spans="1:12">
      <c r="A213" s="13"/>
      <c r="B213" s="13"/>
      <c r="C213" s="13"/>
      <c r="D213" s="17"/>
      <c r="E213" s="18"/>
      <c r="F213" s="17"/>
      <c r="G213" s="18"/>
      <c r="H213" s="13"/>
      <c r="I213" s="19">
        <f>IF($E213="","",IF($K213&lt;=0.005,"Pago",IF($D213="","Sem vencimento",IF($D213&lt;Hoje,"Vencida",IF($D213=Hoje,"Vence hoje",IF($D213-Hoje&lt;=DiasAlerta,"Vence em breve","A vencer"))))))</f>
        <v>0</v>
      </c>
      <c r="J213" s="20">
        <f>IF(OR($E213="",$D213=""),"",IF($K213&lt;=0.005,"",$D213-Hoje))</f>
        <v>0</v>
      </c>
      <c r="K213" s="21">
        <f>IF($E213="","",MAX(0,$E213-N($G213)))</f>
        <v>0</v>
      </c>
      <c r="L213" s="20">
        <f>IF($I213="Vencida","PAGAR JÁ (multa e juros)",IF($I213="Vence hoje","Pagar hoje",IF($I213="Vence em breve","Programar pagamento","")))</f>
        <v>0</v>
      </c>
    </row>
    <row r="214" spans="1:12">
      <c r="A214" s="13"/>
      <c r="B214" s="13"/>
      <c r="C214" s="13"/>
      <c r="D214" s="17"/>
      <c r="E214" s="18"/>
      <c r="F214" s="17"/>
      <c r="G214" s="18"/>
      <c r="H214" s="13"/>
      <c r="I214" s="19">
        <f>IF($E214="","",IF($K214&lt;=0.005,"Pago",IF($D214="","Sem vencimento",IF($D214&lt;Hoje,"Vencida",IF($D214=Hoje,"Vence hoje",IF($D214-Hoje&lt;=DiasAlerta,"Vence em breve","A vencer"))))))</f>
        <v>0</v>
      </c>
      <c r="J214" s="20">
        <f>IF(OR($E214="",$D214=""),"",IF($K214&lt;=0.005,"",$D214-Hoje))</f>
        <v>0</v>
      </c>
      <c r="K214" s="21">
        <f>IF($E214="","",MAX(0,$E214-N($G214)))</f>
        <v>0</v>
      </c>
      <c r="L214" s="20">
        <f>IF($I214="Vencida","PAGAR JÁ (multa e juros)",IF($I214="Vence hoje","Pagar hoje",IF($I214="Vence em breve","Programar pagamento","")))</f>
        <v>0</v>
      </c>
    </row>
    <row r="215" spans="1:12">
      <c r="A215" s="13"/>
      <c r="B215" s="13"/>
      <c r="C215" s="13"/>
      <c r="D215" s="17"/>
      <c r="E215" s="18"/>
      <c r="F215" s="17"/>
      <c r="G215" s="18"/>
      <c r="H215" s="13"/>
      <c r="I215" s="19">
        <f>IF($E215="","",IF($K215&lt;=0.005,"Pago",IF($D215="","Sem vencimento",IF($D215&lt;Hoje,"Vencida",IF($D215=Hoje,"Vence hoje",IF($D215-Hoje&lt;=DiasAlerta,"Vence em breve","A vencer"))))))</f>
        <v>0</v>
      </c>
      <c r="J215" s="20">
        <f>IF(OR($E215="",$D215=""),"",IF($K215&lt;=0.005,"",$D215-Hoje))</f>
        <v>0</v>
      </c>
      <c r="K215" s="21">
        <f>IF($E215="","",MAX(0,$E215-N($G215)))</f>
        <v>0</v>
      </c>
      <c r="L215" s="20">
        <f>IF($I215="Vencida","PAGAR JÁ (multa e juros)",IF($I215="Vence hoje","Pagar hoje",IF($I215="Vence em breve","Programar pagamento","")))</f>
        <v>0</v>
      </c>
    </row>
    <row r="216" spans="1:12">
      <c r="A216" s="13"/>
      <c r="B216" s="13"/>
      <c r="C216" s="13"/>
      <c r="D216" s="17"/>
      <c r="E216" s="18"/>
      <c r="F216" s="17"/>
      <c r="G216" s="18"/>
      <c r="H216" s="13"/>
      <c r="I216" s="19">
        <f>IF($E216="","",IF($K216&lt;=0.005,"Pago",IF($D216="","Sem vencimento",IF($D216&lt;Hoje,"Vencida",IF($D216=Hoje,"Vence hoje",IF($D216-Hoje&lt;=DiasAlerta,"Vence em breve","A vencer"))))))</f>
        <v>0</v>
      </c>
      <c r="J216" s="20">
        <f>IF(OR($E216="",$D216=""),"",IF($K216&lt;=0.005,"",$D216-Hoje))</f>
        <v>0</v>
      </c>
      <c r="K216" s="21">
        <f>IF($E216="","",MAX(0,$E216-N($G216)))</f>
        <v>0</v>
      </c>
      <c r="L216" s="20">
        <f>IF($I216="Vencida","PAGAR JÁ (multa e juros)",IF($I216="Vence hoje","Pagar hoje",IF($I216="Vence em breve","Programar pagamento","")))</f>
        <v>0</v>
      </c>
    </row>
    <row r="217" spans="1:12">
      <c r="A217" s="13"/>
      <c r="B217" s="13"/>
      <c r="C217" s="13"/>
      <c r="D217" s="17"/>
      <c r="E217" s="18"/>
      <c r="F217" s="17"/>
      <c r="G217" s="18"/>
      <c r="H217" s="13"/>
      <c r="I217" s="19">
        <f>IF($E217="","",IF($K217&lt;=0.005,"Pago",IF($D217="","Sem vencimento",IF($D217&lt;Hoje,"Vencida",IF($D217=Hoje,"Vence hoje",IF($D217-Hoje&lt;=DiasAlerta,"Vence em breve","A vencer"))))))</f>
        <v>0</v>
      </c>
      <c r="J217" s="20">
        <f>IF(OR($E217="",$D217=""),"",IF($K217&lt;=0.005,"",$D217-Hoje))</f>
        <v>0</v>
      </c>
      <c r="K217" s="21">
        <f>IF($E217="","",MAX(0,$E217-N($G217)))</f>
        <v>0</v>
      </c>
      <c r="L217" s="20">
        <f>IF($I217="Vencida","PAGAR JÁ (multa e juros)",IF($I217="Vence hoje","Pagar hoje",IF($I217="Vence em breve","Programar pagamento","")))</f>
        <v>0</v>
      </c>
    </row>
    <row r="218" spans="1:12">
      <c r="A218" s="13"/>
      <c r="B218" s="13"/>
      <c r="C218" s="13"/>
      <c r="D218" s="17"/>
      <c r="E218" s="18"/>
      <c r="F218" s="17"/>
      <c r="G218" s="18"/>
      <c r="H218" s="13"/>
      <c r="I218" s="19">
        <f>IF($E218="","",IF($K218&lt;=0.005,"Pago",IF($D218="","Sem vencimento",IF($D218&lt;Hoje,"Vencida",IF($D218=Hoje,"Vence hoje",IF($D218-Hoje&lt;=DiasAlerta,"Vence em breve","A vencer"))))))</f>
        <v>0</v>
      </c>
      <c r="J218" s="20">
        <f>IF(OR($E218="",$D218=""),"",IF($K218&lt;=0.005,"",$D218-Hoje))</f>
        <v>0</v>
      </c>
      <c r="K218" s="21">
        <f>IF($E218="","",MAX(0,$E218-N($G218)))</f>
        <v>0</v>
      </c>
      <c r="L218" s="20">
        <f>IF($I218="Vencida","PAGAR JÁ (multa e juros)",IF($I218="Vence hoje","Pagar hoje",IF($I218="Vence em breve","Programar pagamento","")))</f>
        <v>0</v>
      </c>
    </row>
    <row r="219" spans="1:12">
      <c r="A219" s="13"/>
      <c r="B219" s="13"/>
      <c r="C219" s="13"/>
      <c r="D219" s="17"/>
      <c r="E219" s="18"/>
      <c r="F219" s="17"/>
      <c r="G219" s="18"/>
      <c r="H219" s="13"/>
      <c r="I219" s="19">
        <f>IF($E219="","",IF($K219&lt;=0.005,"Pago",IF($D219="","Sem vencimento",IF($D219&lt;Hoje,"Vencida",IF($D219=Hoje,"Vence hoje",IF($D219-Hoje&lt;=DiasAlerta,"Vence em breve","A vencer"))))))</f>
        <v>0</v>
      </c>
      <c r="J219" s="20">
        <f>IF(OR($E219="",$D219=""),"",IF($K219&lt;=0.005,"",$D219-Hoje))</f>
        <v>0</v>
      </c>
      <c r="K219" s="21">
        <f>IF($E219="","",MAX(0,$E219-N($G219)))</f>
        <v>0</v>
      </c>
      <c r="L219" s="20">
        <f>IF($I219="Vencida","PAGAR JÁ (multa e juros)",IF($I219="Vence hoje","Pagar hoje",IF($I219="Vence em breve","Programar pagamento","")))</f>
        <v>0</v>
      </c>
    </row>
    <row r="220" spans="1:12">
      <c r="A220" s="13"/>
      <c r="B220" s="13"/>
      <c r="C220" s="13"/>
      <c r="D220" s="17"/>
      <c r="E220" s="18"/>
      <c r="F220" s="17"/>
      <c r="G220" s="18"/>
      <c r="H220" s="13"/>
      <c r="I220" s="19">
        <f>IF($E220="","",IF($K220&lt;=0.005,"Pago",IF($D220="","Sem vencimento",IF($D220&lt;Hoje,"Vencida",IF($D220=Hoje,"Vence hoje",IF($D220-Hoje&lt;=DiasAlerta,"Vence em breve","A vencer"))))))</f>
        <v>0</v>
      </c>
      <c r="J220" s="20">
        <f>IF(OR($E220="",$D220=""),"",IF($K220&lt;=0.005,"",$D220-Hoje))</f>
        <v>0</v>
      </c>
      <c r="K220" s="21">
        <f>IF($E220="","",MAX(0,$E220-N($G220)))</f>
        <v>0</v>
      </c>
      <c r="L220" s="20">
        <f>IF($I220="Vencida","PAGAR JÁ (multa e juros)",IF($I220="Vence hoje","Pagar hoje",IF($I220="Vence em breve","Programar pagamento","")))</f>
        <v>0</v>
      </c>
    </row>
    <row r="221" spans="1:12">
      <c r="A221" s="13"/>
      <c r="B221" s="13"/>
      <c r="C221" s="13"/>
      <c r="D221" s="17"/>
      <c r="E221" s="18"/>
      <c r="F221" s="17"/>
      <c r="G221" s="18"/>
      <c r="H221" s="13"/>
      <c r="I221" s="19">
        <f>IF($E221="","",IF($K221&lt;=0.005,"Pago",IF($D221="","Sem vencimento",IF($D221&lt;Hoje,"Vencida",IF($D221=Hoje,"Vence hoje",IF($D221-Hoje&lt;=DiasAlerta,"Vence em breve","A vencer"))))))</f>
        <v>0</v>
      </c>
      <c r="J221" s="20">
        <f>IF(OR($E221="",$D221=""),"",IF($K221&lt;=0.005,"",$D221-Hoje))</f>
        <v>0</v>
      </c>
      <c r="K221" s="21">
        <f>IF($E221="","",MAX(0,$E221-N($G221)))</f>
        <v>0</v>
      </c>
      <c r="L221" s="20">
        <f>IF($I221="Vencida","PAGAR JÁ (multa e juros)",IF($I221="Vence hoje","Pagar hoje",IF($I221="Vence em breve","Programar pagamento","")))</f>
        <v>0</v>
      </c>
    </row>
    <row r="222" spans="1:12">
      <c r="A222" s="13"/>
      <c r="B222" s="13"/>
      <c r="C222" s="13"/>
      <c r="D222" s="17"/>
      <c r="E222" s="18"/>
      <c r="F222" s="17"/>
      <c r="G222" s="18"/>
      <c r="H222" s="13"/>
      <c r="I222" s="19">
        <f>IF($E222="","",IF($K222&lt;=0.005,"Pago",IF($D222="","Sem vencimento",IF($D222&lt;Hoje,"Vencida",IF($D222=Hoje,"Vence hoje",IF($D222-Hoje&lt;=DiasAlerta,"Vence em breve","A vencer"))))))</f>
        <v>0</v>
      </c>
      <c r="J222" s="20">
        <f>IF(OR($E222="",$D222=""),"",IF($K222&lt;=0.005,"",$D222-Hoje))</f>
        <v>0</v>
      </c>
      <c r="K222" s="21">
        <f>IF($E222="","",MAX(0,$E222-N($G222)))</f>
        <v>0</v>
      </c>
      <c r="L222" s="20">
        <f>IF($I222="Vencida","PAGAR JÁ (multa e juros)",IF($I222="Vence hoje","Pagar hoje",IF($I222="Vence em breve","Programar pagamento","")))</f>
        <v>0</v>
      </c>
    </row>
    <row r="223" spans="1:12">
      <c r="A223" s="13"/>
      <c r="B223" s="13"/>
      <c r="C223" s="13"/>
      <c r="D223" s="17"/>
      <c r="E223" s="18"/>
      <c r="F223" s="17"/>
      <c r="G223" s="18"/>
      <c r="H223" s="13"/>
      <c r="I223" s="19">
        <f>IF($E223="","",IF($K223&lt;=0.005,"Pago",IF($D223="","Sem vencimento",IF($D223&lt;Hoje,"Vencida",IF($D223=Hoje,"Vence hoje",IF($D223-Hoje&lt;=DiasAlerta,"Vence em breve","A vencer"))))))</f>
        <v>0</v>
      </c>
      <c r="J223" s="20">
        <f>IF(OR($E223="",$D223=""),"",IF($K223&lt;=0.005,"",$D223-Hoje))</f>
        <v>0</v>
      </c>
      <c r="K223" s="21">
        <f>IF($E223="","",MAX(0,$E223-N($G223)))</f>
        <v>0</v>
      </c>
      <c r="L223" s="20">
        <f>IF($I223="Vencida","PAGAR JÁ (multa e juros)",IF($I223="Vence hoje","Pagar hoje",IF($I223="Vence em breve","Programar pagamento","")))</f>
        <v>0</v>
      </c>
    </row>
    <row r="224" spans="1:12">
      <c r="A224" s="13"/>
      <c r="B224" s="13"/>
      <c r="C224" s="13"/>
      <c r="D224" s="17"/>
      <c r="E224" s="18"/>
      <c r="F224" s="17"/>
      <c r="G224" s="18"/>
      <c r="H224" s="13"/>
      <c r="I224" s="19">
        <f>IF($E224="","",IF($K224&lt;=0.005,"Pago",IF($D224="","Sem vencimento",IF($D224&lt;Hoje,"Vencida",IF($D224=Hoje,"Vence hoje",IF($D224-Hoje&lt;=DiasAlerta,"Vence em breve","A vencer"))))))</f>
        <v>0</v>
      </c>
      <c r="J224" s="20">
        <f>IF(OR($E224="",$D224=""),"",IF($K224&lt;=0.005,"",$D224-Hoje))</f>
        <v>0</v>
      </c>
      <c r="K224" s="21">
        <f>IF($E224="","",MAX(0,$E224-N($G224)))</f>
        <v>0</v>
      </c>
      <c r="L224" s="20">
        <f>IF($I224="Vencida","PAGAR JÁ (multa e juros)",IF($I224="Vence hoje","Pagar hoje",IF($I224="Vence em breve","Programar pagamento","")))</f>
        <v>0</v>
      </c>
    </row>
    <row r="225" spans="1:12">
      <c r="A225" s="13"/>
      <c r="B225" s="13"/>
      <c r="C225" s="13"/>
      <c r="D225" s="17"/>
      <c r="E225" s="18"/>
      <c r="F225" s="17"/>
      <c r="G225" s="18"/>
      <c r="H225" s="13"/>
      <c r="I225" s="19">
        <f>IF($E225="","",IF($K225&lt;=0.005,"Pago",IF($D225="","Sem vencimento",IF($D225&lt;Hoje,"Vencida",IF($D225=Hoje,"Vence hoje",IF($D225-Hoje&lt;=DiasAlerta,"Vence em breve","A vencer"))))))</f>
        <v>0</v>
      </c>
      <c r="J225" s="20">
        <f>IF(OR($E225="",$D225=""),"",IF($K225&lt;=0.005,"",$D225-Hoje))</f>
        <v>0</v>
      </c>
      <c r="K225" s="21">
        <f>IF($E225="","",MAX(0,$E225-N($G225)))</f>
        <v>0</v>
      </c>
      <c r="L225" s="20">
        <f>IF($I225="Vencida","PAGAR JÁ (multa e juros)",IF($I225="Vence hoje","Pagar hoje",IF($I225="Vence em breve","Programar pagamento","")))</f>
        <v>0</v>
      </c>
    </row>
    <row r="226" spans="1:12">
      <c r="A226" s="13"/>
      <c r="B226" s="13"/>
      <c r="C226" s="13"/>
      <c r="D226" s="17"/>
      <c r="E226" s="18"/>
      <c r="F226" s="17"/>
      <c r="G226" s="18"/>
      <c r="H226" s="13"/>
      <c r="I226" s="19">
        <f>IF($E226="","",IF($K226&lt;=0.005,"Pago",IF($D226="","Sem vencimento",IF($D226&lt;Hoje,"Vencida",IF($D226=Hoje,"Vence hoje",IF($D226-Hoje&lt;=DiasAlerta,"Vence em breve","A vencer"))))))</f>
        <v>0</v>
      </c>
      <c r="J226" s="20">
        <f>IF(OR($E226="",$D226=""),"",IF($K226&lt;=0.005,"",$D226-Hoje))</f>
        <v>0</v>
      </c>
      <c r="K226" s="21">
        <f>IF($E226="","",MAX(0,$E226-N($G226)))</f>
        <v>0</v>
      </c>
      <c r="L226" s="20">
        <f>IF($I226="Vencida","PAGAR JÁ (multa e juros)",IF($I226="Vence hoje","Pagar hoje",IF($I226="Vence em breve","Programar pagamento","")))</f>
        <v>0</v>
      </c>
    </row>
    <row r="227" spans="1:12">
      <c r="A227" s="13"/>
      <c r="B227" s="13"/>
      <c r="C227" s="13"/>
      <c r="D227" s="17"/>
      <c r="E227" s="18"/>
      <c r="F227" s="17"/>
      <c r="G227" s="18"/>
      <c r="H227" s="13"/>
      <c r="I227" s="19">
        <f>IF($E227="","",IF($K227&lt;=0.005,"Pago",IF($D227="","Sem vencimento",IF($D227&lt;Hoje,"Vencida",IF($D227=Hoje,"Vence hoje",IF($D227-Hoje&lt;=DiasAlerta,"Vence em breve","A vencer"))))))</f>
        <v>0</v>
      </c>
      <c r="J227" s="20">
        <f>IF(OR($E227="",$D227=""),"",IF($K227&lt;=0.005,"",$D227-Hoje))</f>
        <v>0</v>
      </c>
      <c r="K227" s="21">
        <f>IF($E227="","",MAX(0,$E227-N($G227)))</f>
        <v>0</v>
      </c>
      <c r="L227" s="20">
        <f>IF($I227="Vencida","PAGAR JÁ (multa e juros)",IF($I227="Vence hoje","Pagar hoje",IF($I227="Vence em breve","Programar pagamento","")))</f>
        <v>0</v>
      </c>
    </row>
    <row r="228" spans="1:12">
      <c r="A228" s="13"/>
      <c r="B228" s="13"/>
      <c r="C228" s="13"/>
      <c r="D228" s="17"/>
      <c r="E228" s="18"/>
      <c r="F228" s="17"/>
      <c r="G228" s="18"/>
      <c r="H228" s="13"/>
      <c r="I228" s="19">
        <f>IF($E228="","",IF($K228&lt;=0.005,"Pago",IF($D228="","Sem vencimento",IF($D228&lt;Hoje,"Vencida",IF($D228=Hoje,"Vence hoje",IF($D228-Hoje&lt;=DiasAlerta,"Vence em breve","A vencer"))))))</f>
        <v>0</v>
      </c>
      <c r="J228" s="20">
        <f>IF(OR($E228="",$D228=""),"",IF($K228&lt;=0.005,"",$D228-Hoje))</f>
        <v>0</v>
      </c>
      <c r="K228" s="21">
        <f>IF($E228="","",MAX(0,$E228-N($G228)))</f>
        <v>0</v>
      </c>
      <c r="L228" s="20">
        <f>IF($I228="Vencida","PAGAR JÁ (multa e juros)",IF($I228="Vence hoje","Pagar hoje",IF($I228="Vence em breve","Programar pagamento","")))</f>
        <v>0</v>
      </c>
    </row>
    <row r="229" spans="1:12">
      <c r="A229" s="13"/>
      <c r="B229" s="13"/>
      <c r="C229" s="13"/>
      <c r="D229" s="17"/>
      <c r="E229" s="18"/>
      <c r="F229" s="17"/>
      <c r="G229" s="18"/>
      <c r="H229" s="13"/>
      <c r="I229" s="19">
        <f>IF($E229="","",IF($K229&lt;=0.005,"Pago",IF($D229="","Sem vencimento",IF($D229&lt;Hoje,"Vencida",IF($D229=Hoje,"Vence hoje",IF($D229-Hoje&lt;=DiasAlerta,"Vence em breve","A vencer"))))))</f>
        <v>0</v>
      </c>
      <c r="J229" s="20">
        <f>IF(OR($E229="",$D229=""),"",IF($K229&lt;=0.005,"",$D229-Hoje))</f>
        <v>0</v>
      </c>
      <c r="K229" s="21">
        <f>IF($E229="","",MAX(0,$E229-N($G229)))</f>
        <v>0</v>
      </c>
      <c r="L229" s="20">
        <f>IF($I229="Vencida","PAGAR JÁ (multa e juros)",IF($I229="Vence hoje","Pagar hoje",IF($I229="Vence em breve","Programar pagamento","")))</f>
        <v>0</v>
      </c>
    </row>
    <row r="230" spans="1:12">
      <c r="A230" s="13"/>
      <c r="B230" s="13"/>
      <c r="C230" s="13"/>
      <c r="D230" s="17"/>
      <c r="E230" s="18"/>
      <c r="F230" s="17"/>
      <c r="G230" s="18"/>
      <c r="H230" s="13"/>
      <c r="I230" s="19">
        <f>IF($E230="","",IF($K230&lt;=0.005,"Pago",IF($D230="","Sem vencimento",IF($D230&lt;Hoje,"Vencida",IF($D230=Hoje,"Vence hoje",IF($D230-Hoje&lt;=DiasAlerta,"Vence em breve","A vencer"))))))</f>
        <v>0</v>
      </c>
      <c r="J230" s="20">
        <f>IF(OR($E230="",$D230=""),"",IF($K230&lt;=0.005,"",$D230-Hoje))</f>
        <v>0</v>
      </c>
      <c r="K230" s="21">
        <f>IF($E230="","",MAX(0,$E230-N($G230)))</f>
        <v>0</v>
      </c>
      <c r="L230" s="20">
        <f>IF($I230="Vencida","PAGAR JÁ (multa e juros)",IF($I230="Vence hoje","Pagar hoje",IF($I230="Vence em breve","Programar pagamento","")))</f>
        <v>0</v>
      </c>
    </row>
    <row r="231" spans="1:12">
      <c r="A231" s="13"/>
      <c r="B231" s="13"/>
      <c r="C231" s="13"/>
      <c r="D231" s="17"/>
      <c r="E231" s="18"/>
      <c r="F231" s="17"/>
      <c r="G231" s="18"/>
      <c r="H231" s="13"/>
      <c r="I231" s="19">
        <f>IF($E231="","",IF($K231&lt;=0.005,"Pago",IF($D231="","Sem vencimento",IF($D231&lt;Hoje,"Vencida",IF($D231=Hoje,"Vence hoje",IF($D231-Hoje&lt;=DiasAlerta,"Vence em breve","A vencer"))))))</f>
        <v>0</v>
      </c>
      <c r="J231" s="20">
        <f>IF(OR($E231="",$D231=""),"",IF($K231&lt;=0.005,"",$D231-Hoje))</f>
        <v>0</v>
      </c>
      <c r="K231" s="21">
        <f>IF($E231="","",MAX(0,$E231-N($G231)))</f>
        <v>0</v>
      </c>
      <c r="L231" s="20">
        <f>IF($I231="Vencida","PAGAR JÁ (multa e juros)",IF($I231="Vence hoje","Pagar hoje",IF($I231="Vence em breve","Programar pagamento","")))</f>
        <v>0</v>
      </c>
    </row>
    <row r="232" spans="1:12">
      <c r="A232" s="13"/>
      <c r="B232" s="13"/>
      <c r="C232" s="13"/>
      <c r="D232" s="17"/>
      <c r="E232" s="18"/>
      <c r="F232" s="17"/>
      <c r="G232" s="18"/>
      <c r="H232" s="13"/>
      <c r="I232" s="19">
        <f>IF($E232="","",IF($K232&lt;=0.005,"Pago",IF($D232="","Sem vencimento",IF($D232&lt;Hoje,"Vencida",IF($D232=Hoje,"Vence hoje",IF($D232-Hoje&lt;=DiasAlerta,"Vence em breve","A vencer"))))))</f>
        <v>0</v>
      </c>
      <c r="J232" s="20">
        <f>IF(OR($E232="",$D232=""),"",IF($K232&lt;=0.005,"",$D232-Hoje))</f>
        <v>0</v>
      </c>
      <c r="K232" s="21">
        <f>IF($E232="","",MAX(0,$E232-N($G232)))</f>
        <v>0</v>
      </c>
      <c r="L232" s="20">
        <f>IF($I232="Vencida","PAGAR JÁ (multa e juros)",IF($I232="Vence hoje","Pagar hoje",IF($I232="Vence em breve","Programar pagamento","")))</f>
        <v>0</v>
      </c>
    </row>
    <row r="233" spans="1:12">
      <c r="A233" s="13"/>
      <c r="B233" s="13"/>
      <c r="C233" s="13"/>
      <c r="D233" s="17"/>
      <c r="E233" s="18"/>
      <c r="F233" s="17"/>
      <c r="G233" s="18"/>
      <c r="H233" s="13"/>
      <c r="I233" s="19">
        <f>IF($E233="","",IF($K233&lt;=0.005,"Pago",IF($D233="","Sem vencimento",IF($D233&lt;Hoje,"Vencida",IF($D233=Hoje,"Vence hoje",IF($D233-Hoje&lt;=DiasAlerta,"Vence em breve","A vencer"))))))</f>
        <v>0</v>
      </c>
      <c r="J233" s="20">
        <f>IF(OR($E233="",$D233=""),"",IF($K233&lt;=0.005,"",$D233-Hoje))</f>
        <v>0</v>
      </c>
      <c r="K233" s="21">
        <f>IF($E233="","",MAX(0,$E233-N($G233)))</f>
        <v>0</v>
      </c>
      <c r="L233" s="20">
        <f>IF($I233="Vencida","PAGAR JÁ (multa e juros)",IF($I233="Vence hoje","Pagar hoje",IF($I233="Vence em breve","Programar pagamento","")))</f>
        <v>0</v>
      </c>
    </row>
    <row r="234" spans="1:12">
      <c r="A234" s="13"/>
      <c r="B234" s="13"/>
      <c r="C234" s="13"/>
      <c r="D234" s="17"/>
      <c r="E234" s="18"/>
      <c r="F234" s="17"/>
      <c r="G234" s="18"/>
      <c r="H234" s="13"/>
      <c r="I234" s="19">
        <f>IF($E234="","",IF($K234&lt;=0.005,"Pago",IF($D234="","Sem vencimento",IF($D234&lt;Hoje,"Vencida",IF($D234=Hoje,"Vence hoje",IF($D234-Hoje&lt;=DiasAlerta,"Vence em breve","A vencer"))))))</f>
        <v>0</v>
      </c>
      <c r="J234" s="20">
        <f>IF(OR($E234="",$D234=""),"",IF($K234&lt;=0.005,"",$D234-Hoje))</f>
        <v>0</v>
      </c>
      <c r="K234" s="21">
        <f>IF($E234="","",MAX(0,$E234-N($G234)))</f>
        <v>0</v>
      </c>
      <c r="L234" s="20">
        <f>IF($I234="Vencida","PAGAR JÁ (multa e juros)",IF($I234="Vence hoje","Pagar hoje",IF($I234="Vence em breve","Programar pagamento","")))</f>
        <v>0</v>
      </c>
    </row>
    <row r="235" spans="1:12">
      <c r="A235" s="13"/>
      <c r="B235" s="13"/>
      <c r="C235" s="13"/>
      <c r="D235" s="17"/>
      <c r="E235" s="18"/>
      <c r="F235" s="17"/>
      <c r="G235" s="18"/>
      <c r="H235" s="13"/>
      <c r="I235" s="19">
        <f>IF($E235="","",IF($K235&lt;=0.005,"Pago",IF($D235="","Sem vencimento",IF($D235&lt;Hoje,"Vencida",IF($D235=Hoje,"Vence hoje",IF($D235-Hoje&lt;=DiasAlerta,"Vence em breve","A vencer"))))))</f>
        <v>0</v>
      </c>
      <c r="J235" s="20">
        <f>IF(OR($E235="",$D235=""),"",IF($K235&lt;=0.005,"",$D235-Hoje))</f>
        <v>0</v>
      </c>
      <c r="K235" s="21">
        <f>IF($E235="","",MAX(0,$E235-N($G235)))</f>
        <v>0</v>
      </c>
      <c r="L235" s="20">
        <f>IF($I235="Vencida","PAGAR JÁ (multa e juros)",IF($I235="Vence hoje","Pagar hoje",IF($I235="Vence em breve","Programar pagamento","")))</f>
        <v>0</v>
      </c>
    </row>
    <row r="236" spans="1:12">
      <c r="A236" s="13"/>
      <c r="B236" s="13"/>
      <c r="C236" s="13"/>
      <c r="D236" s="17"/>
      <c r="E236" s="18"/>
      <c r="F236" s="17"/>
      <c r="G236" s="18"/>
      <c r="H236" s="13"/>
      <c r="I236" s="19">
        <f>IF($E236="","",IF($K236&lt;=0.005,"Pago",IF($D236="","Sem vencimento",IF($D236&lt;Hoje,"Vencida",IF($D236=Hoje,"Vence hoje",IF($D236-Hoje&lt;=DiasAlerta,"Vence em breve","A vencer"))))))</f>
        <v>0</v>
      </c>
      <c r="J236" s="20">
        <f>IF(OR($E236="",$D236=""),"",IF($K236&lt;=0.005,"",$D236-Hoje))</f>
        <v>0</v>
      </c>
      <c r="K236" s="21">
        <f>IF($E236="","",MAX(0,$E236-N($G236)))</f>
        <v>0</v>
      </c>
      <c r="L236" s="20">
        <f>IF($I236="Vencida","PAGAR JÁ (multa e juros)",IF($I236="Vence hoje","Pagar hoje",IF($I236="Vence em breve","Programar pagamento","")))</f>
        <v>0</v>
      </c>
    </row>
    <row r="237" spans="1:12">
      <c r="A237" s="13"/>
      <c r="B237" s="13"/>
      <c r="C237" s="13"/>
      <c r="D237" s="17"/>
      <c r="E237" s="18"/>
      <c r="F237" s="17"/>
      <c r="G237" s="18"/>
      <c r="H237" s="13"/>
      <c r="I237" s="19">
        <f>IF($E237="","",IF($K237&lt;=0.005,"Pago",IF($D237="","Sem vencimento",IF($D237&lt;Hoje,"Vencida",IF($D237=Hoje,"Vence hoje",IF($D237-Hoje&lt;=DiasAlerta,"Vence em breve","A vencer"))))))</f>
        <v>0</v>
      </c>
      <c r="J237" s="20">
        <f>IF(OR($E237="",$D237=""),"",IF($K237&lt;=0.005,"",$D237-Hoje))</f>
        <v>0</v>
      </c>
      <c r="K237" s="21">
        <f>IF($E237="","",MAX(0,$E237-N($G237)))</f>
        <v>0</v>
      </c>
      <c r="L237" s="20">
        <f>IF($I237="Vencida","PAGAR JÁ (multa e juros)",IF($I237="Vence hoje","Pagar hoje",IF($I237="Vence em breve","Programar pagamento","")))</f>
        <v>0</v>
      </c>
    </row>
    <row r="238" spans="1:12">
      <c r="A238" s="13"/>
      <c r="B238" s="13"/>
      <c r="C238" s="13"/>
      <c r="D238" s="17"/>
      <c r="E238" s="18"/>
      <c r="F238" s="17"/>
      <c r="G238" s="18"/>
      <c r="H238" s="13"/>
      <c r="I238" s="19">
        <f>IF($E238="","",IF($K238&lt;=0.005,"Pago",IF($D238="","Sem vencimento",IF($D238&lt;Hoje,"Vencida",IF($D238=Hoje,"Vence hoje",IF($D238-Hoje&lt;=DiasAlerta,"Vence em breve","A vencer"))))))</f>
        <v>0</v>
      </c>
      <c r="J238" s="20">
        <f>IF(OR($E238="",$D238=""),"",IF($K238&lt;=0.005,"",$D238-Hoje))</f>
        <v>0</v>
      </c>
      <c r="K238" s="21">
        <f>IF($E238="","",MAX(0,$E238-N($G238)))</f>
        <v>0</v>
      </c>
      <c r="L238" s="20">
        <f>IF($I238="Vencida","PAGAR JÁ (multa e juros)",IF($I238="Vence hoje","Pagar hoje",IF($I238="Vence em breve","Programar pagamento","")))</f>
        <v>0</v>
      </c>
    </row>
    <row r="239" spans="1:12">
      <c r="A239" s="13"/>
      <c r="B239" s="13"/>
      <c r="C239" s="13"/>
      <c r="D239" s="17"/>
      <c r="E239" s="18"/>
      <c r="F239" s="17"/>
      <c r="G239" s="18"/>
      <c r="H239" s="13"/>
      <c r="I239" s="19">
        <f>IF($E239="","",IF($K239&lt;=0.005,"Pago",IF($D239="","Sem vencimento",IF($D239&lt;Hoje,"Vencida",IF($D239=Hoje,"Vence hoje",IF($D239-Hoje&lt;=DiasAlerta,"Vence em breve","A vencer"))))))</f>
        <v>0</v>
      </c>
      <c r="J239" s="20">
        <f>IF(OR($E239="",$D239=""),"",IF($K239&lt;=0.005,"",$D239-Hoje))</f>
        <v>0</v>
      </c>
      <c r="K239" s="21">
        <f>IF($E239="","",MAX(0,$E239-N($G239)))</f>
        <v>0</v>
      </c>
      <c r="L239" s="20">
        <f>IF($I239="Vencida","PAGAR JÁ (multa e juros)",IF($I239="Vence hoje","Pagar hoje",IF($I239="Vence em breve","Programar pagamento","")))</f>
        <v>0</v>
      </c>
    </row>
    <row r="240" spans="1:12">
      <c r="A240" s="13"/>
      <c r="B240" s="13"/>
      <c r="C240" s="13"/>
      <c r="D240" s="17"/>
      <c r="E240" s="18"/>
      <c r="F240" s="17"/>
      <c r="G240" s="18"/>
      <c r="H240" s="13"/>
      <c r="I240" s="19">
        <f>IF($E240="","",IF($K240&lt;=0.005,"Pago",IF($D240="","Sem vencimento",IF($D240&lt;Hoje,"Vencida",IF($D240=Hoje,"Vence hoje",IF($D240-Hoje&lt;=DiasAlerta,"Vence em breve","A vencer"))))))</f>
        <v>0</v>
      </c>
      <c r="J240" s="20">
        <f>IF(OR($E240="",$D240=""),"",IF($K240&lt;=0.005,"",$D240-Hoje))</f>
        <v>0</v>
      </c>
      <c r="K240" s="21">
        <f>IF($E240="","",MAX(0,$E240-N($G240)))</f>
        <v>0</v>
      </c>
      <c r="L240" s="20">
        <f>IF($I240="Vencida","PAGAR JÁ (multa e juros)",IF($I240="Vence hoje","Pagar hoje",IF($I240="Vence em breve","Programar pagamento","")))</f>
        <v>0</v>
      </c>
    </row>
    <row r="241" spans="1:12">
      <c r="A241" s="13"/>
      <c r="B241" s="13"/>
      <c r="C241" s="13"/>
      <c r="D241" s="17"/>
      <c r="E241" s="18"/>
      <c r="F241" s="17"/>
      <c r="G241" s="18"/>
      <c r="H241" s="13"/>
      <c r="I241" s="19">
        <f>IF($E241="","",IF($K241&lt;=0.005,"Pago",IF($D241="","Sem vencimento",IF($D241&lt;Hoje,"Vencida",IF($D241=Hoje,"Vence hoje",IF($D241-Hoje&lt;=DiasAlerta,"Vence em breve","A vencer"))))))</f>
        <v>0</v>
      </c>
      <c r="J241" s="20">
        <f>IF(OR($E241="",$D241=""),"",IF($K241&lt;=0.005,"",$D241-Hoje))</f>
        <v>0</v>
      </c>
      <c r="K241" s="21">
        <f>IF($E241="","",MAX(0,$E241-N($G241)))</f>
        <v>0</v>
      </c>
      <c r="L241" s="20">
        <f>IF($I241="Vencida","PAGAR JÁ (multa e juros)",IF($I241="Vence hoje","Pagar hoje",IF($I241="Vence em breve","Programar pagamento","")))</f>
        <v>0</v>
      </c>
    </row>
    <row r="242" spans="1:12">
      <c r="A242" s="13"/>
      <c r="B242" s="13"/>
      <c r="C242" s="13"/>
      <c r="D242" s="17"/>
      <c r="E242" s="18"/>
      <c r="F242" s="17"/>
      <c r="G242" s="18"/>
      <c r="H242" s="13"/>
      <c r="I242" s="19">
        <f>IF($E242="","",IF($K242&lt;=0.005,"Pago",IF($D242="","Sem vencimento",IF($D242&lt;Hoje,"Vencida",IF($D242=Hoje,"Vence hoje",IF($D242-Hoje&lt;=DiasAlerta,"Vence em breve","A vencer"))))))</f>
        <v>0</v>
      </c>
      <c r="J242" s="20">
        <f>IF(OR($E242="",$D242=""),"",IF($K242&lt;=0.005,"",$D242-Hoje))</f>
        <v>0</v>
      </c>
      <c r="K242" s="21">
        <f>IF($E242="","",MAX(0,$E242-N($G242)))</f>
        <v>0</v>
      </c>
      <c r="L242" s="20">
        <f>IF($I242="Vencida","PAGAR JÁ (multa e juros)",IF($I242="Vence hoje","Pagar hoje",IF($I242="Vence em breve","Programar pagamento","")))</f>
        <v>0</v>
      </c>
    </row>
    <row r="243" spans="1:12">
      <c r="A243" s="13"/>
      <c r="B243" s="13"/>
      <c r="C243" s="13"/>
      <c r="D243" s="17"/>
      <c r="E243" s="18"/>
      <c r="F243" s="17"/>
      <c r="G243" s="18"/>
      <c r="H243" s="13"/>
      <c r="I243" s="19">
        <f>IF($E243="","",IF($K243&lt;=0.005,"Pago",IF($D243="","Sem vencimento",IF($D243&lt;Hoje,"Vencida",IF($D243=Hoje,"Vence hoje",IF($D243-Hoje&lt;=DiasAlerta,"Vence em breve","A vencer"))))))</f>
        <v>0</v>
      </c>
      <c r="J243" s="20">
        <f>IF(OR($E243="",$D243=""),"",IF($K243&lt;=0.005,"",$D243-Hoje))</f>
        <v>0</v>
      </c>
      <c r="K243" s="21">
        <f>IF($E243="","",MAX(0,$E243-N($G243)))</f>
        <v>0</v>
      </c>
      <c r="L243" s="20">
        <f>IF($I243="Vencida","PAGAR JÁ (multa e juros)",IF($I243="Vence hoje","Pagar hoje",IF($I243="Vence em breve","Programar pagamento","")))</f>
        <v>0</v>
      </c>
    </row>
    <row r="244" spans="1:12">
      <c r="A244" s="13"/>
      <c r="B244" s="13"/>
      <c r="C244" s="13"/>
      <c r="D244" s="17"/>
      <c r="E244" s="18"/>
      <c r="F244" s="17"/>
      <c r="G244" s="18"/>
      <c r="H244" s="13"/>
      <c r="I244" s="19">
        <f>IF($E244="","",IF($K244&lt;=0.005,"Pago",IF($D244="","Sem vencimento",IF($D244&lt;Hoje,"Vencida",IF($D244=Hoje,"Vence hoje",IF($D244-Hoje&lt;=DiasAlerta,"Vence em breve","A vencer"))))))</f>
        <v>0</v>
      </c>
      <c r="J244" s="20">
        <f>IF(OR($E244="",$D244=""),"",IF($K244&lt;=0.005,"",$D244-Hoje))</f>
        <v>0</v>
      </c>
      <c r="K244" s="21">
        <f>IF($E244="","",MAX(0,$E244-N($G244)))</f>
        <v>0</v>
      </c>
      <c r="L244" s="20">
        <f>IF($I244="Vencida","PAGAR JÁ (multa e juros)",IF($I244="Vence hoje","Pagar hoje",IF($I244="Vence em breve","Programar pagamento","")))</f>
        <v>0</v>
      </c>
    </row>
    <row r="245" spans="1:12">
      <c r="A245" s="13"/>
      <c r="B245" s="13"/>
      <c r="C245" s="13"/>
      <c r="D245" s="17"/>
      <c r="E245" s="18"/>
      <c r="F245" s="17"/>
      <c r="G245" s="18"/>
      <c r="H245" s="13"/>
      <c r="I245" s="19">
        <f>IF($E245="","",IF($K245&lt;=0.005,"Pago",IF($D245="","Sem vencimento",IF($D245&lt;Hoje,"Vencida",IF($D245=Hoje,"Vence hoje",IF($D245-Hoje&lt;=DiasAlerta,"Vence em breve","A vencer"))))))</f>
        <v>0</v>
      </c>
      <c r="J245" s="20">
        <f>IF(OR($E245="",$D245=""),"",IF($K245&lt;=0.005,"",$D245-Hoje))</f>
        <v>0</v>
      </c>
      <c r="K245" s="21">
        <f>IF($E245="","",MAX(0,$E245-N($G245)))</f>
        <v>0</v>
      </c>
      <c r="L245" s="20">
        <f>IF($I245="Vencida","PAGAR JÁ (multa e juros)",IF($I245="Vence hoje","Pagar hoje",IF($I245="Vence em breve","Programar pagamento","")))</f>
        <v>0</v>
      </c>
    </row>
    <row r="246" spans="1:12">
      <c r="A246" s="13"/>
      <c r="B246" s="13"/>
      <c r="C246" s="13"/>
      <c r="D246" s="17"/>
      <c r="E246" s="18"/>
      <c r="F246" s="17"/>
      <c r="G246" s="18"/>
      <c r="H246" s="13"/>
      <c r="I246" s="19">
        <f>IF($E246="","",IF($K246&lt;=0.005,"Pago",IF($D246="","Sem vencimento",IF($D246&lt;Hoje,"Vencida",IF($D246=Hoje,"Vence hoje",IF($D246-Hoje&lt;=DiasAlerta,"Vence em breve","A vencer"))))))</f>
        <v>0</v>
      </c>
      <c r="J246" s="20">
        <f>IF(OR($E246="",$D246=""),"",IF($K246&lt;=0.005,"",$D246-Hoje))</f>
        <v>0</v>
      </c>
      <c r="K246" s="21">
        <f>IF($E246="","",MAX(0,$E246-N($G246)))</f>
        <v>0</v>
      </c>
      <c r="L246" s="20">
        <f>IF($I246="Vencida","PAGAR JÁ (multa e juros)",IF($I246="Vence hoje","Pagar hoje",IF($I246="Vence em breve","Programar pagamento","")))</f>
        <v>0</v>
      </c>
    </row>
    <row r="247" spans="1:12">
      <c r="A247" s="13"/>
      <c r="B247" s="13"/>
      <c r="C247" s="13"/>
      <c r="D247" s="17"/>
      <c r="E247" s="18"/>
      <c r="F247" s="17"/>
      <c r="G247" s="18"/>
      <c r="H247" s="13"/>
      <c r="I247" s="19">
        <f>IF($E247="","",IF($K247&lt;=0.005,"Pago",IF($D247="","Sem vencimento",IF($D247&lt;Hoje,"Vencida",IF($D247=Hoje,"Vence hoje",IF($D247-Hoje&lt;=DiasAlerta,"Vence em breve","A vencer"))))))</f>
        <v>0</v>
      </c>
      <c r="J247" s="20">
        <f>IF(OR($E247="",$D247=""),"",IF($K247&lt;=0.005,"",$D247-Hoje))</f>
        <v>0</v>
      </c>
      <c r="K247" s="21">
        <f>IF($E247="","",MAX(0,$E247-N($G247)))</f>
        <v>0</v>
      </c>
      <c r="L247" s="20">
        <f>IF($I247="Vencida","PAGAR JÁ (multa e juros)",IF($I247="Vence hoje","Pagar hoje",IF($I247="Vence em breve","Programar pagamento","")))</f>
        <v>0</v>
      </c>
    </row>
    <row r="248" spans="1:12">
      <c r="A248" s="13"/>
      <c r="B248" s="13"/>
      <c r="C248" s="13"/>
      <c r="D248" s="17"/>
      <c r="E248" s="18"/>
      <c r="F248" s="17"/>
      <c r="G248" s="18"/>
      <c r="H248" s="13"/>
      <c r="I248" s="19">
        <f>IF($E248="","",IF($K248&lt;=0.005,"Pago",IF($D248="","Sem vencimento",IF($D248&lt;Hoje,"Vencida",IF($D248=Hoje,"Vence hoje",IF($D248-Hoje&lt;=DiasAlerta,"Vence em breve","A vencer"))))))</f>
        <v>0</v>
      </c>
      <c r="J248" s="20">
        <f>IF(OR($E248="",$D248=""),"",IF($K248&lt;=0.005,"",$D248-Hoje))</f>
        <v>0</v>
      </c>
      <c r="K248" s="21">
        <f>IF($E248="","",MAX(0,$E248-N($G248)))</f>
        <v>0</v>
      </c>
      <c r="L248" s="20">
        <f>IF($I248="Vencida","PAGAR JÁ (multa e juros)",IF($I248="Vence hoje","Pagar hoje",IF($I248="Vence em breve","Programar pagamento","")))</f>
        <v>0</v>
      </c>
    </row>
    <row r="249" spans="1:12">
      <c r="A249" s="13"/>
      <c r="B249" s="13"/>
      <c r="C249" s="13"/>
      <c r="D249" s="17"/>
      <c r="E249" s="18"/>
      <c r="F249" s="17"/>
      <c r="G249" s="18"/>
      <c r="H249" s="13"/>
      <c r="I249" s="19">
        <f>IF($E249="","",IF($K249&lt;=0.005,"Pago",IF($D249="","Sem vencimento",IF($D249&lt;Hoje,"Vencida",IF($D249=Hoje,"Vence hoje",IF($D249-Hoje&lt;=DiasAlerta,"Vence em breve","A vencer"))))))</f>
        <v>0</v>
      </c>
      <c r="J249" s="20">
        <f>IF(OR($E249="",$D249=""),"",IF($K249&lt;=0.005,"",$D249-Hoje))</f>
        <v>0</v>
      </c>
      <c r="K249" s="21">
        <f>IF($E249="","",MAX(0,$E249-N($G249)))</f>
        <v>0</v>
      </c>
      <c r="L249" s="20">
        <f>IF($I249="Vencida","PAGAR JÁ (multa e juros)",IF($I249="Vence hoje","Pagar hoje",IF($I249="Vence em breve","Programar pagamento","")))</f>
        <v>0</v>
      </c>
    </row>
    <row r="250" spans="1:12">
      <c r="A250" s="13"/>
      <c r="B250" s="13"/>
      <c r="C250" s="13"/>
      <c r="D250" s="17"/>
      <c r="E250" s="18"/>
      <c r="F250" s="17"/>
      <c r="G250" s="18"/>
      <c r="H250" s="13"/>
      <c r="I250" s="19">
        <f>IF($E250="","",IF($K250&lt;=0.005,"Pago",IF($D250="","Sem vencimento",IF($D250&lt;Hoje,"Vencida",IF($D250=Hoje,"Vence hoje",IF($D250-Hoje&lt;=DiasAlerta,"Vence em breve","A vencer"))))))</f>
        <v>0</v>
      </c>
      <c r="J250" s="20">
        <f>IF(OR($E250="",$D250=""),"",IF($K250&lt;=0.005,"",$D250-Hoje))</f>
        <v>0</v>
      </c>
      <c r="K250" s="21">
        <f>IF($E250="","",MAX(0,$E250-N($G250)))</f>
        <v>0</v>
      </c>
      <c r="L250" s="20">
        <f>IF($I250="Vencida","PAGAR JÁ (multa e juros)",IF($I250="Vence hoje","Pagar hoje",IF($I250="Vence em breve","Programar pagamento","")))</f>
        <v>0</v>
      </c>
    </row>
    <row r="251" spans="1:12">
      <c r="A251" s="13"/>
      <c r="B251" s="13"/>
      <c r="C251" s="13"/>
      <c r="D251" s="17"/>
      <c r="E251" s="18"/>
      <c r="F251" s="17"/>
      <c r="G251" s="18"/>
      <c r="H251" s="13"/>
      <c r="I251" s="19">
        <f>IF($E251="","",IF($K251&lt;=0.005,"Pago",IF($D251="","Sem vencimento",IF($D251&lt;Hoje,"Vencida",IF($D251=Hoje,"Vence hoje",IF($D251-Hoje&lt;=DiasAlerta,"Vence em breve","A vencer"))))))</f>
        <v>0</v>
      </c>
      <c r="J251" s="20">
        <f>IF(OR($E251="",$D251=""),"",IF($K251&lt;=0.005,"",$D251-Hoje))</f>
        <v>0</v>
      </c>
      <c r="K251" s="21">
        <f>IF($E251="","",MAX(0,$E251-N($G251)))</f>
        <v>0</v>
      </c>
      <c r="L251" s="20">
        <f>IF($I251="Vencida","PAGAR JÁ (multa e juros)",IF($I251="Vence hoje","Pagar hoje",IF($I251="Vence em breve","Programar pagamento","")))</f>
        <v>0</v>
      </c>
    </row>
    <row r="252" spans="1:12">
      <c r="A252" s="13"/>
      <c r="B252" s="13"/>
      <c r="C252" s="13"/>
      <c r="D252" s="17"/>
      <c r="E252" s="18"/>
      <c r="F252" s="17"/>
      <c r="G252" s="18"/>
      <c r="H252" s="13"/>
      <c r="I252" s="19">
        <f>IF($E252="","",IF($K252&lt;=0.005,"Pago",IF($D252="","Sem vencimento",IF($D252&lt;Hoje,"Vencida",IF($D252=Hoje,"Vence hoje",IF($D252-Hoje&lt;=DiasAlerta,"Vence em breve","A vencer"))))))</f>
        <v>0</v>
      </c>
      <c r="J252" s="20">
        <f>IF(OR($E252="",$D252=""),"",IF($K252&lt;=0.005,"",$D252-Hoje))</f>
        <v>0</v>
      </c>
      <c r="K252" s="21">
        <f>IF($E252="","",MAX(0,$E252-N($G252)))</f>
        <v>0</v>
      </c>
      <c r="L252" s="20">
        <f>IF($I252="Vencida","PAGAR JÁ (multa e juros)",IF($I252="Vence hoje","Pagar hoje",IF($I252="Vence em breve","Programar pagamento","")))</f>
        <v>0</v>
      </c>
    </row>
    <row r="253" spans="1:12">
      <c r="A253" s="13"/>
      <c r="B253" s="13"/>
      <c r="C253" s="13"/>
      <c r="D253" s="17"/>
      <c r="E253" s="18"/>
      <c r="F253" s="17"/>
      <c r="G253" s="18"/>
      <c r="H253" s="13"/>
      <c r="I253" s="19">
        <f>IF($E253="","",IF($K253&lt;=0.005,"Pago",IF($D253="","Sem vencimento",IF($D253&lt;Hoje,"Vencida",IF($D253=Hoje,"Vence hoje",IF($D253-Hoje&lt;=DiasAlerta,"Vence em breve","A vencer"))))))</f>
        <v>0</v>
      </c>
      <c r="J253" s="20">
        <f>IF(OR($E253="",$D253=""),"",IF($K253&lt;=0.005,"",$D253-Hoje))</f>
        <v>0</v>
      </c>
      <c r="K253" s="21">
        <f>IF($E253="","",MAX(0,$E253-N($G253)))</f>
        <v>0</v>
      </c>
      <c r="L253" s="20">
        <f>IF($I253="Vencida","PAGAR JÁ (multa e juros)",IF($I253="Vence hoje","Pagar hoje",IF($I253="Vence em breve","Programar pagamento","")))</f>
        <v>0</v>
      </c>
    </row>
    <row r="254" spans="1:12">
      <c r="A254" s="13"/>
      <c r="B254" s="13"/>
      <c r="C254" s="13"/>
      <c r="D254" s="17"/>
      <c r="E254" s="18"/>
      <c r="F254" s="17"/>
      <c r="G254" s="18"/>
      <c r="H254" s="13"/>
      <c r="I254" s="19">
        <f>IF($E254="","",IF($K254&lt;=0.005,"Pago",IF($D254="","Sem vencimento",IF($D254&lt;Hoje,"Vencida",IF($D254=Hoje,"Vence hoje",IF($D254-Hoje&lt;=DiasAlerta,"Vence em breve","A vencer"))))))</f>
        <v>0</v>
      </c>
      <c r="J254" s="20">
        <f>IF(OR($E254="",$D254=""),"",IF($K254&lt;=0.005,"",$D254-Hoje))</f>
        <v>0</v>
      </c>
      <c r="K254" s="21">
        <f>IF($E254="","",MAX(0,$E254-N($G254)))</f>
        <v>0</v>
      </c>
      <c r="L254" s="20">
        <f>IF($I254="Vencida","PAGAR JÁ (multa e juros)",IF($I254="Vence hoje","Pagar hoje",IF($I254="Vence em breve","Programar pagamento","")))</f>
        <v>0</v>
      </c>
    </row>
    <row r="255" spans="1:12">
      <c r="A255" s="13"/>
      <c r="B255" s="13"/>
      <c r="C255" s="13"/>
      <c r="D255" s="17"/>
      <c r="E255" s="18"/>
      <c r="F255" s="17"/>
      <c r="G255" s="18"/>
      <c r="H255" s="13"/>
      <c r="I255" s="19">
        <f>IF($E255="","",IF($K255&lt;=0.005,"Pago",IF($D255="","Sem vencimento",IF($D255&lt;Hoje,"Vencida",IF($D255=Hoje,"Vence hoje",IF($D255-Hoje&lt;=DiasAlerta,"Vence em breve","A vencer"))))))</f>
        <v>0</v>
      </c>
      <c r="J255" s="20">
        <f>IF(OR($E255="",$D255=""),"",IF($K255&lt;=0.005,"",$D255-Hoje))</f>
        <v>0</v>
      </c>
      <c r="K255" s="21">
        <f>IF($E255="","",MAX(0,$E255-N($G255)))</f>
        <v>0</v>
      </c>
      <c r="L255" s="20">
        <f>IF($I255="Vencida","PAGAR JÁ (multa e juros)",IF($I255="Vence hoje","Pagar hoje",IF($I255="Vence em breve","Programar pagamento","")))</f>
        <v>0</v>
      </c>
    </row>
    <row r="256" spans="1:12">
      <c r="A256" s="13"/>
      <c r="B256" s="13"/>
      <c r="C256" s="13"/>
      <c r="D256" s="17"/>
      <c r="E256" s="18"/>
      <c r="F256" s="17"/>
      <c r="G256" s="18"/>
      <c r="H256" s="13"/>
      <c r="I256" s="19">
        <f>IF($E256="","",IF($K256&lt;=0.005,"Pago",IF($D256="","Sem vencimento",IF($D256&lt;Hoje,"Vencida",IF($D256=Hoje,"Vence hoje",IF($D256-Hoje&lt;=DiasAlerta,"Vence em breve","A vencer"))))))</f>
        <v>0</v>
      </c>
      <c r="J256" s="20">
        <f>IF(OR($E256="",$D256=""),"",IF($K256&lt;=0.005,"",$D256-Hoje))</f>
        <v>0</v>
      </c>
      <c r="K256" s="21">
        <f>IF($E256="","",MAX(0,$E256-N($G256)))</f>
        <v>0</v>
      </c>
      <c r="L256" s="20">
        <f>IF($I256="Vencida","PAGAR JÁ (multa e juros)",IF($I256="Vence hoje","Pagar hoje",IF($I256="Vence em breve","Programar pagamento","")))</f>
        <v>0</v>
      </c>
    </row>
    <row r="257" spans="1:12">
      <c r="A257" s="13"/>
      <c r="B257" s="13"/>
      <c r="C257" s="13"/>
      <c r="D257" s="17"/>
      <c r="E257" s="18"/>
      <c r="F257" s="17"/>
      <c r="G257" s="18"/>
      <c r="H257" s="13"/>
      <c r="I257" s="19">
        <f>IF($E257="","",IF($K257&lt;=0.005,"Pago",IF($D257="","Sem vencimento",IF($D257&lt;Hoje,"Vencida",IF($D257=Hoje,"Vence hoje",IF($D257-Hoje&lt;=DiasAlerta,"Vence em breve","A vencer"))))))</f>
        <v>0</v>
      </c>
      <c r="J257" s="20">
        <f>IF(OR($E257="",$D257=""),"",IF($K257&lt;=0.005,"",$D257-Hoje))</f>
        <v>0</v>
      </c>
      <c r="K257" s="21">
        <f>IF($E257="","",MAX(0,$E257-N($G257)))</f>
        <v>0</v>
      </c>
      <c r="L257" s="20">
        <f>IF($I257="Vencida","PAGAR JÁ (multa e juros)",IF($I257="Vence hoje","Pagar hoje",IF($I257="Vence em breve","Programar pagamento","")))</f>
        <v>0</v>
      </c>
    </row>
    <row r="258" spans="1:12">
      <c r="A258" s="13"/>
      <c r="B258" s="13"/>
      <c r="C258" s="13"/>
      <c r="D258" s="17"/>
      <c r="E258" s="18"/>
      <c r="F258" s="17"/>
      <c r="G258" s="18"/>
      <c r="H258" s="13"/>
      <c r="I258" s="19">
        <f>IF($E258="","",IF($K258&lt;=0.005,"Pago",IF($D258="","Sem vencimento",IF($D258&lt;Hoje,"Vencida",IF($D258=Hoje,"Vence hoje",IF($D258-Hoje&lt;=DiasAlerta,"Vence em breve","A vencer"))))))</f>
        <v>0</v>
      </c>
      <c r="J258" s="20">
        <f>IF(OR($E258="",$D258=""),"",IF($K258&lt;=0.005,"",$D258-Hoje))</f>
        <v>0</v>
      </c>
      <c r="K258" s="21">
        <f>IF($E258="","",MAX(0,$E258-N($G258)))</f>
        <v>0</v>
      </c>
      <c r="L258" s="20">
        <f>IF($I258="Vencida","PAGAR JÁ (multa e juros)",IF($I258="Vence hoje","Pagar hoje",IF($I258="Vence em breve","Programar pagamento","")))</f>
        <v>0</v>
      </c>
    </row>
    <row r="259" spans="1:12">
      <c r="A259" s="13"/>
      <c r="B259" s="13"/>
      <c r="C259" s="13"/>
      <c r="D259" s="17"/>
      <c r="E259" s="18"/>
      <c r="F259" s="17"/>
      <c r="G259" s="18"/>
      <c r="H259" s="13"/>
      <c r="I259" s="19">
        <f>IF($E259="","",IF($K259&lt;=0.005,"Pago",IF($D259="","Sem vencimento",IF($D259&lt;Hoje,"Vencida",IF($D259=Hoje,"Vence hoje",IF($D259-Hoje&lt;=DiasAlerta,"Vence em breve","A vencer"))))))</f>
        <v>0</v>
      </c>
      <c r="J259" s="20">
        <f>IF(OR($E259="",$D259=""),"",IF($K259&lt;=0.005,"",$D259-Hoje))</f>
        <v>0</v>
      </c>
      <c r="K259" s="21">
        <f>IF($E259="","",MAX(0,$E259-N($G259)))</f>
        <v>0</v>
      </c>
      <c r="L259" s="20">
        <f>IF($I259="Vencida","PAGAR JÁ (multa e juros)",IF($I259="Vence hoje","Pagar hoje",IF($I259="Vence em breve","Programar pagamento","")))</f>
        <v>0</v>
      </c>
    </row>
    <row r="260" spans="1:12">
      <c r="A260" s="13"/>
      <c r="B260" s="13"/>
      <c r="C260" s="13"/>
      <c r="D260" s="17"/>
      <c r="E260" s="18"/>
      <c r="F260" s="17"/>
      <c r="G260" s="18"/>
      <c r="H260" s="13"/>
      <c r="I260" s="19">
        <f>IF($E260="","",IF($K260&lt;=0.005,"Pago",IF($D260="","Sem vencimento",IF($D260&lt;Hoje,"Vencida",IF($D260=Hoje,"Vence hoje",IF($D260-Hoje&lt;=DiasAlerta,"Vence em breve","A vencer"))))))</f>
        <v>0</v>
      </c>
      <c r="J260" s="20">
        <f>IF(OR($E260="",$D260=""),"",IF($K260&lt;=0.005,"",$D260-Hoje))</f>
        <v>0</v>
      </c>
      <c r="K260" s="21">
        <f>IF($E260="","",MAX(0,$E260-N($G260)))</f>
        <v>0</v>
      </c>
      <c r="L260" s="20">
        <f>IF($I260="Vencida","PAGAR JÁ (multa e juros)",IF($I260="Vence hoje","Pagar hoje",IF($I260="Vence em breve","Programar pagamento","")))</f>
        <v>0</v>
      </c>
    </row>
    <row r="261" spans="1:12">
      <c r="A261" s="13"/>
      <c r="B261" s="13"/>
      <c r="C261" s="13"/>
      <c r="D261" s="17"/>
      <c r="E261" s="18"/>
      <c r="F261" s="17"/>
      <c r="G261" s="18"/>
      <c r="H261" s="13"/>
      <c r="I261" s="19">
        <f>IF($E261="","",IF($K261&lt;=0.005,"Pago",IF($D261="","Sem vencimento",IF($D261&lt;Hoje,"Vencida",IF($D261=Hoje,"Vence hoje",IF($D261-Hoje&lt;=DiasAlerta,"Vence em breve","A vencer"))))))</f>
        <v>0</v>
      </c>
      <c r="J261" s="20">
        <f>IF(OR($E261="",$D261=""),"",IF($K261&lt;=0.005,"",$D261-Hoje))</f>
        <v>0</v>
      </c>
      <c r="K261" s="21">
        <f>IF($E261="","",MAX(0,$E261-N($G261)))</f>
        <v>0</v>
      </c>
      <c r="L261" s="20">
        <f>IF($I261="Vencida","PAGAR JÁ (multa e juros)",IF($I261="Vence hoje","Pagar hoje",IF($I261="Vence em breve","Programar pagamento","")))</f>
        <v>0</v>
      </c>
    </row>
    <row r="262" spans="1:12">
      <c r="A262" s="13"/>
      <c r="B262" s="13"/>
      <c r="C262" s="13"/>
      <c r="D262" s="17"/>
      <c r="E262" s="18"/>
      <c r="F262" s="17"/>
      <c r="G262" s="18"/>
      <c r="H262" s="13"/>
      <c r="I262" s="19">
        <f>IF($E262="","",IF($K262&lt;=0.005,"Pago",IF($D262="","Sem vencimento",IF($D262&lt;Hoje,"Vencida",IF($D262=Hoje,"Vence hoje",IF($D262-Hoje&lt;=DiasAlerta,"Vence em breve","A vencer"))))))</f>
        <v>0</v>
      </c>
      <c r="J262" s="20">
        <f>IF(OR($E262="",$D262=""),"",IF($K262&lt;=0.005,"",$D262-Hoje))</f>
        <v>0</v>
      </c>
      <c r="K262" s="21">
        <f>IF($E262="","",MAX(0,$E262-N($G262)))</f>
        <v>0</v>
      </c>
      <c r="L262" s="20">
        <f>IF($I262="Vencida","PAGAR JÁ (multa e juros)",IF($I262="Vence hoje","Pagar hoje",IF($I262="Vence em breve","Programar pagamento","")))</f>
        <v>0</v>
      </c>
    </row>
    <row r="263" spans="1:12">
      <c r="A263" s="13"/>
      <c r="B263" s="13"/>
      <c r="C263" s="13"/>
      <c r="D263" s="17"/>
      <c r="E263" s="18"/>
      <c r="F263" s="17"/>
      <c r="G263" s="18"/>
      <c r="H263" s="13"/>
      <c r="I263" s="19">
        <f>IF($E263="","",IF($K263&lt;=0.005,"Pago",IF($D263="","Sem vencimento",IF($D263&lt;Hoje,"Vencida",IF($D263=Hoje,"Vence hoje",IF($D263-Hoje&lt;=DiasAlerta,"Vence em breve","A vencer"))))))</f>
        <v>0</v>
      </c>
      <c r="J263" s="20">
        <f>IF(OR($E263="",$D263=""),"",IF($K263&lt;=0.005,"",$D263-Hoje))</f>
        <v>0</v>
      </c>
      <c r="K263" s="21">
        <f>IF($E263="","",MAX(0,$E263-N($G263)))</f>
        <v>0</v>
      </c>
      <c r="L263" s="20">
        <f>IF($I263="Vencida","PAGAR JÁ (multa e juros)",IF($I263="Vence hoje","Pagar hoje",IF($I263="Vence em breve","Programar pagamento","")))</f>
        <v>0</v>
      </c>
    </row>
    <row r="264" spans="1:12">
      <c r="A264" s="13"/>
      <c r="B264" s="13"/>
      <c r="C264" s="13"/>
      <c r="D264" s="17"/>
      <c r="E264" s="18"/>
      <c r="F264" s="17"/>
      <c r="G264" s="18"/>
      <c r="H264" s="13"/>
      <c r="I264" s="19">
        <f>IF($E264="","",IF($K264&lt;=0.005,"Pago",IF($D264="","Sem vencimento",IF($D264&lt;Hoje,"Vencida",IF($D264=Hoje,"Vence hoje",IF($D264-Hoje&lt;=DiasAlerta,"Vence em breve","A vencer"))))))</f>
        <v>0</v>
      </c>
      <c r="J264" s="20">
        <f>IF(OR($E264="",$D264=""),"",IF($K264&lt;=0.005,"",$D264-Hoje))</f>
        <v>0</v>
      </c>
      <c r="K264" s="21">
        <f>IF($E264="","",MAX(0,$E264-N($G264)))</f>
        <v>0</v>
      </c>
      <c r="L264" s="20">
        <f>IF($I264="Vencida","PAGAR JÁ (multa e juros)",IF($I264="Vence hoje","Pagar hoje",IF($I264="Vence em breve","Programar pagamento","")))</f>
        <v>0</v>
      </c>
    </row>
    <row r="265" spans="1:12">
      <c r="A265" s="13"/>
      <c r="B265" s="13"/>
      <c r="C265" s="13"/>
      <c r="D265" s="17"/>
      <c r="E265" s="18"/>
      <c r="F265" s="17"/>
      <c r="G265" s="18"/>
      <c r="H265" s="13"/>
      <c r="I265" s="19">
        <f>IF($E265="","",IF($K265&lt;=0.005,"Pago",IF($D265="","Sem vencimento",IF($D265&lt;Hoje,"Vencida",IF($D265=Hoje,"Vence hoje",IF($D265-Hoje&lt;=DiasAlerta,"Vence em breve","A vencer"))))))</f>
        <v>0</v>
      </c>
      <c r="J265" s="20">
        <f>IF(OR($E265="",$D265=""),"",IF($K265&lt;=0.005,"",$D265-Hoje))</f>
        <v>0</v>
      </c>
      <c r="K265" s="21">
        <f>IF($E265="","",MAX(0,$E265-N($G265)))</f>
        <v>0</v>
      </c>
      <c r="L265" s="20">
        <f>IF($I265="Vencida","PAGAR JÁ (multa e juros)",IF($I265="Vence hoje","Pagar hoje",IF($I265="Vence em breve","Programar pagamento","")))</f>
        <v>0</v>
      </c>
    </row>
    <row r="266" spans="1:12">
      <c r="A266" s="13"/>
      <c r="B266" s="13"/>
      <c r="C266" s="13"/>
      <c r="D266" s="17"/>
      <c r="E266" s="18"/>
      <c r="F266" s="17"/>
      <c r="G266" s="18"/>
      <c r="H266" s="13"/>
      <c r="I266" s="19">
        <f>IF($E266="","",IF($K266&lt;=0.005,"Pago",IF($D266="","Sem vencimento",IF($D266&lt;Hoje,"Vencida",IF($D266=Hoje,"Vence hoje",IF($D266-Hoje&lt;=DiasAlerta,"Vence em breve","A vencer"))))))</f>
        <v>0</v>
      </c>
      <c r="J266" s="20">
        <f>IF(OR($E266="",$D266=""),"",IF($K266&lt;=0.005,"",$D266-Hoje))</f>
        <v>0</v>
      </c>
      <c r="K266" s="21">
        <f>IF($E266="","",MAX(0,$E266-N($G266)))</f>
        <v>0</v>
      </c>
      <c r="L266" s="20">
        <f>IF($I266="Vencida","PAGAR JÁ (multa e juros)",IF($I266="Vence hoje","Pagar hoje",IF($I266="Vence em breve","Programar pagamento","")))</f>
        <v>0</v>
      </c>
    </row>
    <row r="267" spans="1:12">
      <c r="A267" s="13"/>
      <c r="B267" s="13"/>
      <c r="C267" s="13"/>
      <c r="D267" s="17"/>
      <c r="E267" s="18"/>
      <c r="F267" s="17"/>
      <c r="G267" s="18"/>
      <c r="H267" s="13"/>
      <c r="I267" s="19">
        <f>IF($E267="","",IF($K267&lt;=0.005,"Pago",IF($D267="","Sem vencimento",IF($D267&lt;Hoje,"Vencida",IF($D267=Hoje,"Vence hoje",IF($D267-Hoje&lt;=DiasAlerta,"Vence em breve","A vencer"))))))</f>
        <v>0</v>
      </c>
      <c r="J267" s="20">
        <f>IF(OR($E267="",$D267=""),"",IF($K267&lt;=0.005,"",$D267-Hoje))</f>
        <v>0</v>
      </c>
      <c r="K267" s="21">
        <f>IF($E267="","",MAX(0,$E267-N($G267)))</f>
        <v>0</v>
      </c>
      <c r="L267" s="20">
        <f>IF($I267="Vencida","PAGAR JÁ (multa e juros)",IF($I267="Vence hoje","Pagar hoje",IF($I267="Vence em breve","Programar pagamento","")))</f>
        <v>0</v>
      </c>
    </row>
    <row r="268" spans="1:12">
      <c r="A268" s="13"/>
      <c r="B268" s="13"/>
      <c r="C268" s="13"/>
      <c r="D268" s="17"/>
      <c r="E268" s="18"/>
      <c r="F268" s="17"/>
      <c r="G268" s="18"/>
      <c r="H268" s="13"/>
      <c r="I268" s="19">
        <f>IF($E268="","",IF($K268&lt;=0.005,"Pago",IF($D268="","Sem vencimento",IF($D268&lt;Hoje,"Vencida",IF($D268=Hoje,"Vence hoje",IF($D268-Hoje&lt;=DiasAlerta,"Vence em breve","A vencer"))))))</f>
        <v>0</v>
      </c>
      <c r="J268" s="20">
        <f>IF(OR($E268="",$D268=""),"",IF($K268&lt;=0.005,"",$D268-Hoje))</f>
        <v>0</v>
      </c>
      <c r="K268" s="21">
        <f>IF($E268="","",MAX(0,$E268-N($G268)))</f>
        <v>0</v>
      </c>
      <c r="L268" s="20">
        <f>IF($I268="Vencida","PAGAR JÁ (multa e juros)",IF($I268="Vence hoje","Pagar hoje",IF($I268="Vence em breve","Programar pagamento","")))</f>
        <v>0</v>
      </c>
    </row>
    <row r="269" spans="1:12">
      <c r="A269" s="13"/>
      <c r="B269" s="13"/>
      <c r="C269" s="13"/>
      <c r="D269" s="17"/>
      <c r="E269" s="18"/>
      <c r="F269" s="17"/>
      <c r="G269" s="18"/>
      <c r="H269" s="13"/>
      <c r="I269" s="19">
        <f>IF($E269="","",IF($K269&lt;=0.005,"Pago",IF($D269="","Sem vencimento",IF($D269&lt;Hoje,"Vencida",IF($D269=Hoje,"Vence hoje",IF($D269-Hoje&lt;=DiasAlerta,"Vence em breve","A vencer"))))))</f>
        <v>0</v>
      </c>
      <c r="J269" s="20">
        <f>IF(OR($E269="",$D269=""),"",IF($K269&lt;=0.005,"",$D269-Hoje))</f>
        <v>0</v>
      </c>
      <c r="K269" s="21">
        <f>IF($E269="","",MAX(0,$E269-N($G269)))</f>
        <v>0</v>
      </c>
      <c r="L269" s="20">
        <f>IF($I269="Vencida","PAGAR JÁ (multa e juros)",IF($I269="Vence hoje","Pagar hoje",IF($I269="Vence em breve","Programar pagamento","")))</f>
        <v>0</v>
      </c>
    </row>
    <row r="270" spans="1:12">
      <c r="A270" s="13"/>
      <c r="B270" s="13"/>
      <c r="C270" s="13"/>
      <c r="D270" s="17"/>
      <c r="E270" s="18"/>
      <c r="F270" s="17"/>
      <c r="G270" s="18"/>
      <c r="H270" s="13"/>
      <c r="I270" s="19">
        <f>IF($E270="","",IF($K270&lt;=0.005,"Pago",IF($D270="","Sem vencimento",IF($D270&lt;Hoje,"Vencida",IF($D270=Hoje,"Vence hoje",IF($D270-Hoje&lt;=DiasAlerta,"Vence em breve","A vencer"))))))</f>
        <v>0</v>
      </c>
      <c r="J270" s="20">
        <f>IF(OR($E270="",$D270=""),"",IF($K270&lt;=0.005,"",$D270-Hoje))</f>
        <v>0</v>
      </c>
      <c r="K270" s="21">
        <f>IF($E270="","",MAX(0,$E270-N($G270)))</f>
        <v>0</v>
      </c>
      <c r="L270" s="20">
        <f>IF($I270="Vencida","PAGAR JÁ (multa e juros)",IF($I270="Vence hoje","Pagar hoje",IF($I270="Vence em breve","Programar pagamento","")))</f>
        <v>0</v>
      </c>
    </row>
    <row r="271" spans="1:12">
      <c r="A271" s="13"/>
      <c r="B271" s="13"/>
      <c r="C271" s="13"/>
      <c r="D271" s="17"/>
      <c r="E271" s="18"/>
      <c r="F271" s="17"/>
      <c r="G271" s="18"/>
      <c r="H271" s="13"/>
      <c r="I271" s="19">
        <f>IF($E271="","",IF($K271&lt;=0.005,"Pago",IF($D271="","Sem vencimento",IF($D271&lt;Hoje,"Vencida",IF($D271=Hoje,"Vence hoje",IF($D271-Hoje&lt;=DiasAlerta,"Vence em breve","A vencer"))))))</f>
        <v>0</v>
      </c>
      <c r="J271" s="20">
        <f>IF(OR($E271="",$D271=""),"",IF($K271&lt;=0.005,"",$D271-Hoje))</f>
        <v>0</v>
      </c>
      <c r="K271" s="21">
        <f>IF($E271="","",MAX(0,$E271-N($G271)))</f>
        <v>0</v>
      </c>
      <c r="L271" s="20">
        <f>IF($I271="Vencida","PAGAR JÁ (multa e juros)",IF($I271="Vence hoje","Pagar hoje",IF($I271="Vence em breve","Programar pagamento","")))</f>
        <v>0</v>
      </c>
    </row>
    <row r="272" spans="1:12">
      <c r="A272" s="13"/>
      <c r="B272" s="13"/>
      <c r="C272" s="13"/>
      <c r="D272" s="17"/>
      <c r="E272" s="18"/>
      <c r="F272" s="17"/>
      <c r="G272" s="18"/>
      <c r="H272" s="13"/>
      <c r="I272" s="19">
        <f>IF($E272="","",IF($K272&lt;=0.005,"Pago",IF($D272="","Sem vencimento",IF($D272&lt;Hoje,"Vencida",IF($D272=Hoje,"Vence hoje",IF($D272-Hoje&lt;=DiasAlerta,"Vence em breve","A vencer"))))))</f>
        <v>0</v>
      </c>
      <c r="J272" s="20">
        <f>IF(OR($E272="",$D272=""),"",IF($K272&lt;=0.005,"",$D272-Hoje))</f>
        <v>0</v>
      </c>
      <c r="K272" s="21">
        <f>IF($E272="","",MAX(0,$E272-N($G272)))</f>
        <v>0</v>
      </c>
      <c r="L272" s="20">
        <f>IF($I272="Vencida","PAGAR JÁ (multa e juros)",IF($I272="Vence hoje","Pagar hoje",IF($I272="Vence em breve","Programar pagamento","")))</f>
        <v>0</v>
      </c>
    </row>
    <row r="273" spans="1:12">
      <c r="A273" s="13"/>
      <c r="B273" s="13"/>
      <c r="C273" s="13"/>
      <c r="D273" s="17"/>
      <c r="E273" s="18"/>
      <c r="F273" s="17"/>
      <c r="G273" s="18"/>
      <c r="H273" s="13"/>
      <c r="I273" s="19">
        <f>IF($E273="","",IF($K273&lt;=0.005,"Pago",IF($D273="","Sem vencimento",IF($D273&lt;Hoje,"Vencida",IF($D273=Hoje,"Vence hoje",IF($D273-Hoje&lt;=DiasAlerta,"Vence em breve","A vencer"))))))</f>
        <v>0</v>
      </c>
      <c r="J273" s="20">
        <f>IF(OR($E273="",$D273=""),"",IF($K273&lt;=0.005,"",$D273-Hoje))</f>
        <v>0</v>
      </c>
      <c r="K273" s="21">
        <f>IF($E273="","",MAX(0,$E273-N($G273)))</f>
        <v>0</v>
      </c>
      <c r="L273" s="20">
        <f>IF($I273="Vencida","PAGAR JÁ (multa e juros)",IF($I273="Vence hoje","Pagar hoje",IF($I273="Vence em breve","Programar pagamento","")))</f>
        <v>0</v>
      </c>
    </row>
    <row r="274" spans="1:12">
      <c r="A274" s="13"/>
      <c r="B274" s="13"/>
      <c r="C274" s="13"/>
      <c r="D274" s="17"/>
      <c r="E274" s="18"/>
      <c r="F274" s="17"/>
      <c r="G274" s="18"/>
      <c r="H274" s="13"/>
      <c r="I274" s="19">
        <f>IF($E274="","",IF($K274&lt;=0.005,"Pago",IF($D274="","Sem vencimento",IF($D274&lt;Hoje,"Vencida",IF($D274=Hoje,"Vence hoje",IF($D274-Hoje&lt;=DiasAlerta,"Vence em breve","A vencer"))))))</f>
        <v>0</v>
      </c>
      <c r="J274" s="20">
        <f>IF(OR($E274="",$D274=""),"",IF($K274&lt;=0.005,"",$D274-Hoje))</f>
        <v>0</v>
      </c>
      <c r="K274" s="21">
        <f>IF($E274="","",MAX(0,$E274-N($G274)))</f>
        <v>0</v>
      </c>
      <c r="L274" s="20">
        <f>IF($I274="Vencida","PAGAR JÁ (multa e juros)",IF($I274="Vence hoje","Pagar hoje",IF($I274="Vence em breve","Programar pagamento","")))</f>
        <v>0</v>
      </c>
    </row>
    <row r="275" spans="1:12">
      <c r="A275" s="13"/>
      <c r="B275" s="13"/>
      <c r="C275" s="13"/>
      <c r="D275" s="17"/>
      <c r="E275" s="18"/>
      <c r="F275" s="17"/>
      <c r="G275" s="18"/>
      <c r="H275" s="13"/>
      <c r="I275" s="19">
        <f>IF($E275="","",IF($K275&lt;=0.005,"Pago",IF($D275="","Sem vencimento",IF($D275&lt;Hoje,"Vencida",IF($D275=Hoje,"Vence hoje",IF($D275-Hoje&lt;=DiasAlerta,"Vence em breve","A vencer"))))))</f>
        <v>0</v>
      </c>
      <c r="J275" s="20">
        <f>IF(OR($E275="",$D275=""),"",IF($K275&lt;=0.005,"",$D275-Hoje))</f>
        <v>0</v>
      </c>
      <c r="K275" s="21">
        <f>IF($E275="","",MAX(0,$E275-N($G275)))</f>
        <v>0</v>
      </c>
      <c r="L275" s="20">
        <f>IF($I275="Vencida","PAGAR JÁ (multa e juros)",IF($I275="Vence hoje","Pagar hoje",IF($I275="Vence em breve","Programar pagamento","")))</f>
        <v>0</v>
      </c>
    </row>
    <row r="276" spans="1:12">
      <c r="A276" s="13"/>
      <c r="B276" s="13"/>
      <c r="C276" s="13"/>
      <c r="D276" s="17"/>
      <c r="E276" s="18"/>
      <c r="F276" s="17"/>
      <c r="G276" s="18"/>
      <c r="H276" s="13"/>
      <c r="I276" s="19">
        <f>IF($E276="","",IF($K276&lt;=0.005,"Pago",IF($D276="","Sem vencimento",IF($D276&lt;Hoje,"Vencida",IF($D276=Hoje,"Vence hoje",IF($D276-Hoje&lt;=DiasAlerta,"Vence em breve","A vencer"))))))</f>
        <v>0</v>
      </c>
      <c r="J276" s="20">
        <f>IF(OR($E276="",$D276=""),"",IF($K276&lt;=0.005,"",$D276-Hoje))</f>
        <v>0</v>
      </c>
      <c r="K276" s="21">
        <f>IF($E276="","",MAX(0,$E276-N($G276)))</f>
        <v>0</v>
      </c>
      <c r="L276" s="20">
        <f>IF($I276="Vencida","PAGAR JÁ (multa e juros)",IF($I276="Vence hoje","Pagar hoje",IF($I276="Vence em breve","Programar pagamento","")))</f>
        <v>0</v>
      </c>
    </row>
    <row r="277" spans="1:12">
      <c r="A277" s="13"/>
      <c r="B277" s="13"/>
      <c r="C277" s="13"/>
      <c r="D277" s="17"/>
      <c r="E277" s="18"/>
      <c r="F277" s="17"/>
      <c r="G277" s="18"/>
      <c r="H277" s="13"/>
      <c r="I277" s="19">
        <f>IF($E277="","",IF($K277&lt;=0.005,"Pago",IF($D277="","Sem vencimento",IF($D277&lt;Hoje,"Vencida",IF($D277=Hoje,"Vence hoje",IF($D277-Hoje&lt;=DiasAlerta,"Vence em breve","A vencer"))))))</f>
        <v>0</v>
      </c>
      <c r="J277" s="20">
        <f>IF(OR($E277="",$D277=""),"",IF($K277&lt;=0.005,"",$D277-Hoje))</f>
        <v>0</v>
      </c>
      <c r="K277" s="21">
        <f>IF($E277="","",MAX(0,$E277-N($G277)))</f>
        <v>0</v>
      </c>
      <c r="L277" s="20">
        <f>IF($I277="Vencida","PAGAR JÁ (multa e juros)",IF($I277="Vence hoje","Pagar hoje",IF($I277="Vence em breve","Programar pagamento","")))</f>
        <v>0</v>
      </c>
    </row>
    <row r="278" spans="1:12">
      <c r="A278" s="13"/>
      <c r="B278" s="13"/>
      <c r="C278" s="13"/>
      <c r="D278" s="17"/>
      <c r="E278" s="18"/>
      <c r="F278" s="17"/>
      <c r="G278" s="18"/>
      <c r="H278" s="13"/>
      <c r="I278" s="19">
        <f>IF($E278="","",IF($K278&lt;=0.005,"Pago",IF($D278="","Sem vencimento",IF($D278&lt;Hoje,"Vencida",IF($D278=Hoje,"Vence hoje",IF($D278-Hoje&lt;=DiasAlerta,"Vence em breve","A vencer"))))))</f>
        <v>0</v>
      </c>
      <c r="J278" s="20">
        <f>IF(OR($E278="",$D278=""),"",IF($K278&lt;=0.005,"",$D278-Hoje))</f>
        <v>0</v>
      </c>
      <c r="K278" s="21">
        <f>IF($E278="","",MAX(0,$E278-N($G278)))</f>
        <v>0</v>
      </c>
      <c r="L278" s="20">
        <f>IF($I278="Vencida","PAGAR JÁ (multa e juros)",IF($I278="Vence hoje","Pagar hoje",IF($I278="Vence em breve","Programar pagamento","")))</f>
        <v>0</v>
      </c>
    </row>
    <row r="279" spans="1:12">
      <c r="A279" s="13"/>
      <c r="B279" s="13"/>
      <c r="C279" s="13"/>
      <c r="D279" s="17"/>
      <c r="E279" s="18"/>
      <c r="F279" s="17"/>
      <c r="G279" s="18"/>
      <c r="H279" s="13"/>
      <c r="I279" s="19">
        <f>IF($E279="","",IF($K279&lt;=0.005,"Pago",IF($D279="","Sem vencimento",IF($D279&lt;Hoje,"Vencida",IF($D279=Hoje,"Vence hoje",IF($D279-Hoje&lt;=DiasAlerta,"Vence em breve","A vencer"))))))</f>
        <v>0</v>
      </c>
      <c r="J279" s="20">
        <f>IF(OR($E279="",$D279=""),"",IF($K279&lt;=0.005,"",$D279-Hoje))</f>
        <v>0</v>
      </c>
      <c r="K279" s="21">
        <f>IF($E279="","",MAX(0,$E279-N($G279)))</f>
        <v>0</v>
      </c>
      <c r="L279" s="20">
        <f>IF($I279="Vencida","PAGAR JÁ (multa e juros)",IF($I279="Vence hoje","Pagar hoje",IF($I279="Vence em breve","Programar pagamento","")))</f>
        <v>0</v>
      </c>
    </row>
    <row r="280" spans="1:12">
      <c r="A280" s="13"/>
      <c r="B280" s="13"/>
      <c r="C280" s="13"/>
      <c r="D280" s="17"/>
      <c r="E280" s="18"/>
      <c r="F280" s="17"/>
      <c r="G280" s="18"/>
      <c r="H280" s="13"/>
      <c r="I280" s="19">
        <f>IF($E280="","",IF($K280&lt;=0.005,"Pago",IF($D280="","Sem vencimento",IF($D280&lt;Hoje,"Vencida",IF($D280=Hoje,"Vence hoje",IF($D280-Hoje&lt;=DiasAlerta,"Vence em breve","A vencer"))))))</f>
        <v>0</v>
      </c>
      <c r="J280" s="20">
        <f>IF(OR($E280="",$D280=""),"",IF($K280&lt;=0.005,"",$D280-Hoje))</f>
        <v>0</v>
      </c>
      <c r="K280" s="21">
        <f>IF($E280="","",MAX(0,$E280-N($G280)))</f>
        <v>0</v>
      </c>
      <c r="L280" s="20">
        <f>IF($I280="Vencida","PAGAR JÁ (multa e juros)",IF($I280="Vence hoje","Pagar hoje",IF($I280="Vence em breve","Programar pagamento","")))</f>
        <v>0</v>
      </c>
    </row>
    <row r="281" spans="1:12">
      <c r="A281" s="13"/>
      <c r="B281" s="13"/>
      <c r="C281" s="13"/>
      <c r="D281" s="17"/>
      <c r="E281" s="18"/>
      <c r="F281" s="17"/>
      <c r="G281" s="18"/>
      <c r="H281" s="13"/>
      <c r="I281" s="19">
        <f>IF($E281="","",IF($K281&lt;=0.005,"Pago",IF($D281="","Sem vencimento",IF($D281&lt;Hoje,"Vencida",IF($D281=Hoje,"Vence hoje",IF($D281-Hoje&lt;=DiasAlerta,"Vence em breve","A vencer"))))))</f>
        <v>0</v>
      </c>
      <c r="J281" s="20">
        <f>IF(OR($E281="",$D281=""),"",IF($K281&lt;=0.005,"",$D281-Hoje))</f>
        <v>0</v>
      </c>
      <c r="K281" s="21">
        <f>IF($E281="","",MAX(0,$E281-N($G281)))</f>
        <v>0</v>
      </c>
      <c r="L281" s="20">
        <f>IF($I281="Vencida","PAGAR JÁ (multa e juros)",IF($I281="Vence hoje","Pagar hoje",IF($I281="Vence em breve","Programar pagamento","")))</f>
        <v>0</v>
      </c>
    </row>
    <row r="282" spans="1:12">
      <c r="A282" s="13"/>
      <c r="B282" s="13"/>
      <c r="C282" s="13"/>
      <c r="D282" s="17"/>
      <c r="E282" s="18"/>
      <c r="F282" s="17"/>
      <c r="G282" s="18"/>
      <c r="H282" s="13"/>
      <c r="I282" s="19">
        <f>IF($E282="","",IF($K282&lt;=0.005,"Pago",IF($D282="","Sem vencimento",IF($D282&lt;Hoje,"Vencida",IF($D282=Hoje,"Vence hoje",IF($D282-Hoje&lt;=DiasAlerta,"Vence em breve","A vencer"))))))</f>
        <v>0</v>
      </c>
      <c r="J282" s="20">
        <f>IF(OR($E282="",$D282=""),"",IF($K282&lt;=0.005,"",$D282-Hoje))</f>
        <v>0</v>
      </c>
      <c r="K282" s="21">
        <f>IF($E282="","",MAX(0,$E282-N($G282)))</f>
        <v>0</v>
      </c>
      <c r="L282" s="20">
        <f>IF($I282="Vencida","PAGAR JÁ (multa e juros)",IF($I282="Vence hoje","Pagar hoje",IF($I282="Vence em breve","Programar pagamento","")))</f>
        <v>0</v>
      </c>
    </row>
    <row r="283" spans="1:12">
      <c r="A283" s="13"/>
      <c r="B283" s="13"/>
      <c r="C283" s="13"/>
      <c r="D283" s="17"/>
      <c r="E283" s="18"/>
      <c r="F283" s="17"/>
      <c r="G283" s="18"/>
      <c r="H283" s="13"/>
      <c r="I283" s="19">
        <f>IF($E283="","",IF($K283&lt;=0.005,"Pago",IF($D283="","Sem vencimento",IF($D283&lt;Hoje,"Vencida",IF($D283=Hoje,"Vence hoje",IF($D283-Hoje&lt;=DiasAlerta,"Vence em breve","A vencer"))))))</f>
        <v>0</v>
      </c>
      <c r="J283" s="20">
        <f>IF(OR($E283="",$D283=""),"",IF($K283&lt;=0.005,"",$D283-Hoje))</f>
        <v>0</v>
      </c>
      <c r="K283" s="21">
        <f>IF($E283="","",MAX(0,$E283-N($G283)))</f>
        <v>0</v>
      </c>
      <c r="L283" s="20">
        <f>IF($I283="Vencida","PAGAR JÁ (multa e juros)",IF($I283="Vence hoje","Pagar hoje",IF($I283="Vence em breve","Programar pagamento","")))</f>
        <v>0</v>
      </c>
    </row>
    <row r="284" spans="1:12">
      <c r="A284" s="13"/>
      <c r="B284" s="13"/>
      <c r="C284" s="13"/>
      <c r="D284" s="17"/>
      <c r="E284" s="18"/>
      <c r="F284" s="17"/>
      <c r="G284" s="18"/>
      <c r="H284" s="13"/>
      <c r="I284" s="19">
        <f>IF($E284="","",IF($K284&lt;=0.005,"Pago",IF($D284="","Sem vencimento",IF($D284&lt;Hoje,"Vencida",IF($D284=Hoje,"Vence hoje",IF($D284-Hoje&lt;=DiasAlerta,"Vence em breve","A vencer"))))))</f>
        <v>0</v>
      </c>
      <c r="J284" s="20">
        <f>IF(OR($E284="",$D284=""),"",IF($K284&lt;=0.005,"",$D284-Hoje))</f>
        <v>0</v>
      </c>
      <c r="K284" s="21">
        <f>IF($E284="","",MAX(0,$E284-N($G284)))</f>
        <v>0</v>
      </c>
      <c r="L284" s="20">
        <f>IF($I284="Vencida","PAGAR JÁ (multa e juros)",IF($I284="Vence hoje","Pagar hoje",IF($I284="Vence em breve","Programar pagamento","")))</f>
        <v>0</v>
      </c>
    </row>
    <row r="285" spans="1:12">
      <c r="A285" s="13"/>
      <c r="B285" s="13"/>
      <c r="C285" s="13"/>
      <c r="D285" s="17"/>
      <c r="E285" s="18"/>
      <c r="F285" s="17"/>
      <c r="G285" s="18"/>
      <c r="H285" s="13"/>
      <c r="I285" s="19">
        <f>IF($E285="","",IF($K285&lt;=0.005,"Pago",IF($D285="","Sem vencimento",IF($D285&lt;Hoje,"Vencida",IF($D285=Hoje,"Vence hoje",IF($D285-Hoje&lt;=DiasAlerta,"Vence em breve","A vencer"))))))</f>
        <v>0</v>
      </c>
      <c r="J285" s="20">
        <f>IF(OR($E285="",$D285=""),"",IF($K285&lt;=0.005,"",$D285-Hoje))</f>
        <v>0</v>
      </c>
      <c r="K285" s="21">
        <f>IF($E285="","",MAX(0,$E285-N($G285)))</f>
        <v>0</v>
      </c>
      <c r="L285" s="20">
        <f>IF($I285="Vencida","PAGAR JÁ (multa e juros)",IF($I285="Vence hoje","Pagar hoje",IF($I285="Vence em breve","Programar pagamento","")))</f>
        <v>0</v>
      </c>
    </row>
    <row r="286" spans="1:12">
      <c r="A286" s="13"/>
      <c r="B286" s="13"/>
      <c r="C286" s="13"/>
      <c r="D286" s="17"/>
      <c r="E286" s="18"/>
      <c r="F286" s="17"/>
      <c r="G286" s="18"/>
      <c r="H286" s="13"/>
      <c r="I286" s="19">
        <f>IF($E286="","",IF($K286&lt;=0.005,"Pago",IF($D286="","Sem vencimento",IF($D286&lt;Hoje,"Vencida",IF($D286=Hoje,"Vence hoje",IF($D286-Hoje&lt;=DiasAlerta,"Vence em breve","A vencer"))))))</f>
        <v>0</v>
      </c>
      <c r="J286" s="20">
        <f>IF(OR($E286="",$D286=""),"",IF($K286&lt;=0.005,"",$D286-Hoje))</f>
        <v>0</v>
      </c>
      <c r="K286" s="21">
        <f>IF($E286="","",MAX(0,$E286-N($G286)))</f>
        <v>0</v>
      </c>
      <c r="L286" s="20">
        <f>IF($I286="Vencida","PAGAR JÁ (multa e juros)",IF($I286="Vence hoje","Pagar hoje",IF($I286="Vence em breve","Programar pagamento","")))</f>
        <v>0</v>
      </c>
    </row>
    <row r="287" spans="1:12">
      <c r="A287" s="13"/>
      <c r="B287" s="13"/>
      <c r="C287" s="13"/>
      <c r="D287" s="17"/>
      <c r="E287" s="18"/>
      <c r="F287" s="17"/>
      <c r="G287" s="18"/>
      <c r="H287" s="13"/>
      <c r="I287" s="19">
        <f>IF($E287="","",IF($K287&lt;=0.005,"Pago",IF($D287="","Sem vencimento",IF($D287&lt;Hoje,"Vencida",IF($D287=Hoje,"Vence hoje",IF($D287-Hoje&lt;=DiasAlerta,"Vence em breve","A vencer"))))))</f>
        <v>0</v>
      </c>
      <c r="J287" s="20">
        <f>IF(OR($E287="",$D287=""),"",IF($K287&lt;=0.005,"",$D287-Hoje))</f>
        <v>0</v>
      </c>
      <c r="K287" s="21">
        <f>IF($E287="","",MAX(0,$E287-N($G287)))</f>
        <v>0</v>
      </c>
      <c r="L287" s="20">
        <f>IF($I287="Vencida","PAGAR JÁ (multa e juros)",IF($I287="Vence hoje","Pagar hoje",IF($I287="Vence em breve","Programar pagamento","")))</f>
        <v>0</v>
      </c>
    </row>
    <row r="288" spans="1:12">
      <c r="A288" s="13"/>
      <c r="B288" s="13"/>
      <c r="C288" s="13"/>
      <c r="D288" s="17"/>
      <c r="E288" s="18"/>
      <c r="F288" s="17"/>
      <c r="G288" s="18"/>
      <c r="H288" s="13"/>
      <c r="I288" s="19">
        <f>IF($E288="","",IF($K288&lt;=0.005,"Pago",IF($D288="","Sem vencimento",IF($D288&lt;Hoje,"Vencida",IF($D288=Hoje,"Vence hoje",IF($D288-Hoje&lt;=DiasAlerta,"Vence em breve","A vencer"))))))</f>
        <v>0</v>
      </c>
      <c r="J288" s="20">
        <f>IF(OR($E288="",$D288=""),"",IF($K288&lt;=0.005,"",$D288-Hoje))</f>
        <v>0</v>
      </c>
      <c r="K288" s="21">
        <f>IF($E288="","",MAX(0,$E288-N($G288)))</f>
        <v>0</v>
      </c>
      <c r="L288" s="20">
        <f>IF($I288="Vencida","PAGAR JÁ (multa e juros)",IF($I288="Vence hoje","Pagar hoje",IF($I288="Vence em breve","Programar pagamento","")))</f>
        <v>0</v>
      </c>
    </row>
    <row r="289" spans="1:12">
      <c r="A289" s="13"/>
      <c r="B289" s="13"/>
      <c r="C289" s="13"/>
      <c r="D289" s="17"/>
      <c r="E289" s="18"/>
      <c r="F289" s="17"/>
      <c r="G289" s="18"/>
      <c r="H289" s="13"/>
      <c r="I289" s="19">
        <f>IF($E289="","",IF($K289&lt;=0.005,"Pago",IF($D289="","Sem vencimento",IF($D289&lt;Hoje,"Vencida",IF($D289=Hoje,"Vence hoje",IF($D289-Hoje&lt;=DiasAlerta,"Vence em breve","A vencer"))))))</f>
        <v>0</v>
      </c>
      <c r="J289" s="20">
        <f>IF(OR($E289="",$D289=""),"",IF($K289&lt;=0.005,"",$D289-Hoje))</f>
        <v>0</v>
      </c>
      <c r="K289" s="21">
        <f>IF($E289="","",MAX(0,$E289-N($G289)))</f>
        <v>0</v>
      </c>
      <c r="L289" s="20">
        <f>IF($I289="Vencida","PAGAR JÁ (multa e juros)",IF($I289="Vence hoje","Pagar hoje",IF($I289="Vence em breve","Programar pagamento","")))</f>
        <v>0</v>
      </c>
    </row>
    <row r="290" spans="1:12">
      <c r="A290" s="13"/>
      <c r="B290" s="13"/>
      <c r="C290" s="13"/>
      <c r="D290" s="17"/>
      <c r="E290" s="18"/>
      <c r="F290" s="17"/>
      <c r="G290" s="18"/>
      <c r="H290" s="13"/>
      <c r="I290" s="19">
        <f>IF($E290="","",IF($K290&lt;=0.005,"Pago",IF($D290="","Sem vencimento",IF($D290&lt;Hoje,"Vencida",IF($D290=Hoje,"Vence hoje",IF($D290-Hoje&lt;=DiasAlerta,"Vence em breve","A vencer"))))))</f>
        <v>0</v>
      </c>
      <c r="J290" s="20">
        <f>IF(OR($E290="",$D290=""),"",IF($K290&lt;=0.005,"",$D290-Hoje))</f>
        <v>0</v>
      </c>
      <c r="K290" s="21">
        <f>IF($E290="","",MAX(0,$E290-N($G290)))</f>
        <v>0</v>
      </c>
      <c r="L290" s="20">
        <f>IF($I290="Vencida","PAGAR JÁ (multa e juros)",IF($I290="Vence hoje","Pagar hoje",IF($I290="Vence em breve","Programar pagamento","")))</f>
        <v>0</v>
      </c>
    </row>
    <row r="291" spans="1:12">
      <c r="A291" s="13"/>
      <c r="B291" s="13"/>
      <c r="C291" s="13"/>
      <c r="D291" s="17"/>
      <c r="E291" s="18"/>
      <c r="F291" s="17"/>
      <c r="G291" s="18"/>
      <c r="H291" s="13"/>
      <c r="I291" s="19">
        <f>IF($E291="","",IF($K291&lt;=0.005,"Pago",IF($D291="","Sem vencimento",IF($D291&lt;Hoje,"Vencida",IF($D291=Hoje,"Vence hoje",IF($D291-Hoje&lt;=DiasAlerta,"Vence em breve","A vencer"))))))</f>
        <v>0</v>
      </c>
      <c r="J291" s="20">
        <f>IF(OR($E291="",$D291=""),"",IF($K291&lt;=0.005,"",$D291-Hoje))</f>
        <v>0</v>
      </c>
      <c r="K291" s="21">
        <f>IF($E291="","",MAX(0,$E291-N($G291)))</f>
        <v>0</v>
      </c>
      <c r="L291" s="20">
        <f>IF($I291="Vencida","PAGAR JÁ (multa e juros)",IF($I291="Vence hoje","Pagar hoje",IF($I291="Vence em breve","Programar pagamento","")))</f>
        <v>0</v>
      </c>
    </row>
    <row r="292" spans="1:12">
      <c r="A292" s="13"/>
      <c r="B292" s="13"/>
      <c r="C292" s="13"/>
      <c r="D292" s="17"/>
      <c r="E292" s="18"/>
      <c r="F292" s="17"/>
      <c r="G292" s="18"/>
      <c r="H292" s="13"/>
      <c r="I292" s="19">
        <f>IF($E292="","",IF($K292&lt;=0.005,"Pago",IF($D292="","Sem vencimento",IF($D292&lt;Hoje,"Vencida",IF($D292=Hoje,"Vence hoje",IF($D292-Hoje&lt;=DiasAlerta,"Vence em breve","A vencer"))))))</f>
        <v>0</v>
      </c>
      <c r="J292" s="20">
        <f>IF(OR($E292="",$D292=""),"",IF($K292&lt;=0.005,"",$D292-Hoje))</f>
        <v>0</v>
      </c>
      <c r="K292" s="21">
        <f>IF($E292="","",MAX(0,$E292-N($G292)))</f>
        <v>0</v>
      </c>
      <c r="L292" s="20">
        <f>IF($I292="Vencida","PAGAR JÁ (multa e juros)",IF($I292="Vence hoje","Pagar hoje",IF($I292="Vence em breve","Programar pagamento","")))</f>
        <v>0</v>
      </c>
    </row>
    <row r="293" spans="1:12">
      <c r="A293" s="13"/>
      <c r="B293" s="13"/>
      <c r="C293" s="13"/>
      <c r="D293" s="17"/>
      <c r="E293" s="18"/>
      <c r="F293" s="17"/>
      <c r="G293" s="18"/>
      <c r="H293" s="13"/>
      <c r="I293" s="19">
        <f>IF($E293="","",IF($K293&lt;=0.005,"Pago",IF($D293="","Sem vencimento",IF($D293&lt;Hoje,"Vencida",IF($D293=Hoje,"Vence hoje",IF($D293-Hoje&lt;=DiasAlerta,"Vence em breve","A vencer"))))))</f>
        <v>0</v>
      </c>
      <c r="J293" s="20">
        <f>IF(OR($E293="",$D293=""),"",IF($K293&lt;=0.005,"",$D293-Hoje))</f>
        <v>0</v>
      </c>
      <c r="K293" s="21">
        <f>IF($E293="","",MAX(0,$E293-N($G293)))</f>
        <v>0</v>
      </c>
      <c r="L293" s="20">
        <f>IF($I293="Vencida","PAGAR JÁ (multa e juros)",IF($I293="Vence hoje","Pagar hoje",IF($I293="Vence em breve","Programar pagamento","")))</f>
        <v>0</v>
      </c>
    </row>
    <row r="294" spans="1:12">
      <c r="A294" s="13"/>
      <c r="B294" s="13"/>
      <c r="C294" s="13"/>
      <c r="D294" s="17"/>
      <c r="E294" s="18"/>
      <c r="F294" s="17"/>
      <c r="G294" s="18"/>
      <c r="H294" s="13"/>
      <c r="I294" s="19">
        <f>IF($E294="","",IF($K294&lt;=0.005,"Pago",IF($D294="","Sem vencimento",IF($D294&lt;Hoje,"Vencida",IF($D294=Hoje,"Vence hoje",IF($D294-Hoje&lt;=DiasAlerta,"Vence em breve","A vencer"))))))</f>
        <v>0</v>
      </c>
      <c r="J294" s="20">
        <f>IF(OR($E294="",$D294=""),"",IF($K294&lt;=0.005,"",$D294-Hoje))</f>
        <v>0</v>
      </c>
      <c r="K294" s="21">
        <f>IF($E294="","",MAX(0,$E294-N($G294)))</f>
        <v>0</v>
      </c>
      <c r="L294" s="20">
        <f>IF($I294="Vencida","PAGAR JÁ (multa e juros)",IF($I294="Vence hoje","Pagar hoje",IF($I294="Vence em breve","Programar pagamento","")))</f>
        <v>0</v>
      </c>
    </row>
    <row r="295" spans="1:12">
      <c r="A295" s="13"/>
      <c r="B295" s="13"/>
      <c r="C295" s="13"/>
      <c r="D295" s="17"/>
      <c r="E295" s="18"/>
      <c r="F295" s="17"/>
      <c r="G295" s="18"/>
      <c r="H295" s="13"/>
      <c r="I295" s="19">
        <f>IF($E295="","",IF($K295&lt;=0.005,"Pago",IF($D295="","Sem vencimento",IF($D295&lt;Hoje,"Vencida",IF($D295=Hoje,"Vence hoje",IF($D295-Hoje&lt;=DiasAlerta,"Vence em breve","A vencer"))))))</f>
        <v>0</v>
      </c>
      <c r="J295" s="20">
        <f>IF(OR($E295="",$D295=""),"",IF($K295&lt;=0.005,"",$D295-Hoje))</f>
        <v>0</v>
      </c>
      <c r="K295" s="21">
        <f>IF($E295="","",MAX(0,$E295-N($G295)))</f>
        <v>0</v>
      </c>
      <c r="L295" s="20">
        <f>IF($I295="Vencida","PAGAR JÁ (multa e juros)",IF($I295="Vence hoje","Pagar hoje",IF($I295="Vence em breve","Programar pagamento","")))</f>
        <v>0</v>
      </c>
    </row>
    <row r="296" spans="1:12">
      <c r="A296" s="13"/>
      <c r="B296" s="13"/>
      <c r="C296" s="13"/>
      <c r="D296" s="17"/>
      <c r="E296" s="18"/>
      <c r="F296" s="17"/>
      <c r="G296" s="18"/>
      <c r="H296" s="13"/>
      <c r="I296" s="19">
        <f>IF($E296="","",IF($K296&lt;=0.005,"Pago",IF($D296="","Sem vencimento",IF($D296&lt;Hoje,"Vencida",IF($D296=Hoje,"Vence hoje",IF($D296-Hoje&lt;=DiasAlerta,"Vence em breve","A vencer"))))))</f>
        <v>0</v>
      </c>
      <c r="J296" s="20">
        <f>IF(OR($E296="",$D296=""),"",IF($K296&lt;=0.005,"",$D296-Hoje))</f>
        <v>0</v>
      </c>
      <c r="K296" s="21">
        <f>IF($E296="","",MAX(0,$E296-N($G296)))</f>
        <v>0</v>
      </c>
      <c r="L296" s="20">
        <f>IF($I296="Vencida","PAGAR JÁ (multa e juros)",IF($I296="Vence hoje","Pagar hoje",IF($I296="Vence em breve","Programar pagamento","")))</f>
        <v>0</v>
      </c>
    </row>
    <row r="297" spans="1:12">
      <c r="A297" s="13"/>
      <c r="B297" s="13"/>
      <c r="C297" s="13"/>
      <c r="D297" s="17"/>
      <c r="E297" s="18"/>
      <c r="F297" s="17"/>
      <c r="G297" s="18"/>
      <c r="H297" s="13"/>
      <c r="I297" s="19">
        <f>IF($E297="","",IF($K297&lt;=0.005,"Pago",IF($D297="","Sem vencimento",IF($D297&lt;Hoje,"Vencida",IF($D297=Hoje,"Vence hoje",IF($D297-Hoje&lt;=DiasAlerta,"Vence em breve","A vencer"))))))</f>
        <v>0</v>
      </c>
      <c r="J297" s="20">
        <f>IF(OR($E297="",$D297=""),"",IF($K297&lt;=0.005,"",$D297-Hoje))</f>
        <v>0</v>
      </c>
      <c r="K297" s="21">
        <f>IF($E297="","",MAX(0,$E297-N($G297)))</f>
        <v>0</v>
      </c>
      <c r="L297" s="20">
        <f>IF($I297="Vencida","PAGAR JÁ (multa e juros)",IF($I297="Vence hoje","Pagar hoje",IF($I297="Vence em breve","Programar pagamento","")))</f>
        <v>0</v>
      </c>
    </row>
    <row r="298" spans="1:12">
      <c r="A298" s="13"/>
      <c r="B298" s="13"/>
      <c r="C298" s="13"/>
      <c r="D298" s="17"/>
      <c r="E298" s="18"/>
      <c r="F298" s="17"/>
      <c r="G298" s="18"/>
      <c r="H298" s="13"/>
      <c r="I298" s="19">
        <f>IF($E298="","",IF($K298&lt;=0.005,"Pago",IF($D298="","Sem vencimento",IF($D298&lt;Hoje,"Vencida",IF($D298=Hoje,"Vence hoje",IF($D298-Hoje&lt;=DiasAlerta,"Vence em breve","A vencer"))))))</f>
        <v>0</v>
      </c>
      <c r="J298" s="20">
        <f>IF(OR($E298="",$D298=""),"",IF($K298&lt;=0.005,"",$D298-Hoje))</f>
        <v>0</v>
      </c>
      <c r="K298" s="21">
        <f>IF($E298="","",MAX(0,$E298-N($G298)))</f>
        <v>0</v>
      </c>
      <c r="L298" s="20">
        <f>IF($I298="Vencida","PAGAR JÁ (multa e juros)",IF($I298="Vence hoje","Pagar hoje",IF($I298="Vence em breve","Programar pagamento","")))</f>
        <v>0</v>
      </c>
    </row>
    <row r="299" spans="1:12">
      <c r="A299" s="13"/>
      <c r="B299" s="13"/>
      <c r="C299" s="13"/>
      <c r="D299" s="17"/>
      <c r="E299" s="18"/>
      <c r="F299" s="17"/>
      <c r="G299" s="18"/>
      <c r="H299" s="13"/>
      <c r="I299" s="19">
        <f>IF($E299="","",IF($K299&lt;=0.005,"Pago",IF($D299="","Sem vencimento",IF($D299&lt;Hoje,"Vencida",IF($D299=Hoje,"Vence hoje",IF($D299-Hoje&lt;=DiasAlerta,"Vence em breve","A vencer"))))))</f>
        <v>0</v>
      </c>
      <c r="J299" s="20">
        <f>IF(OR($E299="",$D299=""),"",IF($K299&lt;=0.005,"",$D299-Hoje))</f>
        <v>0</v>
      </c>
      <c r="K299" s="21">
        <f>IF($E299="","",MAX(0,$E299-N($G299)))</f>
        <v>0</v>
      </c>
      <c r="L299" s="20">
        <f>IF($I299="Vencida","PAGAR JÁ (multa e juros)",IF($I299="Vence hoje","Pagar hoje",IF($I299="Vence em breve","Programar pagamento","")))</f>
        <v>0</v>
      </c>
    </row>
    <row r="300" spans="1:12">
      <c r="A300" s="13"/>
      <c r="B300" s="13"/>
      <c r="C300" s="13"/>
      <c r="D300" s="17"/>
      <c r="E300" s="18"/>
      <c r="F300" s="17"/>
      <c r="G300" s="18"/>
      <c r="H300" s="13"/>
      <c r="I300" s="19">
        <f>IF($E300="","",IF($K300&lt;=0.005,"Pago",IF($D300="","Sem vencimento",IF($D300&lt;Hoje,"Vencida",IF($D300=Hoje,"Vence hoje",IF($D300-Hoje&lt;=DiasAlerta,"Vence em breve","A vencer"))))))</f>
        <v>0</v>
      </c>
      <c r="J300" s="20">
        <f>IF(OR($E300="",$D300=""),"",IF($K300&lt;=0.005,"",$D300-Hoje))</f>
        <v>0</v>
      </c>
      <c r="K300" s="21">
        <f>IF($E300="","",MAX(0,$E300-N($G300)))</f>
        <v>0</v>
      </c>
      <c r="L300" s="20">
        <f>IF($I300="Vencida","PAGAR JÁ (multa e juros)",IF($I300="Vence hoje","Pagar hoje",IF($I300="Vence em breve","Programar pagamento","")))</f>
        <v>0</v>
      </c>
    </row>
    <row r="301" spans="1:12">
      <c r="A301" s="13"/>
      <c r="B301" s="13"/>
      <c r="C301" s="13"/>
      <c r="D301" s="17"/>
      <c r="E301" s="18"/>
      <c r="F301" s="17"/>
      <c r="G301" s="18"/>
      <c r="H301" s="13"/>
      <c r="I301" s="19">
        <f>IF($E301="","",IF($K301&lt;=0.005,"Pago",IF($D301="","Sem vencimento",IF($D301&lt;Hoje,"Vencida",IF($D301=Hoje,"Vence hoje",IF($D301-Hoje&lt;=DiasAlerta,"Vence em breve","A vencer"))))))</f>
        <v>0</v>
      </c>
      <c r="J301" s="20">
        <f>IF(OR($E301="",$D301=""),"",IF($K301&lt;=0.005,"",$D301-Hoje))</f>
        <v>0</v>
      </c>
      <c r="K301" s="21">
        <f>IF($E301="","",MAX(0,$E301-N($G301)))</f>
        <v>0</v>
      </c>
      <c r="L301" s="20">
        <f>IF($I301="Vencida","PAGAR JÁ (multa e juros)",IF($I301="Vence hoje","Pagar hoje",IF($I301="Vence em breve","Programar pagamento","")))</f>
        <v>0</v>
      </c>
    </row>
    <row r="302" spans="1:12">
      <c r="A302" s="13"/>
      <c r="B302" s="13"/>
      <c r="C302" s="13"/>
      <c r="D302" s="17"/>
      <c r="E302" s="18"/>
      <c r="F302" s="17"/>
      <c r="G302" s="18"/>
      <c r="H302" s="13"/>
      <c r="I302" s="19">
        <f>IF($E302="","",IF($K302&lt;=0.005,"Pago",IF($D302="","Sem vencimento",IF($D302&lt;Hoje,"Vencida",IF($D302=Hoje,"Vence hoje",IF($D302-Hoje&lt;=DiasAlerta,"Vence em breve","A vencer"))))))</f>
        <v>0</v>
      </c>
      <c r="J302" s="20">
        <f>IF(OR($E302="",$D302=""),"",IF($K302&lt;=0.005,"",$D302-Hoje))</f>
        <v>0</v>
      </c>
      <c r="K302" s="21">
        <f>IF($E302="","",MAX(0,$E302-N($G302)))</f>
        <v>0</v>
      </c>
      <c r="L302" s="20">
        <f>IF($I302="Vencida","PAGAR JÁ (multa e juros)",IF($I302="Vence hoje","Pagar hoje",IF($I302="Vence em breve","Programar pagamento","")))</f>
        <v>0</v>
      </c>
    </row>
    <row r="303" spans="1:12">
      <c r="A303" s="13"/>
      <c r="B303" s="13"/>
      <c r="C303" s="13"/>
      <c r="D303" s="17"/>
      <c r="E303" s="18"/>
      <c r="F303" s="17"/>
      <c r="G303" s="18"/>
      <c r="H303" s="13"/>
      <c r="I303" s="19">
        <f>IF($E303="","",IF($K303&lt;=0.005,"Pago",IF($D303="","Sem vencimento",IF($D303&lt;Hoje,"Vencida",IF($D303=Hoje,"Vence hoje",IF($D303-Hoje&lt;=DiasAlerta,"Vence em breve","A vencer"))))))</f>
        <v>0</v>
      </c>
      <c r="J303" s="20">
        <f>IF(OR($E303="",$D303=""),"",IF($K303&lt;=0.005,"",$D303-Hoje))</f>
        <v>0</v>
      </c>
      <c r="K303" s="21">
        <f>IF($E303="","",MAX(0,$E303-N($G303)))</f>
        <v>0</v>
      </c>
      <c r="L303" s="20">
        <f>IF($I303="Vencida","PAGAR JÁ (multa e juros)",IF($I303="Vence hoje","Pagar hoje",IF($I303="Vence em breve","Programar pagamento","")))</f>
        <v>0</v>
      </c>
    </row>
    <row r="304" spans="1:12">
      <c r="A304" s="13"/>
      <c r="B304" s="13"/>
      <c r="C304" s="13"/>
      <c r="D304" s="17"/>
      <c r="E304" s="18"/>
      <c r="F304" s="17"/>
      <c r="G304" s="18"/>
      <c r="H304" s="13"/>
      <c r="I304" s="19">
        <f>IF($E304="","",IF($K304&lt;=0.005,"Pago",IF($D304="","Sem vencimento",IF($D304&lt;Hoje,"Vencida",IF($D304=Hoje,"Vence hoje",IF($D304-Hoje&lt;=DiasAlerta,"Vence em breve","A vencer"))))))</f>
        <v>0</v>
      </c>
      <c r="J304" s="20">
        <f>IF(OR($E304="",$D304=""),"",IF($K304&lt;=0.005,"",$D304-Hoje))</f>
        <v>0</v>
      </c>
      <c r="K304" s="21">
        <f>IF($E304="","",MAX(0,$E304-N($G304)))</f>
        <v>0</v>
      </c>
      <c r="L304" s="20">
        <f>IF($I304="Vencida","PAGAR JÁ (multa e juros)",IF($I304="Vence hoje","Pagar hoje",IF($I304="Vence em breve","Programar pagamento","")))</f>
        <v>0</v>
      </c>
    </row>
    <row r="305" spans="1:12">
      <c r="A305" s="13"/>
      <c r="B305" s="13"/>
      <c r="C305" s="13"/>
      <c r="D305" s="17"/>
      <c r="E305" s="18"/>
      <c r="F305" s="17"/>
      <c r="G305" s="18"/>
      <c r="H305" s="13"/>
      <c r="I305" s="19">
        <f>IF($E305="","",IF($K305&lt;=0.005,"Pago",IF($D305="","Sem vencimento",IF($D305&lt;Hoje,"Vencida",IF($D305=Hoje,"Vence hoje",IF($D305-Hoje&lt;=DiasAlerta,"Vence em breve","A vencer"))))))</f>
        <v>0</v>
      </c>
      <c r="J305" s="20">
        <f>IF(OR($E305="",$D305=""),"",IF($K305&lt;=0.005,"",$D305-Hoje))</f>
        <v>0</v>
      </c>
      <c r="K305" s="21">
        <f>IF($E305="","",MAX(0,$E305-N($G305)))</f>
        <v>0</v>
      </c>
      <c r="L305" s="20">
        <f>IF($I305="Vencida","PAGAR JÁ (multa e juros)",IF($I305="Vence hoje","Pagar hoje",IF($I305="Vence em breve","Programar pagamento","")))</f>
        <v>0</v>
      </c>
    </row>
    <row r="306" spans="1:12">
      <c r="A306" s="13"/>
      <c r="B306" s="13"/>
      <c r="C306" s="13"/>
      <c r="D306" s="17"/>
      <c r="E306" s="18"/>
      <c r="F306" s="17"/>
      <c r="G306" s="18"/>
      <c r="H306" s="13"/>
      <c r="I306" s="19">
        <f>IF($E306="","",IF($K306&lt;=0.005,"Pago",IF($D306="","Sem vencimento",IF($D306&lt;Hoje,"Vencida",IF($D306=Hoje,"Vence hoje",IF($D306-Hoje&lt;=DiasAlerta,"Vence em breve","A vencer"))))))</f>
        <v>0</v>
      </c>
      <c r="J306" s="20">
        <f>IF(OR($E306="",$D306=""),"",IF($K306&lt;=0.005,"",$D306-Hoje))</f>
        <v>0</v>
      </c>
      <c r="K306" s="21">
        <f>IF($E306="","",MAX(0,$E306-N($G306)))</f>
        <v>0</v>
      </c>
      <c r="L306" s="20">
        <f>IF($I306="Vencida","PAGAR JÁ (multa e juros)",IF($I306="Vence hoje","Pagar hoje",IF($I306="Vence em breve","Programar pagamento","")))</f>
        <v>0</v>
      </c>
    </row>
    <row r="307" spans="1:12">
      <c r="A307" s="13"/>
      <c r="B307" s="13"/>
      <c r="C307" s="13"/>
      <c r="D307" s="17"/>
      <c r="E307" s="18"/>
      <c r="F307" s="17"/>
      <c r="G307" s="18"/>
      <c r="H307" s="13"/>
      <c r="I307" s="19">
        <f>IF($E307="","",IF($K307&lt;=0.005,"Pago",IF($D307="","Sem vencimento",IF($D307&lt;Hoje,"Vencida",IF($D307=Hoje,"Vence hoje",IF($D307-Hoje&lt;=DiasAlerta,"Vence em breve","A vencer"))))))</f>
        <v>0</v>
      </c>
      <c r="J307" s="20">
        <f>IF(OR($E307="",$D307=""),"",IF($K307&lt;=0.005,"",$D307-Hoje))</f>
        <v>0</v>
      </c>
      <c r="K307" s="21">
        <f>IF($E307="","",MAX(0,$E307-N($G307)))</f>
        <v>0</v>
      </c>
      <c r="L307" s="20">
        <f>IF($I307="Vencida","PAGAR JÁ (multa e juros)",IF($I307="Vence hoje","Pagar hoje",IF($I307="Vence em breve","Programar pagamento","")))</f>
        <v>0</v>
      </c>
    </row>
    <row r="308" spans="1:12">
      <c r="A308" s="13"/>
      <c r="B308" s="13"/>
      <c r="C308" s="13"/>
      <c r="D308" s="17"/>
      <c r="E308" s="18"/>
      <c r="F308" s="17"/>
      <c r="G308" s="18"/>
      <c r="H308" s="13"/>
      <c r="I308" s="19">
        <f>IF($E308="","",IF($K308&lt;=0.005,"Pago",IF($D308="","Sem vencimento",IF($D308&lt;Hoje,"Vencida",IF($D308=Hoje,"Vence hoje",IF($D308-Hoje&lt;=DiasAlerta,"Vence em breve","A vencer"))))))</f>
        <v>0</v>
      </c>
      <c r="J308" s="20">
        <f>IF(OR($E308="",$D308=""),"",IF($K308&lt;=0.005,"",$D308-Hoje))</f>
        <v>0</v>
      </c>
      <c r="K308" s="21">
        <f>IF($E308="","",MAX(0,$E308-N($G308)))</f>
        <v>0</v>
      </c>
      <c r="L308" s="20">
        <f>IF($I308="Vencida","PAGAR JÁ (multa e juros)",IF($I308="Vence hoje","Pagar hoje",IF($I308="Vence em breve","Programar pagamento","")))</f>
        <v>0</v>
      </c>
    </row>
    <row r="309" spans="1:12">
      <c r="A309" s="13"/>
      <c r="B309" s="13"/>
      <c r="C309" s="13"/>
      <c r="D309" s="17"/>
      <c r="E309" s="18"/>
      <c r="F309" s="17"/>
      <c r="G309" s="18"/>
      <c r="H309" s="13"/>
      <c r="I309" s="19">
        <f>IF($E309="","",IF($K309&lt;=0.005,"Pago",IF($D309="","Sem vencimento",IF($D309&lt;Hoje,"Vencida",IF($D309=Hoje,"Vence hoje",IF($D309-Hoje&lt;=DiasAlerta,"Vence em breve","A vencer"))))))</f>
        <v>0</v>
      </c>
      <c r="J309" s="20">
        <f>IF(OR($E309="",$D309=""),"",IF($K309&lt;=0.005,"",$D309-Hoje))</f>
        <v>0</v>
      </c>
      <c r="K309" s="21">
        <f>IF($E309="","",MAX(0,$E309-N($G309)))</f>
        <v>0</v>
      </c>
      <c r="L309" s="20">
        <f>IF($I309="Vencida","PAGAR JÁ (multa e juros)",IF($I309="Vence hoje","Pagar hoje",IF($I309="Vence em breve","Programar pagamento","")))</f>
        <v>0</v>
      </c>
    </row>
    <row r="310" spans="1:12">
      <c r="A310" s="13"/>
      <c r="B310" s="13"/>
      <c r="C310" s="13"/>
      <c r="D310" s="17"/>
      <c r="E310" s="18"/>
      <c r="F310" s="17"/>
      <c r="G310" s="18"/>
      <c r="H310" s="13"/>
      <c r="I310" s="19">
        <f>IF($E310="","",IF($K310&lt;=0.005,"Pago",IF($D310="","Sem vencimento",IF($D310&lt;Hoje,"Vencida",IF($D310=Hoje,"Vence hoje",IF($D310-Hoje&lt;=DiasAlerta,"Vence em breve","A vencer"))))))</f>
        <v>0</v>
      </c>
      <c r="J310" s="20">
        <f>IF(OR($E310="",$D310=""),"",IF($K310&lt;=0.005,"",$D310-Hoje))</f>
        <v>0</v>
      </c>
      <c r="K310" s="21">
        <f>IF($E310="","",MAX(0,$E310-N($G310)))</f>
        <v>0</v>
      </c>
      <c r="L310" s="20">
        <f>IF($I310="Vencida","PAGAR JÁ (multa e juros)",IF($I310="Vence hoje","Pagar hoje",IF($I310="Vence em breve","Programar pagamento","")))</f>
        <v>0</v>
      </c>
    </row>
    <row r="311" spans="1:12">
      <c r="A311" s="13"/>
      <c r="B311" s="13"/>
      <c r="C311" s="13"/>
      <c r="D311" s="17"/>
      <c r="E311" s="18"/>
      <c r="F311" s="17"/>
      <c r="G311" s="18"/>
      <c r="H311" s="13"/>
      <c r="I311" s="19">
        <f>IF($E311="","",IF($K311&lt;=0.005,"Pago",IF($D311="","Sem vencimento",IF($D311&lt;Hoje,"Vencida",IF($D311=Hoje,"Vence hoje",IF($D311-Hoje&lt;=DiasAlerta,"Vence em breve","A vencer"))))))</f>
        <v>0</v>
      </c>
      <c r="J311" s="20">
        <f>IF(OR($E311="",$D311=""),"",IF($K311&lt;=0.005,"",$D311-Hoje))</f>
        <v>0</v>
      </c>
      <c r="K311" s="21">
        <f>IF($E311="","",MAX(0,$E311-N($G311)))</f>
        <v>0</v>
      </c>
      <c r="L311" s="20">
        <f>IF($I311="Vencida","PAGAR JÁ (multa e juros)",IF($I311="Vence hoje","Pagar hoje",IF($I311="Vence em breve","Programar pagamento","")))</f>
        <v>0</v>
      </c>
    </row>
    <row r="312" spans="1:12">
      <c r="A312" s="13"/>
      <c r="B312" s="13"/>
      <c r="C312" s="13"/>
      <c r="D312" s="17"/>
      <c r="E312" s="18"/>
      <c r="F312" s="17"/>
      <c r="G312" s="18"/>
      <c r="H312" s="13"/>
      <c r="I312" s="19">
        <f>IF($E312="","",IF($K312&lt;=0.005,"Pago",IF($D312="","Sem vencimento",IF($D312&lt;Hoje,"Vencida",IF($D312=Hoje,"Vence hoje",IF($D312-Hoje&lt;=DiasAlerta,"Vence em breve","A vencer"))))))</f>
        <v>0</v>
      </c>
      <c r="J312" s="20">
        <f>IF(OR($E312="",$D312=""),"",IF($K312&lt;=0.005,"",$D312-Hoje))</f>
        <v>0</v>
      </c>
      <c r="K312" s="21">
        <f>IF($E312="","",MAX(0,$E312-N($G312)))</f>
        <v>0</v>
      </c>
      <c r="L312" s="20">
        <f>IF($I312="Vencida","PAGAR JÁ (multa e juros)",IF($I312="Vence hoje","Pagar hoje",IF($I312="Vence em breve","Programar pagamento","")))</f>
        <v>0</v>
      </c>
    </row>
    <row r="313" spans="1:12">
      <c r="A313" s="13"/>
      <c r="B313" s="13"/>
      <c r="C313" s="13"/>
      <c r="D313" s="17"/>
      <c r="E313" s="18"/>
      <c r="F313" s="17"/>
      <c r="G313" s="18"/>
      <c r="H313" s="13"/>
      <c r="I313" s="19">
        <f>IF($E313="","",IF($K313&lt;=0.005,"Pago",IF($D313="","Sem vencimento",IF($D313&lt;Hoje,"Vencida",IF($D313=Hoje,"Vence hoje",IF($D313-Hoje&lt;=DiasAlerta,"Vence em breve","A vencer"))))))</f>
        <v>0</v>
      </c>
      <c r="J313" s="20">
        <f>IF(OR($E313="",$D313=""),"",IF($K313&lt;=0.005,"",$D313-Hoje))</f>
        <v>0</v>
      </c>
      <c r="K313" s="21">
        <f>IF($E313="","",MAX(0,$E313-N($G313)))</f>
        <v>0</v>
      </c>
      <c r="L313" s="20">
        <f>IF($I313="Vencida","PAGAR JÁ (multa e juros)",IF($I313="Vence hoje","Pagar hoje",IF($I313="Vence em breve","Programar pagamento","")))</f>
        <v>0</v>
      </c>
    </row>
    <row r="314" spans="1:12">
      <c r="A314" s="13"/>
      <c r="B314" s="13"/>
      <c r="C314" s="13"/>
      <c r="D314" s="17"/>
      <c r="E314" s="18"/>
      <c r="F314" s="17"/>
      <c r="G314" s="18"/>
      <c r="H314" s="13"/>
      <c r="I314" s="19">
        <f>IF($E314="","",IF($K314&lt;=0.005,"Pago",IF($D314="","Sem vencimento",IF($D314&lt;Hoje,"Vencida",IF($D314=Hoje,"Vence hoje",IF($D314-Hoje&lt;=DiasAlerta,"Vence em breve","A vencer"))))))</f>
        <v>0</v>
      </c>
      <c r="J314" s="20">
        <f>IF(OR($E314="",$D314=""),"",IF($K314&lt;=0.005,"",$D314-Hoje))</f>
        <v>0</v>
      </c>
      <c r="K314" s="21">
        <f>IF($E314="","",MAX(0,$E314-N($G314)))</f>
        <v>0</v>
      </c>
      <c r="L314" s="20">
        <f>IF($I314="Vencida","PAGAR JÁ (multa e juros)",IF($I314="Vence hoje","Pagar hoje",IF($I314="Vence em breve","Programar pagamento","")))</f>
        <v>0</v>
      </c>
    </row>
    <row r="315" spans="1:12">
      <c r="A315" s="13"/>
      <c r="B315" s="13"/>
      <c r="C315" s="13"/>
      <c r="D315" s="17"/>
      <c r="E315" s="18"/>
      <c r="F315" s="17"/>
      <c r="G315" s="18"/>
      <c r="H315" s="13"/>
      <c r="I315" s="19">
        <f>IF($E315="","",IF($K315&lt;=0.005,"Pago",IF($D315="","Sem vencimento",IF($D315&lt;Hoje,"Vencida",IF($D315=Hoje,"Vence hoje",IF($D315-Hoje&lt;=DiasAlerta,"Vence em breve","A vencer"))))))</f>
        <v>0</v>
      </c>
      <c r="J315" s="20">
        <f>IF(OR($E315="",$D315=""),"",IF($K315&lt;=0.005,"",$D315-Hoje))</f>
        <v>0</v>
      </c>
      <c r="K315" s="21">
        <f>IF($E315="","",MAX(0,$E315-N($G315)))</f>
        <v>0</v>
      </c>
      <c r="L315" s="20">
        <f>IF($I315="Vencida","PAGAR JÁ (multa e juros)",IF($I315="Vence hoje","Pagar hoje",IF($I315="Vence em breve","Programar pagamento","")))</f>
        <v>0</v>
      </c>
    </row>
    <row r="316" spans="1:12">
      <c r="A316" s="13"/>
      <c r="B316" s="13"/>
      <c r="C316" s="13"/>
      <c r="D316" s="17"/>
      <c r="E316" s="18"/>
      <c r="F316" s="17"/>
      <c r="G316" s="18"/>
      <c r="H316" s="13"/>
      <c r="I316" s="19">
        <f>IF($E316="","",IF($K316&lt;=0.005,"Pago",IF($D316="","Sem vencimento",IF($D316&lt;Hoje,"Vencida",IF($D316=Hoje,"Vence hoje",IF($D316-Hoje&lt;=DiasAlerta,"Vence em breve","A vencer"))))))</f>
        <v>0</v>
      </c>
      <c r="J316" s="20">
        <f>IF(OR($E316="",$D316=""),"",IF($K316&lt;=0.005,"",$D316-Hoje))</f>
        <v>0</v>
      </c>
      <c r="K316" s="21">
        <f>IF($E316="","",MAX(0,$E316-N($G316)))</f>
        <v>0</v>
      </c>
      <c r="L316" s="20">
        <f>IF($I316="Vencida","PAGAR JÁ (multa e juros)",IF($I316="Vence hoje","Pagar hoje",IF($I316="Vence em breve","Programar pagamento","")))</f>
        <v>0</v>
      </c>
    </row>
    <row r="317" spans="1:12">
      <c r="A317" s="13"/>
      <c r="B317" s="13"/>
      <c r="C317" s="13"/>
      <c r="D317" s="17"/>
      <c r="E317" s="18"/>
      <c r="F317" s="17"/>
      <c r="G317" s="18"/>
      <c r="H317" s="13"/>
      <c r="I317" s="19">
        <f>IF($E317="","",IF($K317&lt;=0.005,"Pago",IF($D317="","Sem vencimento",IF($D317&lt;Hoje,"Vencida",IF($D317=Hoje,"Vence hoje",IF($D317-Hoje&lt;=DiasAlerta,"Vence em breve","A vencer"))))))</f>
        <v>0</v>
      </c>
      <c r="J317" s="20">
        <f>IF(OR($E317="",$D317=""),"",IF($K317&lt;=0.005,"",$D317-Hoje))</f>
        <v>0</v>
      </c>
      <c r="K317" s="21">
        <f>IF($E317="","",MAX(0,$E317-N($G317)))</f>
        <v>0</v>
      </c>
      <c r="L317" s="20">
        <f>IF($I317="Vencida","PAGAR JÁ (multa e juros)",IF($I317="Vence hoje","Pagar hoje",IF($I317="Vence em breve","Programar pagamento","")))</f>
        <v>0</v>
      </c>
    </row>
    <row r="318" spans="1:12">
      <c r="A318" s="13"/>
      <c r="B318" s="13"/>
      <c r="C318" s="13"/>
      <c r="D318" s="17"/>
      <c r="E318" s="18"/>
      <c r="F318" s="17"/>
      <c r="G318" s="18"/>
      <c r="H318" s="13"/>
      <c r="I318" s="19">
        <f>IF($E318="","",IF($K318&lt;=0.005,"Pago",IF($D318="","Sem vencimento",IF($D318&lt;Hoje,"Vencida",IF($D318=Hoje,"Vence hoje",IF($D318-Hoje&lt;=DiasAlerta,"Vence em breve","A vencer"))))))</f>
        <v>0</v>
      </c>
      <c r="J318" s="20">
        <f>IF(OR($E318="",$D318=""),"",IF($K318&lt;=0.005,"",$D318-Hoje))</f>
        <v>0</v>
      </c>
      <c r="K318" s="21">
        <f>IF($E318="","",MAX(0,$E318-N($G318)))</f>
        <v>0</v>
      </c>
      <c r="L318" s="20">
        <f>IF($I318="Vencida","PAGAR JÁ (multa e juros)",IF($I318="Vence hoje","Pagar hoje",IF($I318="Vence em breve","Programar pagamento","")))</f>
        <v>0</v>
      </c>
    </row>
    <row r="319" spans="1:12">
      <c r="A319" s="13"/>
      <c r="B319" s="13"/>
      <c r="C319" s="13"/>
      <c r="D319" s="17"/>
      <c r="E319" s="18"/>
      <c r="F319" s="17"/>
      <c r="G319" s="18"/>
      <c r="H319" s="13"/>
      <c r="I319" s="19">
        <f>IF($E319="","",IF($K319&lt;=0.005,"Pago",IF($D319="","Sem vencimento",IF($D319&lt;Hoje,"Vencida",IF($D319=Hoje,"Vence hoje",IF($D319-Hoje&lt;=DiasAlerta,"Vence em breve","A vencer"))))))</f>
        <v>0</v>
      </c>
      <c r="J319" s="20">
        <f>IF(OR($E319="",$D319=""),"",IF($K319&lt;=0.005,"",$D319-Hoje))</f>
        <v>0</v>
      </c>
      <c r="K319" s="21">
        <f>IF($E319="","",MAX(0,$E319-N($G319)))</f>
        <v>0</v>
      </c>
      <c r="L319" s="20">
        <f>IF($I319="Vencida","PAGAR JÁ (multa e juros)",IF($I319="Vence hoje","Pagar hoje",IF($I319="Vence em breve","Programar pagamento","")))</f>
        <v>0</v>
      </c>
    </row>
    <row r="320" spans="1:12">
      <c r="A320" s="13"/>
      <c r="B320" s="13"/>
      <c r="C320" s="13"/>
      <c r="D320" s="17"/>
      <c r="E320" s="18"/>
      <c r="F320" s="17"/>
      <c r="G320" s="18"/>
      <c r="H320" s="13"/>
      <c r="I320" s="19">
        <f>IF($E320="","",IF($K320&lt;=0.005,"Pago",IF($D320="","Sem vencimento",IF($D320&lt;Hoje,"Vencida",IF($D320=Hoje,"Vence hoje",IF($D320-Hoje&lt;=DiasAlerta,"Vence em breve","A vencer"))))))</f>
        <v>0</v>
      </c>
      <c r="J320" s="20">
        <f>IF(OR($E320="",$D320=""),"",IF($K320&lt;=0.005,"",$D320-Hoje))</f>
        <v>0</v>
      </c>
      <c r="K320" s="21">
        <f>IF($E320="","",MAX(0,$E320-N($G320)))</f>
        <v>0</v>
      </c>
      <c r="L320" s="20">
        <f>IF($I320="Vencida","PAGAR JÁ (multa e juros)",IF($I320="Vence hoje","Pagar hoje",IF($I320="Vence em breve","Programar pagamento","")))</f>
        <v>0</v>
      </c>
    </row>
    <row r="321" spans="1:12">
      <c r="A321" s="13"/>
      <c r="B321" s="13"/>
      <c r="C321" s="13"/>
      <c r="D321" s="17"/>
      <c r="E321" s="18"/>
      <c r="F321" s="17"/>
      <c r="G321" s="18"/>
      <c r="H321" s="13"/>
      <c r="I321" s="19">
        <f>IF($E321="","",IF($K321&lt;=0.005,"Pago",IF($D321="","Sem vencimento",IF($D321&lt;Hoje,"Vencida",IF($D321=Hoje,"Vence hoje",IF($D321-Hoje&lt;=DiasAlerta,"Vence em breve","A vencer"))))))</f>
        <v>0</v>
      </c>
      <c r="J321" s="20">
        <f>IF(OR($E321="",$D321=""),"",IF($K321&lt;=0.005,"",$D321-Hoje))</f>
        <v>0</v>
      </c>
      <c r="K321" s="21">
        <f>IF($E321="","",MAX(0,$E321-N($G321)))</f>
        <v>0</v>
      </c>
      <c r="L321" s="20">
        <f>IF($I321="Vencida","PAGAR JÁ (multa e juros)",IF($I321="Vence hoje","Pagar hoje",IF($I321="Vence em breve","Programar pagamento","")))</f>
        <v>0</v>
      </c>
    </row>
    <row r="322" spans="1:12">
      <c r="A322" s="13"/>
      <c r="B322" s="13"/>
      <c r="C322" s="13"/>
      <c r="D322" s="17"/>
      <c r="E322" s="18"/>
      <c r="F322" s="17"/>
      <c r="G322" s="18"/>
      <c r="H322" s="13"/>
      <c r="I322" s="19">
        <f>IF($E322="","",IF($K322&lt;=0.005,"Pago",IF($D322="","Sem vencimento",IF($D322&lt;Hoje,"Vencida",IF($D322=Hoje,"Vence hoje",IF($D322-Hoje&lt;=DiasAlerta,"Vence em breve","A vencer"))))))</f>
        <v>0</v>
      </c>
      <c r="J322" s="20">
        <f>IF(OR($E322="",$D322=""),"",IF($K322&lt;=0.005,"",$D322-Hoje))</f>
        <v>0</v>
      </c>
      <c r="K322" s="21">
        <f>IF($E322="","",MAX(0,$E322-N($G322)))</f>
        <v>0</v>
      </c>
      <c r="L322" s="20">
        <f>IF($I322="Vencida","PAGAR JÁ (multa e juros)",IF($I322="Vence hoje","Pagar hoje",IF($I322="Vence em breve","Programar pagamento","")))</f>
        <v>0</v>
      </c>
    </row>
    <row r="323" spans="1:12">
      <c r="A323" s="13"/>
      <c r="B323" s="13"/>
      <c r="C323" s="13"/>
      <c r="D323" s="17"/>
      <c r="E323" s="18"/>
      <c r="F323" s="17"/>
      <c r="G323" s="18"/>
      <c r="H323" s="13"/>
      <c r="I323" s="19">
        <f>IF($E323="","",IF($K323&lt;=0.005,"Pago",IF($D323="","Sem vencimento",IF($D323&lt;Hoje,"Vencida",IF($D323=Hoje,"Vence hoje",IF($D323-Hoje&lt;=DiasAlerta,"Vence em breve","A vencer"))))))</f>
        <v>0</v>
      </c>
      <c r="J323" s="20">
        <f>IF(OR($E323="",$D323=""),"",IF($K323&lt;=0.005,"",$D323-Hoje))</f>
        <v>0</v>
      </c>
      <c r="K323" s="21">
        <f>IF($E323="","",MAX(0,$E323-N($G323)))</f>
        <v>0</v>
      </c>
      <c r="L323" s="20">
        <f>IF($I323="Vencida","PAGAR JÁ (multa e juros)",IF($I323="Vence hoje","Pagar hoje",IF($I323="Vence em breve","Programar pagamento","")))</f>
        <v>0</v>
      </c>
    </row>
    <row r="324" spans="1:12">
      <c r="A324" s="13"/>
      <c r="B324" s="13"/>
      <c r="C324" s="13"/>
      <c r="D324" s="17"/>
      <c r="E324" s="18"/>
      <c r="F324" s="17"/>
      <c r="G324" s="18"/>
      <c r="H324" s="13"/>
      <c r="I324" s="19">
        <f>IF($E324="","",IF($K324&lt;=0.005,"Pago",IF($D324="","Sem vencimento",IF($D324&lt;Hoje,"Vencida",IF($D324=Hoje,"Vence hoje",IF($D324-Hoje&lt;=DiasAlerta,"Vence em breve","A vencer"))))))</f>
        <v>0</v>
      </c>
      <c r="J324" s="20">
        <f>IF(OR($E324="",$D324=""),"",IF($K324&lt;=0.005,"",$D324-Hoje))</f>
        <v>0</v>
      </c>
      <c r="K324" s="21">
        <f>IF($E324="","",MAX(0,$E324-N($G324)))</f>
        <v>0</v>
      </c>
      <c r="L324" s="20">
        <f>IF($I324="Vencida","PAGAR JÁ (multa e juros)",IF($I324="Vence hoje","Pagar hoje",IF($I324="Vence em breve","Programar pagamento","")))</f>
        <v>0</v>
      </c>
    </row>
    <row r="325" spans="1:12">
      <c r="A325" s="13"/>
      <c r="B325" s="13"/>
      <c r="C325" s="13"/>
      <c r="D325" s="17"/>
      <c r="E325" s="18"/>
      <c r="F325" s="17"/>
      <c r="G325" s="18"/>
      <c r="H325" s="13"/>
      <c r="I325" s="19">
        <f>IF($E325="","",IF($K325&lt;=0.005,"Pago",IF($D325="","Sem vencimento",IF($D325&lt;Hoje,"Vencida",IF($D325=Hoje,"Vence hoje",IF($D325-Hoje&lt;=DiasAlerta,"Vence em breve","A vencer"))))))</f>
        <v>0</v>
      </c>
      <c r="J325" s="20">
        <f>IF(OR($E325="",$D325=""),"",IF($K325&lt;=0.005,"",$D325-Hoje))</f>
        <v>0</v>
      </c>
      <c r="K325" s="21">
        <f>IF($E325="","",MAX(0,$E325-N($G325)))</f>
        <v>0</v>
      </c>
      <c r="L325" s="20">
        <f>IF($I325="Vencida","PAGAR JÁ (multa e juros)",IF($I325="Vence hoje","Pagar hoje",IF($I325="Vence em breve","Programar pagamento","")))</f>
        <v>0</v>
      </c>
    </row>
    <row r="326" spans="1:12">
      <c r="A326" s="13"/>
      <c r="B326" s="13"/>
      <c r="C326" s="13"/>
      <c r="D326" s="17"/>
      <c r="E326" s="18"/>
      <c r="F326" s="17"/>
      <c r="G326" s="18"/>
      <c r="H326" s="13"/>
      <c r="I326" s="19">
        <f>IF($E326="","",IF($K326&lt;=0.005,"Pago",IF($D326="","Sem vencimento",IF($D326&lt;Hoje,"Vencida",IF($D326=Hoje,"Vence hoje",IF($D326-Hoje&lt;=DiasAlerta,"Vence em breve","A vencer"))))))</f>
        <v>0</v>
      </c>
      <c r="J326" s="20">
        <f>IF(OR($E326="",$D326=""),"",IF($K326&lt;=0.005,"",$D326-Hoje))</f>
        <v>0</v>
      </c>
      <c r="K326" s="21">
        <f>IF($E326="","",MAX(0,$E326-N($G326)))</f>
        <v>0</v>
      </c>
      <c r="L326" s="20">
        <f>IF($I326="Vencida","PAGAR JÁ (multa e juros)",IF($I326="Vence hoje","Pagar hoje",IF($I326="Vence em breve","Programar pagamento","")))</f>
        <v>0</v>
      </c>
    </row>
    <row r="327" spans="1:12">
      <c r="A327" s="13"/>
      <c r="B327" s="13"/>
      <c r="C327" s="13"/>
      <c r="D327" s="17"/>
      <c r="E327" s="18"/>
      <c r="F327" s="17"/>
      <c r="G327" s="18"/>
      <c r="H327" s="13"/>
      <c r="I327" s="19">
        <f>IF($E327="","",IF($K327&lt;=0.005,"Pago",IF($D327="","Sem vencimento",IF($D327&lt;Hoje,"Vencida",IF($D327=Hoje,"Vence hoje",IF($D327-Hoje&lt;=DiasAlerta,"Vence em breve","A vencer"))))))</f>
        <v>0</v>
      </c>
      <c r="J327" s="20">
        <f>IF(OR($E327="",$D327=""),"",IF($K327&lt;=0.005,"",$D327-Hoje))</f>
        <v>0</v>
      </c>
      <c r="K327" s="21">
        <f>IF($E327="","",MAX(0,$E327-N($G327)))</f>
        <v>0</v>
      </c>
      <c r="L327" s="20">
        <f>IF($I327="Vencida","PAGAR JÁ (multa e juros)",IF($I327="Vence hoje","Pagar hoje",IF($I327="Vence em breve","Programar pagamento","")))</f>
        <v>0</v>
      </c>
    </row>
    <row r="328" spans="1:12">
      <c r="A328" s="13"/>
      <c r="B328" s="13"/>
      <c r="C328" s="13"/>
      <c r="D328" s="17"/>
      <c r="E328" s="18"/>
      <c r="F328" s="17"/>
      <c r="G328" s="18"/>
      <c r="H328" s="13"/>
      <c r="I328" s="19">
        <f>IF($E328="","",IF($K328&lt;=0.005,"Pago",IF($D328="","Sem vencimento",IF($D328&lt;Hoje,"Vencida",IF($D328=Hoje,"Vence hoje",IF($D328-Hoje&lt;=DiasAlerta,"Vence em breve","A vencer"))))))</f>
        <v>0</v>
      </c>
      <c r="J328" s="20">
        <f>IF(OR($E328="",$D328=""),"",IF($K328&lt;=0.005,"",$D328-Hoje))</f>
        <v>0</v>
      </c>
      <c r="K328" s="21">
        <f>IF($E328="","",MAX(0,$E328-N($G328)))</f>
        <v>0</v>
      </c>
      <c r="L328" s="20">
        <f>IF($I328="Vencida","PAGAR JÁ (multa e juros)",IF($I328="Vence hoje","Pagar hoje",IF($I328="Vence em breve","Programar pagamento","")))</f>
        <v>0</v>
      </c>
    </row>
    <row r="329" spans="1:12">
      <c r="A329" s="13"/>
      <c r="B329" s="13"/>
      <c r="C329" s="13"/>
      <c r="D329" s="17"/>
      <c r="E329" s="18"/>
      <c r="F329" s="17"/>
      <c r="G329" s="18"/>
      <c r="H329" s="13"/>
      <c r="I329" s="19">
        <f>IF($E329="","",IF($K329&lt;=0.005,"Pago",IF($D329="","Sem vencimento",IF($D329&lt;Hoje,"Vencida",IF($D329=Hoje,"Vence hoje",IF($D329-Hoje&lt;=DiasAlerta,"Vence em breve","A vencer"))))))</f>
        <v>0</v>
      </c>
      <c r="J329" s="20">
        <f>IF(OR($E329="",$D329=""),"",IF($K329&lt;=0.005,"",$D329-Hoje))</f>
        <v>0</v>
      </c>
      <c r="K329" s="21">
        <f>IF($E329="","",MAX(0,$E329-N($G329)))</f>
        <v>0</v>
      </c>
      <c r="L329" s="20">
        <f>IF($I329="Vencida","PAGAR JÁ (multa e juros)",IF($I329="Vence hoje","Pagar hoje",IF($I329="Vence em breve","Programar pagamento","")))</f>
        <v>0</v>
      </c>
    </row>
    <row r="330" spans="1:12">
      <c r="A330" s="13"/>
      <c r="B330" s="13"/>
      <c r="C330" s="13"/>
      <c r="D330" s="17"/>
      <c r="E330" s="18"/>
      <c r="F330" s="17"/>
      <c r="G330" s="18"/>
      <c r="H330" s="13"/>
      <c r="I330" s="19">
        <f>IF($E330="","",IF($K330&lt;=0.005,"Pago",IF($D330="","Sem vencimento",IF($D330&lt;Hoje,"Vencida",IF($D330=Hoje,"Vence hoje",IF($D330-Hoje&lt;=DiasAlerta,"Vence em breve","A vencer"))))))</f>
        <v>0</v>
      </c>
      <c r="J330" s="20">
        <f>IF(OR($E330="",$D330=""),"",IF($K330&lt;=0.005,"",$D330-Hoje))</f>
        <v>0</v>
      </c>
      <c r="K330" s="21">
        <f>IF($E330="","",MAX(0,$E330-N($G330)))</f>
        <v>0</v>
      </c>
      <c r="L330" s="20">
        <f>IF($I330="Vencida","PAGAR JÁ (multa e juros)",IF($I330="Vence hoje","Pagar hoje",IF($I330="Vence em breve","Programar pagamento","")))</f>
        <v>0</v>
      </c>
    </row>
    <row r="331" spans="1:12">
      <c r="A331" s="13"/>
      <c r="B331" s="13"/>
      <c r="C331" s="13"/>
      <c r="D331" s="17"/>
      <c r="E331" s="18"/>
      <c r="F331" s="17"/>
      <c r="G331" s="18"/>
      <c r="H331" s="13"/>
      <c r="I331" s="19">
        <f>IF($E331="","",IF($K331&lt;=0.005,"Pago",IF($D331="","Sem vencimento",IF($D331&lt;Hoje,"Vencida",IF($D331=Hoje,"Vence hoje",IF($D331-Hoje&lt;=DiasAlerta,"Vence em breve","A vencer"))))))</f>
        <v>0</v>
      </c>
      <c r="J331" s="20">
        <f>IF(OR($E331="",$D331=""),"",IF($K331&lt;=0.005,"",$D331-Hoje))</f>
        <v>0</v>
      </c>
      <c r="K331" s="21">
        <f>IF($E331="","",MAX(0,$E331-N($G331)))</f>
        <v>0</v>
      </c>
      <c r="L331" s="20">
        <f>IF($I331="Vencida","PAGAR JÁ (multa e juros)",IF($I331="Vence hoje","Pagar hoje",IF($I331="Vence em breve","Programar pagamento","")))</f>
        <v>0</v>
      </c>
    </row>
    <row r="332" spans="1:12">
      <c r="A332" s="13"/>
      <c r="B332" s="13"/>
      <c r="C332" s="13"/>
      <c r="D332" s="17"/>
      <c r="E332" s="18"/>
      <c r="F332" s="17"/>
      <c r="G332" s="18"/>
      <c r="H332" s="13"/>
      <c r="I332" s="19">
        <f>IF($E332="","",IF($K332&lt;=0.005,"Pago",IF($D332="","Sem vencimento",IF($D332&lt;Hoje,"Vencida",IF($D332=Hoje,"Vence hoje",IF($D332-Hoje&lt;=DiasAlerta,"Vence em breve","A vencer"))))))</f>
        <v>0</v>
      </c>
      <c r="J332" s="20">
        <f>IF(OR($E332="",$D332=""),"",IF($K332&lt;=0.005,"",$D332-Hoje))</f>
        <v>0</v>
      </c>
      <c r="K332" s="21">
        <f>IF($E332="","",MAX(0,$E332-N($G332)))</f>
        <v>0</v>
      </c>
      <c r="L332" s="20">
        <f>IF($I332="Vencida","PAGAR JÁ (multa e juros)",IF($I332="Vence hoje","Pagar hoje",IF($I332="Vence em breve","Programar pagamento","")))</f>
        <v>0</v>
      </c>
    </row>
    <row r="333" spans="1:12">
      <c r="A333" s="13"/>
      <c r="B333" s="13"/>
      <c r="C333" s="13"/>
      <c r="D333" s="17"/>
      <c r="E333" s="18"/>
      <c r="F333" s="17"/>
      <c r="G333" s="18"/>
      <c r="H333" s="13"/>
      <c r="I333" s="19">
        <f>IF($E333="","",IF($K333&lt;=0.005,"Pago",IF($D333="","Sem vencimento",IF($D333&lt;Hoje,"Vencida",IF($D333=Hoje,"Vence hoje",IF($D333-Hoje&lt;=DiasAlerta,"Vence em breve","A vencer"))))))</f>
        <v>0</v>
      </c>
      <c r="J333" s="20">
        <f>IF(OR($E333="",$D333=""),"",IF($K333&lt;=0.005,"",$D333-Hoje))</f>
        <v>0</v>
      </c>
      <c r="K333" s="21">
        <f>IF($E333="","",MAX(0,$E333-N($G333)))</f>
        <v>0</v>
      </c>
      <c r="L333" s="20">
        <f>IF($I333="Vencida","PAGAR JÁ (multa e juros)",IF($I333="Vence hoje","Pagar hoje",IF($I333="Vence em breve","Programar pagamento","")))</f>
        <v>0</v>
      </c>
    </row>
    <row r="334" spans="1:12">
      <c r="A334" s="13"/>
      <c r="B334" s="13"/>
      <c r="C334" s="13"/>
      <c r="D334" s="17"/>
      <c r="E334" s="18"/>
      <c r="F334" s="17"/>
      <c r="G334" s="18"/>
      <c r="H334" s="13"/>
      <c r="I334" s="19">
        <f>IF($E334="","",IF($K334&lt;=0.005,"Pago",IF($D334="","Sem vencimento",IF($D334&lt;Hoje,"Vencida",IF($D334=Hoje,"Vence hoje",IF($D334-Hoje&lt;=DiasAlerta,"Vence em breve","A vencer"))))))</f>
        <v>0</v>
      </c>
      <c r="J334" s="20">
        <f>IF(OR($E334="",$D334=""),"",IF($K334&lt;=0.005,"",$D334-Hoje))</f>
        <v>0</v>
      </c>
      <c r="K334" s="21">
        <f>IF($E334="","",MAX(0,$E334-N($G334)))</f>
        <v>0</v>
      </c>
      <c r="L334" s="20">
        <f>IF($I334="Vencida","PAGAR JÁ (multa e juros)",IF($I334="Vence hoje","Pagar hoje",IF($I334="Vence em breve","Programar pagamento","")))</f>
        <v>0</v>
      </c>
    </row>
    <row r="335" spans="1:12">
      <c r="A335" s="13"/>
      <c r="B335" s="13"/>
      <c r="C335" s="13"/>
      <c r="D335" s="17"/>
      <c r="E335" s="18"/>
      <c r="F335" s="17"/>
      <c r="G335" s="18"/>
      <c r="H335" s="13"/>
      <c r="I335" s="19">
        <f>IF($E335="","",IF($K335&lt;=0.005,"Pago",IF($D335="","Sem vencimento",IF($D335&lt;Hoje,"Vencida",IF($D335=Hoje,"Vence hoje",IF($D335-Hoje&lt;=DiasAlerta,"Vence em breve","A vencer"))))))</f>
        <v>0</v>
      </c>
      <c r="J335" s="20">
        <f>IF(OR($E335="",$D335=""),"",IF($K335&lt;=0.005,"",$D335-Hoje))</f>
        <v>0</v>
      </c>
      <c r="K335" s="21">
        <f>IF($E335="","",MAX(0,$E335-N($G335)))</f>
        <v>0</v>
      </c>
      <c r="L335" s="20">
        <f>IF($I335="Vencida","PAGAR JÁ (multa e juros)",IF($I335="Vence hoje","Pagar hoje",IF($I335="Vence em breve","Programar pagamento","")))</f>
        <v>0</v>
      </c>
    </row>
    <row r="336" spans="1:12">
      <c r="A336" s="13"/>
      <c r="B336" s="13"/>
      <c r="C336" s="13"/>
      <c r="D336" s="17"/>
      <c r="E336" s="18"/>
      <c r="F336" s="17"/>
      <c r="G336" s="18"/>
      <c r="H336" s="13"/>
      <c r="I336" s="19">
        <f>IF($E336="","",IF($K336&lt;=0.005,"Pago",IF($D336="","Sem vencimento",IF($D336&lt;Hoje,"Vencida",IF($D336=Hoje,"Vence hoje",IF($D336-Hoje&lt;=DiasAlerta,"Vence em breve","A vencer"))))))</f>
        <v>0</v>
      </c>
      <c r="J336" s="20">
        <f>IF(OR($E336="",$D336=""),"",IF($K336&lt;=0.005,"",$D336-Hoje))</f>
        <v>0</v>
      </c>
      <c r="K336" s="21">
        <f>IF($E336="","",MAX(0,$E336-N($G336)))</f>
        <v>0</v>
      </c>
      <c r="L336" s="20">
        <f>IF($I336="Vencida","PAGAR JÁ (multa e juros)",IF($I336="Vence hoje","Pagar hoje",IF($I336="Vence em breve","Programar pagamento","")))</f>
        <v>0</v>
      </c>
    </row>
    <row r="337" spans="1:12">
      <c r="A337" s="13"/>
      <c r="B337" s="13"/>
      <c r="C337" s="13"/>
      <c r="D337" s="17"/>
      <c r="E337" s="18"/>
      <c r="F337" s="17"/>
      <c r="G337" s="18"/>
      <c r="H337" s="13"/>
      <c r="I337" s="19">
        <f>IF($E337="","",IF($K337&lt;=0.005,"Pago",IF($D337="","Sem vencimento",IF($D337&lt;Hoje,"Vencida",IF($D337=Hoje,"Vence hoje",IF($D337-Hoje&lt;=DiasAlerta,"Vence em breve","A vencer"))))))</f>
        <v>0</v>
      </c>
      <c r="J337" s="20">
        <f>IF(OR($E337="",$D337=""),"",IF($K337&lt;=0.005,"",$D337-Hoje))</f>
        <v>0</v>
      </c>
      <c r="K337" s="21">
        <f>IF($E337="","",MAX(0,$E337-N($G337)))</f>
        <v>0</v>
      </c>
      <c r="L337" s="20">
        <f>IF($I337="Vencida","PAGAR JÁ (multa e juros)",IF($I337="Vence hoje","Pagar hoje",IF($I337="Vence em breve","Programar pagamento","")))</f>
        <v>0</v>
      </c>
    </row>
    <row r="338" spans="1:12">
      <c r="A338" s="13"/>
      <c r="B338" s="13"/>
      <c r="C338" s="13"/>
      <c r="D338" s="17"/>
      <c r="E338" s="18"/>
      <c r="F338" s="17"/>
      <c r="G338" s="18"/>
      <c r="H338" s="13"/>
      <c r="I338" s="19">
        <f>IF($E338="","",IF($K338&lt;=0.005,"Pago",IF($D338="","Sem vencimento",IF($D338&lt;Hoje,"Vencida",IF($D338=Hoje,"Vence hoje",IF($D338-Hoje&lt;=DiasAlerta,"Vence em breve","A vencer"))))))</f>
        <v>0</v>
      </c>
      <c r="J338" s="20">
        <f>IF(OR($E338="",$D338=""),"",IF($K338&lt;=0.005,"",$D338-Hoje))</f>
        <v>0</v>
      </c>
      <c r="K338" s="21">
        <f>IF($E338="","",MAX(0,$E338-N($G338)))</f>
        <v>0</v>
      </c>
      <c r="L338" s="20">
        <f>IF($I338="Vencida","PAGAR JÁ (multa e juros)",IF($I338="Vence hoje","Pagar hoje",IF($I338="Vence em breve","Programar pagamento","")))</f>
        <v>0</v>
      </c>
    </row>
    <row r="339" spans="1:12">
      <c r="A339" s="13"/>
      <c r="B339" s="13"/>
      <c r="C339" s="13"/>
      <c r="D339" s="17"/>
      <c r="E339" s="18"/>
      <c r="F339" s="17"/>
      <c r="G339" s="18"/>
      <c r="H339" s="13"/>
      <c r="I339" s="19">
        <f>IF($E339="","",IF($K339&lt;=0.005,"Pago",IF($D339="","Sem vencimento",IF($D339&lt;Hoje,"Vencida",IF($D339=Hoje,"Vence hoje",IF($D339-Hoje&lt;=DiasAlerta,"Vence em breve","A vencer"))))))</f>
        <v>0</v>
      </c>
      <c r="J339" s="20">
        <f>IF(OR($E339="",$D339=""),"",IF($K339&lt;=0.005,"",$D339-Hoje))</f>
        <v>0</v>
      </c>
      <c r="K339" s="21">
        <f>IF($E339="","",MAX(0,$E339-N($G339)))</f>
        <v>0</v>
      </c>
      <c r="L339" s="20">
        <f>IF($I339="Vencida","PAGAR JÁ (multa e juros)",IF($I339="Vence hoje","Pagar hoje",IF($I339="Vence em breve","Programar pagamento","")))</f>
        <v>0</v>
      </c>
    </row>
    <row r="340" spans="1:12">
      <c r="A340" s="13"/>
      <c r="B340" s="13"/>
      <c r="C340" s="13"/>
      <c r="D340" s="17"/>
      <c r="E340" s="18"/>
      <c r="F340" s="17"/>
      <c r="G340" s="18"/>
      <c r="H340" s="13"/>
      <c r="I340" s="19">
        <f>IF($E340="","",IF($K340&lt;=0.005,"Pago",IF($D340="","Sem vencimento",IF($D340&lt;Hoje,"Vencida",IF($D340=Hoje,"Vence hoje",IF($D340-Hoje&lt;=DiasAlerta,"Vence em breve","A vencer"))))))</f>
        <v>0</v>
      </c>
      <c r="J340" s="20">
        <f>IF(OR($E340="",$D340=""),"",IF($K340&lt;=0.005,"",$D340-Hoje))</f>
        <v>0</v>
      </c>
      <c r="K340" s="21">
        <f>IF($E340="","",MAX(0,$E340-N($G340)))</f>
        <v>0</v>
      </c>
      <c r="L340" s="20">
        <f>IF($I340="Vencida","PAGAR JÁ (multa e juros)",IF($I340="Vence hoje","Pagar hoje",IF($I340="Vence em breve","Programar pagamento","")))</f>
        <v>0</v>
      </c>
    </row>
    <row r="341" spans="1:12">
      <c r="A341" s="13"/>
      <c r="B341" s="13"/>
      <c r="C341" s="13"/>
      <c r="D341" s="17"/>
      <c r="E341" s="18"/>
      <c r="F341" s="17"/>
      <c r="G341" s="18"/>
      <c r="H341" s="13"/>
      <c r="I341" s="19">
        <f>IF($E341="","",IF($K341&lt;=0.005,"Pago",IF($D341="","Sem vencimento",IF($D341&lt;Hoje,"Vencida",IF($D341=Hoje,"Vence hoje",IF($D341-Hoje&lt;=DiasAlerta,"Vence em breve","A vencer"))))))</f>
        <v>0</v>
      </c>
      <c r="J341" s="20">
        <f>IF(OR($E341="",$D341=""),"",IF($K341&lt;=0.005,"",$D341-Hoje))</f>
        <v>0</v>
      </c>
      <c r="K341" s="21">
        <f>IF($E341="","",MAX(0,$E341-N($G341)))</f>
        <v>0</v>
      </c>
      <c r="L341" s="20">
        <f>IF($I341="Vencida","PAGAR JÁ (multa e juros)",IF($I341="Vence hoje","Pagar hoje",IF($I341="Vence em breve","Programar pagamento","")))</f>
        <v>0</v>
      </c>
    </row>
    <row r="342" spans="1:12">
      <c r="A342" s="13"/>
      <c r="B342" s="13"/>
      <c r="C342" s="13"/>
      <c r="D342" s="17"/>
      <c r="E342" s="18"/>
      <c r="F342" s="17"/>
      <c r="G342" s="18"/>
      <c r="H342" s="13"/>
      <c r="I342" s="19">
        <f>IF($E342="","",IF($K342&lt;=0.005,"Pago",IF($D342="","Sem vencimento",IF($D342&lt;Hoje,"Vencida",IF($D342=Hoje,"Vence hoje",IF($D342-Hoje&lt;=DiasAlerta,"Vence em breve","A vencer"))))))</f>
        <v>0</v>
      </c>
      <c r="J342" s="20">
        <f>IF(OR($E342="",$D342=""),"",IF($K342&lt;=0.005,"",$D342-Hoje))</f>
        <v>0</v>
      </c>
      <c r="K342" s="21">
        <f>IF($E342="","",MAX(0,$E342-N($G342)))</f>
        <v>0</v>
      </c>
      <c r="L342" s="20">
        <f>IF($I342="Vencida","PAGAR JÁ (multa e juros)",IF($I342="Vence hoje","Pagar hoje",IF($I342="Vence em breve","Programar pagamento","")))</f>
        <v>0</v>
      </c>
    </row>
    <row r="343" spans="1:12">
      <c r="A343" s="13"/>
      <c r="B343" s="13"/>
      <c r="C343" s="13"/>
      <c r="D343" s="17"/>
      <c r="E343" s="18"/>
      <c r="F343" s="17"/>
      <c r="G343" s="18"/>
      <c r="H343" s="13"/>
      <c r="I343" s="19">
        <f>IF($E343="","",IF($K343&lt;=0.005,"Pago",IF($D343="","Sem vencimento",IF($D343&lt;Hoje,"Vencida",IF($D343=Hoje,"Vence hoje",IF($D343-Hoje&lt;=DiasAlerta,"Vence em breve","A vencer"))))))</f>
        <v>0</v>
      </c>
      <c r="J343" s="20">
        <f>IF(OR($E343="",$D343=""),"",IF($K343&lt;=0.005,"",$D343-Hoje))</f>
        <v>0</v>
      </c>
      <c r="K343" s="21">
        <f>IF($E343="","",MAX(0,$E343-N($G343)))</f>
        <v>0</v>
      </c>
      <c r="L343" s="20">
        <f>IF($I343="Vencida","PAGAR JÁ (multa e juros)",IF($I343="Vence hoje","Pagar hoje",IF($I343="Vence em breve","Programar pagamento","")))</f>
        <v>0</v>
      </c>
    </row>
    <row r="344" spans="1:12">
      <c r="A344" s="13"/>
      <c r="B344" s="13"/>
      <c r="C344" s="13"/>
      <c r="D344" s="17"/>
      <c r="E344" s="18"/>
      <c r="F344" s="17"/>
      <c r="G344" s="18"/>
      <c r="H344" s="13"/>
      <c r="I344" s="19">
        <f>IF($E344="","",IF($K344&lt;=0.005,"Pago",IF($D344="","Sem vencimento",IF($D344&lt;Hoje,"Vencida",IF($D344=Hoje,"Vence hoje",IF($D344-Hoje&lt;=DiasAlerta,"Vence em breve","A vencer"))))))</f>
        <v>0</v>
      </c>
      <c r="J344" s="20">
        <f>IF(OR($E344="",$D344=""),"",IF($K344&lt;=0.005,"",$D344-Hoje))</f>
        <v>0</v>
      </c>
      <c r="K344" s="21">
        <f>IF($E344="","",MAX(0,$E344-N($G344)))</f>
        <v>0</v>
      </c>
      <c r="L344" s="20">
        <f>IF($I344="Vencida","PAGAR JÁ (multa e juros)",IF($I344="Vence hoje","Pagar hoje",IF($I344="Vence em breve","Programar pagamento","")))</f>
        <v>0</v>
      </c>
    </row>
    <row r="345" spans="1:12">
      <c r="A345" s="13"/>
      <c r="B345" s="13"/>
      <c r="C345" s="13"/>
      <c r="D345" s="17"/>
      <c r="E345" s="18"/>
      <c r="F345" s="17"/>
      <c r="G345" s="18"/>
      <c r="H345" s="13"/>
      <c r="I345" s="19">
        <f>IF($E345="","",IF($K345&lt;=0.005,"Pago",IF($D345="","Sem vencimento",IF($D345&lt;Hoje,"Vencida",IF($D345=Hoje,"Vence hoje",IF($D345-Hoje&lt;=DiasAlerta,"Vence em breve","A vencer"))))))</f>
        <v>0</v>
      </c>
      <c r="J345" s="20">
        <f>IF(OR($E345="",$D345=""),"",IF($K345&lt;=0.005,"",$D345-Hoje))</f>
        <v>0</v>
      </c>
      <c r="K345" s="21">
        <f>IF($E345="","",MAX(0,$E345-N($G345)))</f>
        <v>0</v>
      </c>
      <c r="L345" s="20">
        <f>IF($I345="Vencida","PAGAR JÁ (multa e juros)",IF($I345="Vence hoje","Pagar hoje",IF($I345="Vence em breve","Programar pagamento","")))</f>
        <v>0</v>
      </c>
    </row>
    <row r="346" spans="1:12">
      <c r="A346" s="13"/>
      <c r="B346" s="13"/>
      <c r="C346" s="13"/>
      <c r="D346" s="17"/>
      <c r="E346" s="18"/>
      <c r="F346" s="17"/>
      <c r="G346" s="18"/>
      <c r="H346" s="13"/>
      <c r="I346" s="19">
        <f>IF($E346="","",IF($K346&lt;=0.005,"Pago",IF($D346="","Sem vencimento",IF($D346&lt;Hoje,"Vencida",IF($D346=Hoje,"Vence hoje",IF($D346-Hoje&lt;=DiasAlerta,"Vence em breve","A vencer"))))))</f>
        <v>0</v>
      </c>
      <c r="J346" s="20">
        <f>IF(OR($E346="",$D346=""),"",IF($K346&lt;=0.005,"",$D346-Hoje))</f>
        <v>0</v>
      </c>
      <c r="K346" s="21">
        <f>IF($E346="","",MAX(0,$E346-N($G346)))</f>
        <v>0</v>
      </c>
      <c r="L346" s="20">
        <f>IF($I346="Vencida","PAGAR JÁ (multa e juros)",IF($I346="Vence hoje","Pagar hoje",IF($I346="Vence em breve","Programar pagamento","")))</f>
        <v>0</v>
      </c>
    </row>
    <row r="347" spans="1:12">
      <c r="A347" s="13"/>
      <c r="B347" s="13"/>
      <c r="C347" s="13"/>
      <c r="D347" s="17"/>
      <c r="E347" s="18"/>
      <c r="F347" s="17"/>
      <c r="G347" s="18"/>
      <c r="H347" s="13"/>
      <c r="I347" s="19">
        <f>IF($E347="","",IF($K347&lt;=0.005,"Pago",IF($D347="","Sem vencimento",IF($D347&lt;Hoje,"Vencida",IF($D347=Hoje,"Vence hoje",IF($D347-Hoje&lt;=DiasAlerta,"Vence em breve","A vencer"))))))</f>
        <v>0</v>
      </c>
      <c r="J347" s="20">
        <f>IF(OR($E347="",$D347=""),"",IF($K347&lt;=0.005,"",$D347-Hoje))</f>
        <v>0</v>
      </c>
      <c r="K347" s="21">
        <f>IF($E347="","",MAX(0,$E347-N($G347)))</f>
        <v>0</v>
      </c>
      <c r="L347" s="20">
        <f>IF($I347="Vencida","PAGAR JÁ (multa e juros)",IF($I347="Vence hoje","Pagar hoje",IF($I347="Vence em breve","Programar pagamento","")))</f>
        <v>0</v>
      </c>
    </row>
    <row r="348" spans="1:12">
      <c r="A348" s="13"/>
      <c r="B348" s="13"/>
      <c r="C348" s="13"/>
      <c r="D348" s="17"/>
      <c r="E348" s="18"/>
      <c r="F348" s="17"/>
      <c r="G348" s="18"/>
      <c r="H348" s="13"/>
      <c r="I348" s="19">
        <f>IF($E348="","",IF($K348&lt;=0.005,"Pago",IF($D348="","Sem vencimento",IF($D348&lt;Hoje,"Vencida",IF($D348=Hoje,"Vence hoje",IF($D348-Hoje&lt;=DiasAlerta,"Vence em breve","A vencer"))))))</f>
        <v>0</v>
      </c>
      <c r="J348" s="20">
        <f>IF(OR($E348="",$D348=""),"",IF($K348&lt;=0.005,"",$D348-Hoje))</f>
        <v>0</v>
      </c>
      <c r="K348" s="21">
        <f>IF($E348="","",MAX(0,$E348-N($G348)))</f>
        <v>0</v>
      </c>
      <c r="L348" s="20">
        <f>IF($I348="Vencida","PAGAR JÁ (multa e juros)",IF($I348="Vence hoje","Pagar hoje",IF($I348="Vence em breve","Programar pagamento","")))</f>
        <v>0</v>
      </c>
    </row>
    <row r="349" spans="1:12">
      <c r="A349" s="13"/>
      <c r="B349" s="13"/>
      <c r="C349" s="13"/>
      <c r="D349" s="17"/>
      <c r="E349" s="18"/>
      <c r="F349" s="17"/>
      <c r="G349" s="18"/>
      <c r="H349" s="13"/>
      <c r="I349" s="19">
        <f>IF($E349="","",IF($K349&lt;=0.005,"Pago",IF($D349="","Sem vencimento",IF($D349&lt;Hoje,"Vencida",IF($D349=Hoje,"Vence hoje",IF($D349-Hoje&lt;=DiasAlerta,"Vence em breve","A vencer"))))))</f>
        <v>0</v>
      </c>
      <c r="J349" s="20">
        <f>IF(OR($E349="",$D349=""),"",IF($K349&lt;=0.005,"",$D349-Hoje))</f>
        <v>0</v>
      </c>
      <c r="K349" s="21">
        <f>IF($E349="","",MAX(0,$E349-N($G349)))</f>
        <v>0</v>
      </c>
      <c r="L349" s="20">
        <f>IF($I349="Vencida","PAGAR JÁ (multa e juros)",IF($I349="Vence hoje","Pagar hoje",IF($I349="Vence em breve","Programar pagamento","")))</f>
        <v>0</v>
      </c>
    </row>
    <row r="350" spans="1:12">
      <c r="A350" s="13"/>
      <c r="B350" s="13"/>
      <c r="C350" s="13"/>
      <c r="D350" s="17"/>
      <c r="E350" s="18"/>
      <c r="F350" s="17"/>
      <c r="G350" s="18"/>
      <c r="H350" s="13"/>
      <c r="I350" s="19">
        <f>IF($E350="","",IF($K350&lt;=0.005,"Pago",IF($D350="","Sem vencimento",IF($D350&lt;Hoje,"Vencida",IF($D350=Hoje,"Vence hoje",IF($D350-Hoje&lt;=DiasAlerta,"Vence em breve","A vencer"))))))</f>
        <v>0</v>
      </c>
      <c r="J350" s="20">
        <f>IF(OR($E350="",$D350=""),"",IF($K350&lt;=0.005,"",$D350-Hoje))</f>
        <v>0</v>
      </c>
      <c r="K350" s="21">
        <f>IF($E350="","",MAX(0,$E350-N($G350)))</f>
        <v>0</v>
      </c>
      <c r="L350" s="20">
        <f>IF($I350="Vencida","PAGAR JÁ (multa e juros)",IF($I350="Vence hoje","Pagar hoje",IF($I350="Vence em breve","Programar pagamento","")))</f>
        <v>0</v>
      </c>
    </row>
    <row r="351" spans="1:12">
      <c r="A351" s="13"/>
      <c r="B351" s="13"/>
      <c r="C351" s="13"/>
      <c r="D351" s="17"/>
      <c r="E351" s="18"/>
      <c r="F351" s="17"/>
      <c r="G351" s="18"/>
      <c r="H351" s="13"/>
      <c r="I351" s="19">
        <f>IF($E351="","",IF($K351&lt;=0.005,"Pago",IF($D351="","Sem vencimento",IF($D351&lt;Hoje,"Vencida",IF($D351=Hoje,"Vence hoje",IF($D351-Hoje&lt;=DiasAlerta,"Vence em breve","A vencer"))))))</f>
        <v>0</v>
      </c>
      <c r="J351" s="20">
        <f>IF(OR($E351="",$D351=""),"",IF($K351&lt;=0.005,"",$D351-Hoje))</f>
        <v>0</v>
      </c>
      <c r="K351" s="21">
        <f>IF($E351="","",MAX(0,$E351-N($G351)))</f>
        <v>0</v>
      </c>
      <c r="L351" s="20">
        <f>IF($I351="Vencida","PAGAR JÁ (multa e juros)",IF($I351="Vence hoje","Pagar hoje",IF($I351="Vence em breve","Programar pagamento","")))</f>
        <v>0</v>
      </c>
    </row>
    <row r="352" spans="1:12">
      <c r="A352" s="13"/>
      <c r="B352" s="13"/>
      <c r="C352" s="13"/>
      <c r="D352" s="17"/>
      <c r="E352" s="18"/>
      <c r="F352" s="17"/>
      <c r="G352" s="18"/>
      <c r="H352" s="13"/>
      <c r="I352" s="19">
        <f>IF($E352="","",IF($K352&lt;=0.005,"Pago",IF($D352="","Sem vencimento",IF($D352&lt;Hoje,"Vencida",IF($D352=Hoje,"Vence hoje",IF($D352-Hoje&lt;=DiasAlerta,"Vence em breve","A vencer"))))))</f>
        <v>0</v>
      </c>
      <c r="J352" s="20">
        <f>IF(OR($E352="",$D352=""),"",IF($K352&lt;=0.005,"",$D352-Hoje))</f>
        <v>0</v>
      </c>
      <c r="K352" s="21">
        <f>IF($E352="","",MAX(0,$E352-N($G352)))</f>
        <v>0</v>
      </c>
      <c r="L352" s="20">
        <f>IF($I352="Vencida","PAGAR JÁ (multa e juros)",IF($I352="Vence hoje","Pagar hoje",IF($I352="Vence em breve","Programar pagamento","")))</f>
        <v>0</v>
      </c>
    </row>
    <row r="353" spans="1:12">
      <c r="A353" s="13"/>
      <c r="B353" s="13"/>
      <c r="C353" s="13"/>
      <c r="D353" s="17"/>
      <c r="E353" s="18"/>
      <c r="F353" s="17"/>
      <c r="G353" s="18"/>
      <c r="H353" s="13"/>
      <c r="I353" s="19">
        <f>IF($E353="","",IF($K353&lt;=0.005,"Pago",IF($D353="","Sem vencimento",IF($D353&lt;Hoje,"Vencida",IF($D353=Hoje,"Vence hoje",IF($D353-Hoje&lt;=DiasAlerta,"Vence em breve","A vencer"))))))</f>
        <v>0</v>
      </c>
      <c r="J353" s="20">
        <f>IF(OR($E353="",$D353=""),"",IF($K353&lt;=0.005,"",$D353-Hoje))</f>
        <v>0</v>
      </c>
      <c r="K353" s="21">
        <f>IF($E353="","",MAX(0,$E353-N($G353)))</f>
        <v>0</v>
      </c>
      <c r="L353" s="20">
        <f>IF($I353="Vencida","PAGAR JÁ (multa e juros)",IF($I353="Vence hoje","Pagar hoje",IF($I353="Vence em breve","Programar pagamento","")))</f>
        <v>0</v>
      </c>
    </row>
    <row r="354" spans="1:12">
      <c r="A354" s="13"/>
      <c r="B354" s="13"/>
      <c r="C354" s="13"/>
      <c r="D354" s="17"/>
      <c r="E354" s="18"/>
      <c r="F354" s="17"/>
      <c r="G354" s="18"/>
      <c r="H354" s="13"/>
      <c r="I354" s="19">
        <f>IF($E354="","",IF($K354&lt;=0.005,"Pago",IF($D354="","Sem vencimento",IF($D354&lt;Hoje,"Vencida",IF($D354=Hoje,"Vence hoje",IF($D354-Hoje&lt;=DiasAlerta,"Vence em breve","A vencer"))))))</f>
        <v>0</v>
      </c>
      <c r="J354" s="20">
        <f>IF(OR($E354="",$D354=""),"",IF($K354&lt;=0.005,"",$D354-Hoje))</f>
        <v>0</v>
      </c>
      <c r="K354" s="21">
        <f>IF($E354="","",MAX(0,$E354-N($G354)))</f>
        <v>0</v>
      </c>
      <c r="L354" s="20">
        <f>IF($I354="Vencida","PAGAR JÁ (multa e juros)",IF($I354="Vence hoje","Pagar hoje",IF($I354="Vence em breve","Programar pagamento","")))</f>
        <v>0</v>
      </c>
    </row>
    <row r="355" spans="1:12">
      <c r="A355" s="13"/>
      <c r="B355" s="13"/>
      <c r="C355" s="13"/>
      <c r="D355" s="17"/>
      <c r="E355" s="18"/>
      <c r="F355" s="17"/>
      <c r="G355" s="18"/>
      <c r="H355" s="13"/>
      <c r="I355" s="19">
        <f>IF($E355="","",IF($K355&lt;=0.005,"Pago",IF($D355="","Sem vencimento",IF($D355&lt;Hoje,"Vencida",IF($D355=Hoje,"Vence hoje",IF($D355-Hoje&lt;=DiasAlerta,"Vence em breve","A vencer"))))))</f>
        <v>0</v>
      </c>
      <c r="J355" s="20">
        <f>IF(OR($E355="",$D355=""),"",IF($K355&lt;=0.005,"",$D355-Hoje))</f>
        <v>0</v>
      </c>
      <c r="K355" s="21">
        <f>IF($E355="","",MAX(0,$E355-N($G355)))</f>
        <v>0</v>
      </c>
      <c r="L355" s="20">
        <f>IF($I355="Vencida","PAGAR JÁ (multa e juros)",IF($I355="Vence hoje","Pagar hoje",IF($I355="Vence em breve","Programar pagamento","")))</f>
        <v>0</v>
      </c>
    </row>
    <row r="356" spans="1:12">
      <c r="A356" s="13"/>
      <c r="B356" s="13"/>
      <c r="C356" s="13"/>
      <c r="D356" s="17"/>
      <c r="E356" s="18"/>
      <c r="F356" s="17"/>
      <c r="G356" s="18"/>
      <c r="H356" s="13"/>
      <c r="I356" s="19">
        <f>IF($E356="","",IF($K356&lt;=0.005,"Pago",IF($D356="","Sem vencimento",IF($D356&lt;Hoje,"Vencida",IF($D356=Hoje,"Vence hoje",IF($D356-Hoje&lt;=DiasAlerta,"Vence em breve","A vencer"))))))</f>
        <v>0</v>
      </c>
      <c r="J356" s="20">
        <f>IF(OR($E356="",$D356=""),"",IF($K356&lt;=0.005,"",$D356-Hoje))</f>
        <v>0</v>
      </c>
      <c r="K356" s="21">
        <f>IF($E356="","",MAX(0,$E356-N($G356)))</f>
        <v>0</v>
      </c>
      <c r="L356" s="20">
        <f>IF($I356="Vencida","PAGAR JÁ (multa e juros)",IF($I356="Vence hoje","Pagar hoje",IF($I356="Vence em breve","Programar pagamento","")))</f>
        <v>0</v>
      </c>
    </row>
    <row r="357" spans="1:12">
      <c r="A357" s="13"/>
      <c r="B357" s="13"/>
      <c r="C357" s="13"/>
      <c r="D357" s="17"/>
      <c r="E357" s="18"/>
      <c r="F357" s="17"/>
      <c r="G357" s="18"/>
      <c r="H357" s="13"/>
      <c r="I357" s="19">
        <f>IF($E357="","",IF($K357&lt;=0.005,"Pago",IF($D357="","Sem vencimento",IF($D357&lt;Hoje,"Vencida",IF($D357=Hoje,"Vence hoje",IF($D357-Hoje&lt;=DiasAlerta,"Vence em breve","A vencer"))))))</f>
        <v>0</v>
      </c>
      <c r="J357" s="20">
        <f>IF(OR($E357="",$D357=""),"",IF($K357&lt;=0.005,"",$D357-Hoje))</f>
        <v>0</v>
      </c>
      <c r="K357" s="21">
        <f>IF($E357="","",MAX(0,$E357-N($G357)))</f>
        <v>0</v>
      </c>
      <c r="L357" s="20">
        <f>IF($I357="Vencida","PAGAR JÁ (multa e juros)",IF($I357="Vence hoje","Pagar hoje",IF($I357="Vence em breve","Programar pagamento","")))</f>
        <v>0</v>
      </c>
    </row>
    <row r="358" spans="1:12">
      <c r="A358" s="13"/>
      <c r="B358" s="13"/>
      <c r="C358" s="13"/>
      <c r="D358" s="17"/>
      <c r="E358" s="18"/>
      <c r="F358" s="17"/>
      <c r="G358" s="18"/>
      <c r="H358" s="13"/>
      <c r="I358" s="19">
        <f>IF($E358="","",IF($K358&lt;=0.005,"Pago",IF($D358="","Sem vencimento",IF($D358&lt;Hoje,"Vencida",IF($D358=Hoje,"Vence hoje",IF($D358-Hoje&lt;=DiasAlerta,"Vence em breve","A vencer"))))))</f>
        <v>0</v>
      </c>
      <c r="J358" s="20">
        <f>IF(OR($E358="",$D358=""),"",IF($K358&lt;=0.005,"",$D358-Hoje))</f>
        <v>0</v>
      </c>
      <c r="K358" s="21">
        <f>IF($E358="","",MAX(0,$E358-N($G358)))</f>
        <v>0</v>
      </c>
      <c r="L358" s="20">
        <f>IF($I358="Vencida","PAGAR JÁ (multa e juros)",IF($I358="Vence hoje","Pagar hoje",IF($I358="Vence em breve","Programar pagamento","")))</f>
        <v>0</v>
      </c>
    </row>
    <row r="359" spans="1:12">
      <c r="A359" s="13"/>
      <c r="B359" s="13"/>
      <c r="C359" s="13"/>
      <c r="D359" s="17"/>
      <c r="E359" s="18"/>
      <c r="F359" s="17"/>
      <c r="G359" s="18"/>
      <c r="H359" s="13"/>
      <c r="I359" s="19">
        <f>IF($E359="","",IF($K359&lt;=0.005,"Pago",IF($D359="","Sem vencimento",IF($D359&lt;Hoje,"Vencida",IF($D359=Hoje,"Vence hoje",IF($D359-Hoje&lt;=DiasAlerta,"Vence em breve","A vencer"))))))</f>
        <v>0</v>
      </c>
      <c r="J359" s="20">
        <f>IF(OR($E359="",$D359=""),"",IF($K359&lt;=0.005,"",$D359-Hoje))</f>
        <v>0</v>
      </c>
      <c r="K359" s="21">
        <f>IF($E359="","",MAX(0,$E359-N($G359)))</f>
        <v>0</v>
      </c>
      <c r="L359" s="20">
        <f>IF($I359="Vencida","PAGAR JÁ (multa e juros)",IF($I359="Vence hoje","Pagar hoje",IF($I359="Vence em breve","Programar pagamento","")))</f>
        <v>0</v>
      </c>
    </row>
    <row r="360" spans="1:12">
      <c r="A360" s="13"/>
      <c r="B360" s="13"/>
      <c r="C360" s="13"/>
      <c r="D360" s="17"/>
      <c r="E360" s="18"/>
      <c r="F360" s="17"/>
      <c r="G360" s="18"/>
      <c r="H360" s="13"/>
      <c r="I360" s="19">
        <f>IF($E360="","",IF($K360&lt;=0.005,"Pago",IF($D360="","Sem vencimento",IF($D360&lt;Hoje,"Vencida",IF($D360=Hoje,"Vence hoje",IF($D360-Hoje&lt;=DiasAlerta,"Vence em breve","A vencer"))))))</f>
        <v>0</v>
      </c>
      <c r="J360" s="20">
        <f>IF(OR($E360="",$D360=""),"",IF($K360&lt;=0.005,"",$D360-Hoje))</f>
        <v>0</v>
      </c>
      <c r="K360" s="21">
        <f>IF($E360="","",MAX(0,$E360-N($G360)))</f>
        <v>0</v>
      </c>
      <c r="L360" s="20">
        <f>IF($I360="Vencida","PAGAR JÁ (multa e juros)",IF($I360="Vence hoje","Pagar hoje",IF($I360="Vence em breve","Programar pagamento","")))</f>
        <v>0</v>
      </c>
    </row>
    <row r="361" spans="1:12">
      <c r="A361" s="13"/>
      <c r="B361" s="13"/>
      <c r="C361" s="13"/>
      <c r="D361" s="17"/>
      <c r="E361" s="18"/>
      <c r="F361" s="17"/>
      <c r="G361" s="18"/>
      <c r="H361" s="13"/>
      <c r="I361" s="19">
        <f>IF($E361="","",IF($K361&lt;=0.005,"Pago",IF($D361="","Sem vencimento",IF($D361&lt;Hoje,"Vencida",IF($D361=Hoje,"Vence hoje",IF($D361-Hoje&lt;=DiasAlerta,"Vence em breve","A vencer"))))))</f>
        <v>0</v>
      </c>
      <c r="J361" s="20">
        <f>IF(OR($E361="",$D361=""),"",IF($K361&lt;=0.005,"",$D361-Hoje))</f>
        <v>0</v>
      </c>
      <c r="K361" s="21">
        <f>IF($E361="","",MAX(0,$E361-N($G361)))</f>
        <v>0</v>
      </c>
      <c r="L361" s="20">
        <f>IF($I361="Vencida","PAGAR JÁ (multa e juros)",IF($I361="Vence hoje","Pagar hoje",IF($I361="Vence em breve","Programar pagamento","")))</f>
        <v>0</v>
      </c>
    </row>
    <row r="362" spans="1:12">
      <c r="A362" s="13"/>
      <c r="B362" s="13"/>
      <c r="C362" s="13"/>
      <c r="D362" s="17"/>
      <c r="E362" s="18"/>
      <c r="F362" s="17"/>
      <c r="G362" s="18"/>
      <c r="H362" s="13"/>
      <c r="I362" s="19">
        <f>IF($E362="","",IF($K362&lt;=0.005,"Pago",IF($D362="","Sem vencimento",IF($D362&lt;Hoje,"Vencida",IF($D362=Hoje,"Vence hoje",IF($D362-Hoje&lt;=DiasAlerta,"Vence em breve","A vencer"))))))</f>
        <v>0</v>
      </c>
      <c r="J362" s="20">
        <f>IF(OR($E362="",$D362=""),"",IF($K362&lt;=0.005,"",$D362-Hoje))</f>
        <v>0</v>
      </c>
      <c r="K362" s="21">
        <f>IF($E362="","",MAX(0,$E362-N($G362)))</f>
        <v>0</v>
      </c>
      <c r="L362" s="20">
        <f>IF($I362="Vencida","PAGAR JÁ (multa e juros)",IF($I362="Vence hoje","Pagar hoje",IF($I362="Vence em breve","Programar pagamento","")))</f>
        <v>0</v>
      </c>
    </row>
    <row r="363" spans="1:12">
      <c r="A363" s="13"/>
      <c r="B363" s="13"/>
      <c r="C363" s="13"/>
      <c r="D363" s="17"/>
      <c r="E363" s="18"/>
      <c r="F363" s="17"/>
      <c r="G363" s="18"/>
      <c r="H363" s="13"/>
      <c r="I363" s="19">
        <f>IF($E363="","",IF($K363&lt;=0.005,"Pago",IF($D363="","Sem vencimento",IF($D363&lt;Hoje,"Vencida",IF($D363=Hoje,"Vence hoje",IF($D363-Hoje&lt;=DiasAlerta,"Vence em breve","A vencer"))))))</f>
        <v>0</v>
      </c>
      <c r="J363" s="20">
        <f>IF(OR($E363="",$D363=""),"",IF($K363&lt;=0.005,"",$D363-Hoje))</f>
        <v>0</v>
      </c>
      <c r="K363" s="21">
        <f>IF($E363="","",MAX(0,$E363-N($G363)))</f>
        <v>0</v>
      </c>
      <c r="L363" s="20">
        <f>IF($I363="Vencida","PAGAR JÁ (multa e juros)",IF($I363="Vence hoje","Pagar hoje",IF($I363="Vence em breve","Programar pagamento","")))</f>
        <v>0</v>
      </c>
    </row>
    <row r="364" spans="1:12">
      <c r="A364" s="13"/>
      <c r="B364" s="13"/>
      <c r="C364" s="13"/>
      <c r="D364" s="17"/>
      <c r="E364" s="18"/>
      <c r="F364" s="17"/>
      <c r="G364" s="18"/>
      <c r="H364" s="13"/>
      <c r="I364" s="19">
        <f>IF($E364="","",IF($K364&lt;=0.005,"Pago",IF($D364="","Sem vencimento",IF($D364&lt;Hoje,"Vencida",IF($D364=Hoje,"Vence hoje",IF($D364-Hoje&lt;=DiasAlerta,"Vence em breve","A vencer"))))))</f>
        <v>0</v>
      </c>
      <c r="J364" s="20">
        <f>IF(OR($E364="",$D364=""),"",IF($K364&lt;=0.005,"",$D364-Hoje))</f>
        <v>0</v>
      </c>
      <c r="K364" s="21">
        <f>IF($E364="","",MAX(0,$E364-N($G364)))</f>
        <v>0</v>
      </c>
      <c r="L364" s="20">
        <f>IF($I364="Vencida","PAGAR JÁ (multa e juros)",IF($I364="Vence hoje","Pagar hoje",IF($I364="Vence em breve","Programar pagamento","")))</f>
        <v>0</v>
      </c>
    </row>
    <row r="365" spans="1:12">
      <c r="A365" s="13"/>
      <c r="B365" s="13"/>
      <c r="C365" s="13"/>
      <c r="D365" s="17"/>
      <c r="E365" s="18"/>
      <c r="F365" s="17"/>
      <c r="G365" s="18"/>
      <c r="H365" s="13"/>
      <c r="I365" s="19">
        <f>IF($E365="","",IF($K365&lt;=0.005,"Pago",IF($D365="","Sem vencimento",IF($D365&lt;Hoje,"Vencida",IF($D365=Hoje,"Vence hoje",IF($D365-Hoje&lt;=DiasAlerta,"Vence em breve","A vencer"))))))</f>
        <v>0</v>
      </c>
      <c r="J365" s="20">
        <f>IF(OR($E365="",$D365=""),"",IF($K365&lt;=0.005,"",$D365-Hoje))</f>
        <v>0</v>
      </c>
      <c r="K365" s="21">
        <f>IF($E365="","",MAX(0,$E365-N($G365)))</f>
        <v>0</v>
      </c>
      <c r="L365" s="20">
        <f>IF($I365="Vencida","PAGAR JÁ (multa e juros)",IF($I365="Vence hoje","Pagar hoje",IF($I365="Vence em breve","Programar pagamento","")))</f>
        <v>0</v>
      </c>
    </row>
    <row r="366" spans="1:12">
      <c r="A366" s="13"/>
      <c r="B366" s="13"/>
      <c r="C366" s="13"/>
      <c r="D366" s="17"/>
      <c r="E366" s="18"/>
      <c r="F366" s="17"/>
      <c r="G366" s="18"/>
      <c r="H366" s="13"/>
      <c r="I366" s="19">
        <f>IF($E366="","",IF($K366&lt;=0.005,"Pago",IF($D366="","Sem vencimento",IF($D366&lt;Hoje,"Vencida",IF($D366=Hoje,"Vence hoje",IF($D366-Hoje&lt;=DiasAlerta,"Vence em breve","A vencer"))))))</f>
        <v>0</v>
      </c>
      <c r="J366" s="20">
        <f>IF(OR($E366="",$D366=""),"",IF($K366&lt;=0.005,"",$D366-Hoje))</f>
        <v>0</v>
      </c>
      <c r="K366" s="21">
        <f>IF($E366="","",MAX(0,$E366-N($G366)))</f>
        <v>0</v>
      </c>
      <c r="L366" s="20">
        <f>IF($I366="Vencida","PAGAR JÁ (multa e juros)",IF($I366="Vence hoje","Pagar hoje",IF($I366="Vence em breve","Programar pagamento","")))</f>
        <v>0</v>
      </c>
    </row>
    <row r="367" spans="1:12">
      <c r="A367" s="13"/>
      <c r="B367" s="13"/>
      <c r="C367" s="13"/>
      <c r="D367" s="17"/>
      <c r="E367" s="18"/>
      <c r="F367" s="17"/>
      <c r="G367" s="18"/>
      <c r="H367" s="13"/>
      <c r="I367" s="19">
        <f>IF($E367="","",IF($K367&lt;=0.005,"Pago",IF($D367="","Sem vencimento",IF($D367&lt;Hoje,"Vencida",IF($D367=Hoje,"Vence hoje",IF($D367-Hoje&lt;=DiasAlerta,"Vence em breve","A vencer"))))))</f>
        <v>0</v>
      </c>
      <c r="J367" s="20">
        <f>IF(OR($E367="",$D367=""),"",IF($K367&lt;=0.005,"",$D367-Hoje))</f>
        <v>0</v>
      </c>
      <c r="K367" s="21">
        <f>IF($E367="","",MAX(0,$E367-N($G367)))</f>
        <v>0</v>
      </c>
      <c r="L367" s="20">
        <f>IF($I367="Vencida","PAGAR JÁ (multa e juros)",IF($I367="Vence hoje","Pagar hoje",IF($I367="Vence em breve","Programar pagamento","")))</f>
        <v>0</v>
      </c>
    </row>
    <row r="368" spans="1:12">
      <c r="A368" s="13"/>
      <c r="B368" s="13"/>
      <c r="C368" s="13"/>
      <c r="D368" s="17"/>
      <c r="E368" s="18"/>
      <c r="F368" s="17"/>
      <c r="G368" s="18"/>
      <c r="H368" s="13"/>
      <c r="I368" s="19">
        <f>IF($E368="","",IF($K368&lt;=0.005,"Pago",IF($D368="","Sem vencimento",IF($D368&lt;Hoje,"Vencida",IF($D368=Hoje,"Vence hoje",IF($D368-Hoje&lt;=DiasAlerta,"Vence em breve","A vencer"))))))</f>
        <v>0</v>
      </c>
      <c r="J368" s="20">
        <f>IF(OR($E368="",$D368=""),"",IF($K368&lt;=0.005,"",$D368-Hoje))</f>
        <v>0</v>
      </c>
      <c r="K368" s="21">
        <f>IF($E368="","",MAX(0,$E368-N($G368)))</f>
        <v>0</v>
      </c>
      <c r="L368" s="20">
        <f>IF($I368="Vencida","PAGAR JÁ (multa e juros)",IF($I368="Vence hoje","Pagar hoje",IF($I368="Vence em breve","Programar pagamento","")))</f>
        <v>0</v>
      </c>
    </row>
    <row r="369" spans="1:12">
      <c r="A369" s="13"/>
      <c r="B369" s="13"/>
      <c r="C369" s="13"/>
      <c r="D369" s="17"/>
      <c r="E369" s="18"/>
      <c r="F369" s="17"/>
      <c r="G369" s="18"/>
      <c r="H369" s="13"/>
      <c r="I369" s="19">
        <f>IF($E369="","",IF($K369&lt;=0.005,"Pago",IF($D369="","Sem vencimento",IF($D369&lt;Hoje,"Vencida",IF($D369=Hoje,"Vence hoje",IF($D369-Hoje&lt;=DiasAlerta,"Vence em breve","A vencer"))))))</f>
        <v>0</v>
      </c>
      <c r="J369" s="20">
        <f>IF(OR($E369="",$D369=""),"",IF($K369&lt;=0.005,"",$D369-Hoje))</f>
        <v>0</v>
      </c>
      <c r="K369" s="21">
        <f>IF($E369="","",MAX(0,$E369-N($G369)))</f>
        <v>0</v>
      </c>
      <c r="L369" s="20">
        <f>IF($I369="Vencida","PAGAR JÁ (multa e juros)",IF($I369="Vence hoje","Pagar hoje",IF($I369="Vence em breve","Programar pagamento","")))</f>
        <v>0</v>
      </c>
    </row>
    <row r="370" spans="1:12">
      <c r="A370" s="13"/>
      <c r="B370" s="13"/>
      <c r="C370" s="13"/>
      <c r="D370" s="17"/>
      <c r="E370" s="18"/>
      <c r="F370" s="17"/>
      <c r="G370" s="18"/>
      <c r="H370" s="13"/>
      <c r="I370" s="19">
        <f>IF($E370="","",IF($K370&lt;=0.005,"Pago",IF($D370="","Sem vencimento",IF($D370&lt;Hoje,"Vencida",IF($D370=Hoje,"Vence hoje",IF($D370-Hoje&lt;=DiasAlerta,"Vence em breve","A vencer"))))))</f>
        <v>0</v>
      </c>
      <c r="J370" s="20">
        <f>IF(OR($E370="",$D370=""),"",IF($K370&lt;=0.005,"",$D370-Hoje))</f>
        <v>0</v>
      </c>
      <c r="K370" s="21">
        <f>IF($E370="","",MAX(0,$E370-N($G370)))</f>
        <v>0</v>
      </c>
      <c r="L370" s="20">
        <f>IF($I370="Vencida","PAGAR JÁ (multa e juros)",IF($I370="Vence hoje","Pagar hoje",IF($I370="Vence em breve","Programar pagamento","")))</f>
        <v>0</v>
      </c>
    </row>
    <row r="371" spans="1:12">
      <c r="A371" s="13"/>
      <c r="B371" s="13"/>
      <c r="C371" s="13"/>
      <c r="D371" s="17"/>
      <c r="E371" s="18"/>
      <c r="F371" s="17"/>
      <c r="G371" s="18"/>
      <c r="H371" s="13"/>
      <c r="I371" s="19">
        <f>IF($E371="","",IF($K371&lt;=0.005,"Pago",IF($D371="","Sem vencimento",IF($D371&lt;Hoje,"Vencida",IF($D371=Hoje,"Vence hoje",IF($D371-Hoje&lt;=DiasAlerta,"Vence em breve","A vencer"))))))</f>
        <v>0</v>
      </c>
      <c r="J371" s="20">
        <f>IF(OR($E371="",$D371=""),"",IF($K371&lt;=0.005,"",$D371-Hoje))</f>
        <v>0</v>
      </c>
      <c r="K371" s="21">
        <f>IF($E371="","",MAX(0,$E371-N($G371)))</f>
        <v>0</v>
      </c>
      <c r="L371" s="20">
        <f>IF($I371="Vencida","PAGAR JÁ (multa e juros)",IF($I371="Vence hoje","Pagar hoje",IF($I371="Vence em breve","Programar pagamento","")))</f>
        <v>0</v>
      </c>
    </row>
    <row r="372" spans="1:12">
      <c r="A372" s="13"/>
      <c r="B372" s="13"/>
      <c r="C372" s="13"/>
      <c r="D372" s="17"/>
      <c r="E372" s="18"/>
      <c r="F372" s="17"/>
      <c r="G372" s="18"/>
      <c r="H372" s="13"/>
      <c r="I372" s="19">
        <f>IF($E372="","",IF($K372&lt;=0.005,"Pago",IF($D372="","Sem vencimento",IF($D372&lt;Hoje,"Vencida",IF($D372=Hoje,"Vence hoje",IF($D372-Hoje&lt;=DiasAlerta,"Vence em breve","A vencer"))))))</f>
        <v>0</v>
      </c>
      <c r="J372" s="20">
        <f>IF(OR($E372="",$D372=""),"",IF($K372&lt;=0.005,"",$D372-Hoje))</f>
        <v>0</v>
      </c>
      <c r="K372" s="21">
        <f>IF($E372="","",MAX(0,$E372-N($G372)))</f>
        <v>0</v>
      </c>
      <c r="L372" s="20">
        <f>IF($I372="Vencida","PAGAR JÁ (multa e juros)",IF($I372="Vence hoje","Pagar hoje",IF($I372="Vence em breve","Programar pagamento","")))</f>
        <v>0</v>
      </c>
    </row>
    <row r="373" spans="1:12">
      <c r="A373" s="13"/>
      <c r="B373" s="13"/>
      <c r="C373" s="13"/>
      <c r="D373" s="17"/>
      <c r="E373" s="18"/>
      <c r="F373" s="17"/>
      <c r="G373" s="18"/>
      <c r="H373" s="13"/>
      <c r="I373" s="19">
        <f>IF($E373="","",IF($K373&lt;=0.005,"Pago",IF($D373="","Sem vencimento",IF($D373&lt;Hoje,"Vencida",IF($D373=Hoje,"Vence hoje",IF($D373-Hoje&lt;=DiasAlerta,"Vence em breve","A vencer"))))))</f>
        <v>0</v>
      </c>
      <c r="J373" s="20">
        <f>IF(OR($E373="",$D373=""),"",IF($K373&lt;=0.005,"",$D373-Hoje))</f>
        <v>0</v>
      </c>
      <c r="K373" s="21">
        <f>IF($E373="","",MAX(0,$E373-N($G373)))</f>
        <v>0</v>
      </c>
      <c r="L373" s="20">
        <f>IF($I373="Vencida","PAGAR JÁ (multa e juros)",IF($I373="Vence hoje","Pagar hoje",IF($I373="Vence em breve","Programar pagamento","")))</f>
        <v>0</v>
      </c>
    </row>
    <row r="374" spans="1:12">
      <c r="A374" s="13"/>
      <c r="B374" s="13"/>
      <c r="C374" s="13"/>
      <c r="D374" s="17"/>
      <c r="E374" s="18"/>
      <c r="F374" s="17"/>
      <c r="G374" s="18"/>
      <c r="H374" s="13"/>
      <c r="I374" s="19">
        <f>IF($E374="","",IF($K374&lt;=0.005,"Pago",IF($D374="","Sem vencimento",IF($D374&lt;Hoje,"Vencida",IF($D374=Hoje,"Vence hoje",IF($D374-Hoje&lt;=DiasAlerta,"Vence em breve","A vencer"))))))</f>
        <v>0</v>
      </c>
      <c r="J374" s="20">
        <f>IF(OR($E374="",$D374=""),"",IF($K374&lt;=0.005,"",$D374-Hoje))</f>
        <v>0</v>
      </c>
      <c r="K374" s="21">
        <f>IF($E374="","",MAX(0,$E374-N($G374)))</f>
        <v>0</v>
      </c>
      <c r="L374" s="20">
        <f>IF($I374="Vencida","PAGAR JÁ (multa e juros)",IF($I374="Vence hoje","Pagar hoje",IF($I374="Vence em breve","Programar pagamento","")))</f>
        <v>0</v>
      </c>
    </row>
    <row r="375" spans="1:12">
      <c r="A375" s="13"/>
      <c r="B375" s="13"/>
      <c r="C375" s="13"/>
      <c r="D375" s="17"/>
      <c r="E375" s="18"/>
      <c r="F375" s="17"/>
      <c r="G375" s="18"/>
      <c r="H375" s="13"/>
      <c r="I375" s="19">
        <f>IF($E375="","",IF($K375&lt;=0.005,"Pago",IF($D375="","Sem vencimento",IF($D375&lt;Hoje,"Vencida",IF($D375=Hoje,"Vence hoje",IF($D375-Hoje&lt;=DiasAlerta,"Vence em breve","A vencer"))))))</f>
        <v>0</v>
      </c>
      <c r="J375" s="20">
        <f>IF(OR($E375="",$D375=""),"",IF($K375&lt;=0.005,"",$D375-Hoje))</f>
        <v>0</v>
      </c>
      <c r="K375" s="21">
        <f>IF($E375="","",MAX(0,$E375-N($G375)))</f>
        <v>0</v>
      </c>
      <c r="L375" s="20">
        <f>IF($I375="Vencida","PAGAR JÁ (multa e juros)",IF($I375="Vence hoje","Pagar hoje",IF($I375="Vence em breve","Programar pagamento","")))</f>
        <v>0</v>
      </c>
    </row>
    <row r="376" spans="1:12">
      <c r="A376" s="13"/>
      <c r="B376" s="13"/>
      <c r="C376" s="13"/>
      <c r="D376" s="17"/>
      <c r="E376" s="18"/>
      <c r="F376" s="17"/>
      <c r="G376" s="18"/>
      <c r="H376" s="13"/>
      <c r="I376" s="19">
        <f>IF($E376="","",IF($K376&lt;=0.005,"Pago",IF($D376="","Sem vencimento",IF($D376&lt;Hoje,"Vencida",IF($D376=Hoje,"Vence hoje",IF($D376-Hoje&lt;=DiasAlerta,"Vence em breve","A vencer"))))))</f>
        <v>0</v>
      </c>
      <c r="J376" s="20">
        <f>IF(OR($E376="",$D376=""),"",IF($K376&lt;=0.005,"",$D376-Hoje))</f>
        <v>0</v>
      </c>
      <c r="K376" s="21">
        <f>IF($E376="","",MAX(0,$E376-N($G376)))</f>
        <v>0</v>
      </c>
      <c r="L376" s="20">
        <f>IF($I376="Vencida","PAGAR JÁ (multa e juros)",IF($I376="Vence hoje","Pagar hoje",IF($I376="Vence em breve","Programar pagamento","")))</f>
        <v>0</v>
      </c>
    </row>
    <row r="377" spans="1:12">
      <c r="A377" s="13"/>
      <c r="B377" s="13"/>
      <c r="C377" s="13"/>
      <c r="D377" s="17"/>
      <c r="E377" s="18"/>
      <c r="F377" s="17"/>
      <c r="G377" s="18"/>
      <c r="H377" s="13"/>
      <c r="I377" s="19">
        <f>IF($E377="","",IF($K377&lt;=0.005,"Pago",IF($D377="","Sem vencimento",IF($D377&lt;Hoje,"Vencida",IF($D377=Hoje,"Vence hoje",IF($D377-Hoje&lt;=DiasAlerta,"Vence em breve","A vencer"))))))</f>
        <v>0</v>
      </c>
      <c r="J377" s="20">
        <f>IF(OR($E377="",$D377=""),"",IF($K377&lt;=0.005,"",$D377-Hoje))</f>
        <v>0</v>
      </c>
      <c r="K377" s="21">
        <f>IF($E377="","",MAX(0,$E377-N($G377)))</f>
        <v>0</v>
      </c>
      <c r="L377" s="20">
        <f>IF($I377="Vencida","PAGAR JÁ (multa e juros)",IF($I377="Vence hoje","Pagar hoje",IF($I377="Vence em breve","Programar pagamento","")))</f>
        <v>0</v>
      </c>
    </row>
    <row r="378" spans="1:12">
      <c r="A378" s="13"/>
      <c r="B378" s="13"/>
      <c r="C378" s="13"/>
      <c r="D378" s="17"/>
      <c r="E378" s="18"/>
      <c r="F378" s="17"/>
      <c r="G378" s="18"/>
      <c r="H378" s="13"/>
      <c r="I378" s="19">
        <f>IF($E378="","",IF($K378&lt;=0.005,"Pago",IF($D378="","Sem vencimento",IF($D378&lt;Hoje,"Vencida",IF($D378=Hoje,"Vence hoje",IF($D378-Hoje&lt;=DiasAlerta,"Vence em breve","A vencer"))))))</f>
        <v>0</v>
      </c>
      <c r="J378" s="20">
        <f>IF(OR($E378="",$D378=""),"",IF($K378&lt;=0.005,"",$D378-Hoje))</f>
        <v>0</v>
      </c>
      <c r="K378" s="21">
        <f>IF($E378="","",MAX(0,$E378-N($G378)))</f>
        <v>0</v>
      </c>
      <c r="L378" s="20">
        <f>IF($I378="Vencida","PAGAR JÁ (multa e juros)",IF($I378="Vence hoje","Pagar hoje",IF($I378="Vence em breve","Programar pagamento","")))</f>
        <v>0</v>
      </c>
    </row>
    <row r="379" spans="1:12">
      <c r="A379" s="13"/>
      <c r="B379" s="13"/>
      <c r="C379" s="13"/>
      <c r="D379" s="17"/>
      <c r="E379" s="18"/>
      <c r="F379" s="17"/>
      <c r="G379" s="18"/>
      <c r="H379" s="13"/>
      <c r="I379" s="19">
        <f>IF($E379="","",IF($K379&lt;=0.005,"Pago",IF($D379="","Sem vencimento",IF($D379&lt;Hoje,"Vencida",IF($D379=Hoje,"Vence hoje",IF($D379-Hoje&lt;=DiasAlerta,"Vence em breve","A vencer"))))))</f>
        <v>0</v>
      </c>
      <c r="J379" s="20">
        <f>IF(OR($E379="",$D379=""),"",IF($K379&lt;=0.005,"",$D379-Hoje))</f>
        <v>0</v>
      </c>
      <c r="K379" s="21">
        <f>IF($E379="","",MAX(0,$E379-N($G379)))</f>
        <v>0</v>
      </c>
      <c r="L379" s="20">
        <f>IF($I379="Vencida","PAGAR JÁ (multa e juros)",IF($I379="Vence hoje","Pagar hoje",IF($I379="Vence em breve","Programar pagamento","")))</f>
        <v>0</v>
      </c>
    </row>
    <row r="380" spans="1:12">
      <c r="A380" s="13"/>
      <c r="B380" s="13"/>
      <c r="C380" s="13"/>
      <c r="D380" s="17"/>
      <c r="E380" s="18"/>
      <c r="F380" s="17"/>
      <c r="G380" s="18"/>
      <c r="H380" s="13"/>
      <c r="I380" s="19">
        <f>IF($E380="","",IF($K380&lt;=0.005,"Pago",IF($D380="","Sem vencimento",IF($D380&lt;Hoje,"Vencida",IF($D380=Hoje,"Vence hoje",IF($D380-Hoje&lt;=DiasAlerta,"Vence em breve","A vencer"))))))</f>
        <v>0</v>
      </c>
      <c r="J380" s="20">
        <f>IF(OR($E380="",$D380=""),"",IF($K380&lt;=0.005,"",$D380-Hoje))</f>
        <v>0</v>
      </c>
      <c r="K380" s="21">
        <f>IF($E380="","",MAX(0,$E380-N($G380)))</f>
        <v>0</v>
      </c>
      <c r="L380" s="20">
        <f>IF($I380="Vencida","PAGAR JÁ (multa e juros)",IF($I380="Vence hoje","Pagar hoje",IF($I380="Vence em breve","Programar pagamento","")))</f>
        <v>0</v>
      </c>
    </row>
    <row r="381" spans="1:12">
      <c r="A381" s="13"/>
      <c r="B381" s="13"/>
      <c r="C381" s="13"/>
      <c r="D381" s="17"/>
      <c r="E381" s="18"/>
      <c r="F381" s="17"/>
      <c r="G381" s="18"/>
      <c r="H381" s="13"/>
      <c r="I381" s="19">
        <f>IF($E381="","",IF($K381&lt;=0.005,"Pago",IF($D381="","Sem vencimento",IF($D381&lt;Hoje,"Vencida",IF($D381=Hoje,"Vence hoje",IF($D381-Hoje&lt;=DiasAlerta,"Vence em breve","A vencer"))))))</f>
        <v>0</v>
      </c>
      <c r="J381" s="20">
        <f>IF(OR($E381="",$D381=""),"",IF($K381&lt;=0.005,"",$D381-Hoje))</f>
        <v>0</v>
      </c>
      <c r="K381" s="21">
        <f>IF($E381="","",MAX(0,$E381-N($G381)))</f>
        <v>0</v>
      </c>
      <c r="L381" s="20">
        <f>IF($I381="Vencida","PAGAR JÁ (multa e juros)",IF($I381="Vence hoje","Pagar hoje",IF($I381="Vence em breve","Programar pagamento","")))</f>
        <v>0</v>
      </c>
    </row>
    <row r="382" spans="1:12">
      <c r="A382" s="13"/>
      <c r="B382" s="13"/>
      <c r="C382" s="13"/>
      <c r="D382" s="17"/>
      <c r="E382" s="18"/>
      <c r="F382" s="17"/>
      <c r="G382" s="18"/>
      <c r="H382" s="13"/>
      <c r="I382" s="19">
        <f>IF($E382="","",IF($K382&lt;=0.005,"Pago",IF($D382="","Sem vencimento",IF($D382&lt;Hoje,"Vencida",IF($D382=Hoje,"Vence hoje",IF($D382-Hoje&lt;=DiasAlerta,"Vence em breve","A vencer"))))))</f>
        <v>0</v>
      </c>
      <c r="J382" s="20">
        <f>IF(OR($E382="",$D382=""),"",IF($K382&lt;=0.005,"",$D382-Hoje))</f>
        <v>0</v>
      </c>
      <c r="K382" s="21">
        <f>IF($E382="","",MAX(0,$E382-N($G382)))</f>
        <v>0</v>
      </c>
      <c r="L382" s="20">
        <f>IF($I382="Vencida","PAGAR JÁ (multa e juros)",IF($I382="Vence hoje","Pagar hoje",IF($I382="Vence em breve","Programar pagamento","")))</f>
        <v>0</v>
      </c>
    </row>
    <row r="383" spans="1:12">
      <c r="A383" s="13"/>
      <c r="B383" s="13"/>
      <c r="C383" s="13"/>
      <c r="D383" s="17"/>
      <c r="E383" s="18"/>
      <c r="F383" s="17"/>
      <c r="G383" s="18"/>
      <c r="H383" s="13"/>
      <c r="I383" s="19">
        <f>IF($E383="","",IF($K383&lt;=0.005,"Pago",IF($D383="","Sem vencimento",IF($D383&lt;Hoje,"Vencida",IF($D383=Hoje,"Vence hoje",IF($D383-Hoje&lt;=DiasAlerta,"Vence em breve","A vencer"))))))</f>
        <v>0</v>
      </c>
      <c r="J383" s="20">
        <f>IF(OR($E383="",$D383=""),"",IF($K383&lt;=0.005,"",$D383-Hoje))</f>
        <v>0</v>
      </c>
      <c r="K383" s="21">
        <f>IF($E383="","",MAX(0,$E383-N($G383)))</f>
        <v>0</v>
      </c>
      <c r="L383" s="20">
        <f>IF($I383="Vencida","PAGAR JÁ (multa e juros)",IF($I383="Vence hoje","Pagar hoje",IF($I383="Vence em breve","Programar pagamento","")))</f>
        <v>0</v>
      </c>
    </row>
    <row r="384" spans="1:12">
      <c r="A384" s="13"/>
      <c r="B384" s="13"/>
      <c r="C384" s="13"/>
      <c r="D384" s="17"/>
      <c r="E384" s="18"/>
      <c r="F384" s="17"/>
      <c r="G384" s="18"/>
      <c r="H384" s="13"/>
      <c r="I384" s="19">
        <f>IF($E384="","",IF($K384&lt;=0.005,"Pago",IF($D384="","Sem vencimento",IF($D384&lt;Hoje,"Vencida",IF($D384=Hoje,"Vence hoje",IF($D384-Hoje&lt;=DiasAlerta,"Vence em breve","A vencer"))))))</f>
        <v>0</v>
      </c>
      <c r="J384" s="20">
        <f>IF(OR($E384="",$D384=""),"",IF($K384&lt;=0.005,"",$D384-Hoje))</f>
        <v>0</v>
      </c>
      <c r="K384" s="21">
        <f>IF($E384="","",MAX(0,$E384-N($G384)))</f>
        <v>0</v>
      </c>
      <c r="L384" s="20">
        <f>IF($I384="Vencida","PAGAR JÁ (multa e juros)",IF($I384="Vence hoje","Pagar hoje",IF($I384="Vence em breve","Programar pagamento","")))</f>
        <v>0</v>
      </c>
    </row>
    <row r="385" spans="1:12">
      <c r="A385" s="13"/>
      <c r="B385" s="13"/>
      <c r="C385" s="13"/>
      <c r="D385" s="17"/>
      <c r="E385" s="18"/>
      <c r="F385" s="17"/>
      <c r="G385" s="18"/>
      <c r="H385" s="13"/>
      <c r="I385" s="19">
        <f>IF($E385="","",IF($K385&lt;=0.005,"Pago",IF($D385="","Sem vencimento",IF($D385&lt;Hoje,"Vencida",IF($D385=Hoje,"Vence hoje",IF($D385-Hoje&lt;=DiasAlerta,"Vence em breve","A vencer"))))))</f>
        <v>0</v>
      </c>
      <c r="J385" s="20">
        <f>IF(OR($E385="",$D385=""),"",IF($K385&lt;=0.005,"",$D385-Hoje))</f>
        <v>0</v>
      </c>
      <c r="K385" s="21">
        <f>IF($E385="","",MAX(0,$E385-N($G385)))</f>
        <v>0</v>
      </c>
      <c r="L385" s="20">
        <f>IF($I385="Vencida","PAGAR JÁ (multa e juros)",IF($I385="Vence hoje","Pagar hoje",IF($I385="Vence em breve","Programar pagamento","")))</f>
        <v>0</v>
      </c>
    </row>
    <row r="386" spans="1:12">
      <c r="A386" s="13"/>
      <c r="B386" s="13"/>
      <c r="C386" s="13"/>
      <c r="D386" s="17"/>
      <c r="E386" s="18"/>
      <c r="F386" s="17"/>
      <c r="G386" s="18"/>
      <c r="H386" s="13"/>
      <c r="I386" s="19">
        <f>IF($E386="","",IF($K386&lt;=0.005,"Pago",IF($D386="","Sem vencimento",IF($D386&lt;Hoje,"Vencida",IF($D386=Hoje,"Vence hoje",IF($D386-Hoje&lt;=DiasAlerta,"Vence em breve","A vencer"))))))</f>
        <v>0</v>
      </c>
      <c r="J386" s="20">
        <f>IF(OR($E386="",$D386=""),"",IF($K386&lt;=0.005,"",$D386-Hoje))</f>
        <v>0</v>
      </c>
      <c r="K386" s="21">
        <f>IF($E386="","",MAX(0,$E386-N($G386)))</f>
        <v>0</v>
      </c>
      <c r="L386" s="20">
        <f>IF($I386="Vencida","PAGAR JÁ (multa e juros)",IF($I386="Vence hoje","Pagar hoje",IF($I386="Vence em breve","Programar pagamento","")))</f>
        <v>0</v>
      </c>
    </row>
    <row r="387" spans="1:12">
      <c r="A387" s="13"/>
      <c r="B387" s="13"/>
      <c r="C387" s="13"/>
      <c r="D387" s="17"/>
      <c r="E387" s="18"/>
      <c r="F387" s="17"/>
      <c r="G387" s="18"/>
      <c r="H387" s="13"/>
      <c r="I387" s="19">
        <f>IF($E387="","",IF($K387&lt;=0.005,"Pago",IF($D387="","Sem vencimento",IF($D387&lt;Hoje,"Vencida",IF($D387=Hoje,"Vence hoje",IF($D387-Hoje&lt;=DiasAlerta,"Vence em breve","A vencer"))))))</f>
        <v>0</v>
      </c>
      <c r="J387" s="20">
        <f>IF(OR($E387="",$D387=""),"",IF($K387&lt;=0.005,"",$D387-Hoje))</f>
        <v>0</v>
      </c>
      <c r="K387" s="21">
        <f>IF($E387="","",MAX(0,$E387-N($G387)))</f>
        <v>0</v>
      </c>
      <c r="L387" s="20">
        <f>IF($I387="Vencida","PAGAR JÁ (multa e juros)",IF($I387="Vence hoje","Pagar hoje",IF($I387="Vence em breve","Programar pagamento","")))</f>
        <v>0</v>
      </c>
    </row>
    <row r="388" spans="1:12">
      <c r="A388" s="13"/>
      <c r="B388" s="13"/>
      <c r="C388" s="13"/>
      <c r="D388" s="17"/>
      <c r="E388" s="18"/>
      <c r="F388" s="17"/>
      <c r="G388" s="18"/>
      <c r="H388" s="13"/>
      <c r="I388" s="19">
        <f>IF($E388="","",IF($K388&lt;=0.005,"Pago",IF($D388="","Sem vencimento",IF($D388&lt;Hoje,"Vencida",IF($D388=Hoje,"Vence hoje",IF($D388-Hoje&lt;=DiasAlerta,"Vence em breve","A vencer"))))))</f>
        <v>0</v>
      </c>
      <c r="J388" s="20">
        <f>IF(OR($E388="",$D388=""),"",IF($K388&lt;=0.005,"",$D388-Hoje))</f>
        <v>0</v>
      </c>
      <c r="K388" s="21">
        <f>IF($E388="","",MAX(0,$E388-N($G388)))</f>
        <v>0</v>
      </c>
      <c r="L388" s="20">
        <f>IF($I388="Vencida","PAGAR JÁ (multa e juros)",IF($I388="Vence hoje","Pagar hoje",IF($I388="Vence em breve","Programar pagamento","")))</f>
        <v>0</v>
      </c>
    </row>
    <row r="389" spans="1:12">
      <c r="A389" s="13"/>
      <c r="B389" s="13"/>
      <c r="C389" s="13"/>
      <c r="D389" s="17"/>
      <c r="E389" s="18"/>
      <c r="F389" s="17"/>
      <c r="G389" s="18"/>
      <c r="H389" s="13"/>
      <c r="I389" s="19">
        <f>IF($E389="","",IF($K389&lt;=0.005,"Pago",IF($D389="","Sem vencimento",IF($D389&lt;Hoje,"Vencida",IF($D389=Hoje,"Vence hoje",IF($D389-Hoje&lt;=DiasAlerta,"Vence em breve","A vencer"))))))</f>
        <v>0</v>
      </c>
      <c r="J389" s="20">
        <f>IF(OR($E389="",$D389=""),"",IF($K389&lt;=0.005,"",$D389-Hoje))</f>
        <v>0</v>
      </c>
      <c r="K389" s="21">
        <f>IF($E389="","",MAX(0,$E389-N($G389)))</f>
        <v>0</v>
      </c>
      <c r="L389" s="20">
        <f>IF($I389="Vencida","PAGAR JÁ (multa e juros)",IF($I389="Vence hoje","Pagar hoje",IF($I389="Vence em breve","Programar pagamento","")))</f>
        <v>0</v>
      </c>
    </row>
    <row r="390" spans="1:12">
      <c r="A390" s="13"/>
      <c r="B390" s="13"/>
      <c r="C390" s="13"/>
      <c r="D390" s="17"/>
      <c r="E390" s="18"/>
      <c r="F390" s="17"/>
      <c r="G390" s="18"/>
      <c r="H390" s="13"/>
      <c r="I390" s="19">
        <f>IF($E390="","",IF($K390&lt;=0.005,"Pago",IF($D390="","Sem vencimento",IF($D390&lt;Hoje,"Vencida",IF($D390=Hoje,"Vence hoje",IF($D390-Hoje&lt;=DiasAlerta,"Vence em breve","A vencer"))))))</f>
        <v>0</v>
      </c>
      <c r="J390" s="20">
        <f>IF(OR($E390="",$D390=""),"",IF($K390&lt;=0.005,"",$D390-Hoje))</f>
        <v>0</v>
      </c>
      <c r="K390" s="21">
        <f>IF($E390="","",MAX(0,$E390-N($G390)))</f>
        <v>0</v>
      </c>
      <c r="L390" s="20">
        <f>IF($I390="Vencida","PAGAR JÁ (multa e juros)",IF($I390="Vence hoje","Pagar hoje",IF($I390="Vence em breve","Programar pagamento","")))</f>
        <v>0</v>
      </c>
    </row>
    <row r="391" spans="1:12">
      <c r="A391" s="13"/>
      <c r="B391" s="13"/>
      <c r="C391" s="13"/>
      <c r="D391" s="17"/>
      <c r="E391" s="18"/>
      <c r="F391" s="17"/>
      <c r="G391" s="18"/>
      <c r="H391" s="13"/>
      <c r="I391" s="19">
        <f>IF($E391="","",IF($K391&lt;=0.005,"Pago",IF($D391="","Sem vencimento",IF($D391&lt;Hoje,"Vencida",IF($D391=Hoje,"Vence hoje",IF($D391-Hoje&lt;=DiasAlerta,"Vence em breve","A vencer"))))))</f>
        <v>0</v>
      </c>
      <c r="J391" s="20">
        <f>IF(OR($E391="",$D391=""),"",IF($K391&lt;=0.005,"",$D391-Hoje))</f>
        <v>0</v>
      </c>
      <c r="K391" s="21">
        <f>IF($E391="","",MAX(0,$E391-N($G391)))</f>
        <v>0</v>
      </c>
      <c r="L391" s="20">
        <f>IF($I391="Vencida","PAGAR JÁ (multa e juros)",IF($I391="Vence hoje","Pagar hoje",IF($I391="Vence em breve","Programar pagamento","")))</f>
        <v>0</v>
      </c>
    </row>
    <row r="392" spans="1:12">
      <c r="A392" s="13"/>
      <c r="B392" s="13"/>
      <c r="C392" s="13"/>
      <c r="D392" s="17"/>
      <c r="E392" s="18"/>
      <c r="F392" s="17"/>
      <c r="G392" s="18"/>
      <c r="H392" s="13"/>
      <c r="I392" s="19">
        <f>IF($E392="","",IF($K392&lt;=0.005,"Pago",IF($D392="","Sem vencimento",IF($D392&lt;Hoje,"Vencida",IF($D392=Hoje,"Vence hoje",IF($D392-Hoje&lt;=DiasAlerta,"Vence em breve","A vencer"))))))</f>
        <v>0</v>
      </c>
      <c r="J392" s="20">
        <f>IF(OR($E392="",$D392=""),"",IF($K392&lt;=0.005,"",$D392-Hoje))</f>
        <v>0</v>
      </c>
      <c r="K392" s="21">
        <f>IF($E392="","",MAX(0,$E392-N($G392)))</f>
        <v>0</v>
      </c>
      <c r="L392" s="20">
        <f>IF($I392="Vencida","PAGAR JÁ (multa e juros)",IF($I392="Vence hoje","Pagar hoje",IF($I392="Vence em breve","Programar pagamento","")))</f>
        <v>0</v>
      </c>
    </row>
    <row r="393" spans="1:12">
      <c r="A393" s="13"/>
      <c r="B393" s="13"/>
      <c r="C393" s="13"/>
      <c r="D393" s="17"/>
      <c r="E393" s="18"/>
      <c r="F393" s="17"/>
      <c r="G393" s="18"/>
      <c r="H393" s="13"/>
      <c r="I393" s="19">
        <f>IF($E393="","",IF($K393&lt;=0.005,"Pago",IF($D393="","Sem vencimento",IF($D393&lt;Hoje,"Vencida",IF($D393=Hoje,"Vence hoje",IF($D393-Hoje&lt;=DiasAlerta,"Vence em breve","A vencer"))))))</f>
        <v>0</v>
      </c>
      <c r="J393" s="20">
        <f>IF(OR($E393="",$D393=""),"",IF($K393&lt;=0.005,"",$D393-Hoje))</f>
        <v>0</v>
      </c>
      <c r="K393" s="21">
        <f>IF($E393="","",MAX(0,$E393-N($G393)))</f>
        <v>0</v>
      </c>
      <c r="L393" s="20">
        <f>IF($I393="Vencida","PAGAR JÁ (multa e juros)",IF($I393="Vence hoje","Pagar hoje",IF($I393="Vence em breve","Programar pagamento","")))</f>
        <v>0</v>
      </c>
    </row>
    <row r="394" spans="1:12">
      <c r="A394" s="13"/>
      <c r="B394" s="13"/>
      <c r="C394" s="13"/>
      <c r="D394" s="17"/>
      <c r="E394" s="18"/>
      <c r="F394" s="17"/>
      <c r="G394" s="18"/>
      <c r="H394" s="13"/>
      <c r="I394" s="19">
        <f>IF($E394="","",IF($K394&lt;=0.005,"Pago",IF($D394="","Sem vencimento",IF($D394&lt;Hoje,"Vencida",IF($D394=Hoje,"Vence hoje",IF($D394-Hoje&lt;=DiasAlerta,"Vence em breve","A vencer"))))))</f>
        <v>0</v>
      </c>
      <c r="J394" s="20">
        <f>IF(OR($E394="",$D394=""),"",IF($K394&lt;=0.005,"",$D394-Hoje))</f>
        <v>0</v>
      </c>
      <c r="K394" s="21">
        <f>IF($E394="","",MAX(0,$E394-N($G394)))</f>
        <v>0</v>
      </c>
      <c r="L394" s="20">
        <f>IF($I394="Vencida","PAGAR JÁ (multa e juros)",IF($I394="Vence hoje","Pagar hoje",IF($I394="Vence em breve","Programar pagamento","")))</f>
        <v>0</v>
      </c>
    </row>
    <row r="395" spans="1:12">
      <c r="A395" s="13"/>
      <c r="B395" s="13"/>
      <c r="C395" s="13"/>
      <c r="D395" s="17"/>
      <c r="E395" s="18"/>
      <c r="F395" s="17"/>
      <c r="G395" s="18"/>
      <c r="H395" s="13"/>
      <c r="I395" s="19">
        <f>IF($E395="","",IF($K395&lt;=0.005,"Pago",IF($D395="","Sem vencimento",IF($D395&lt;Hoje,"Vencida",IF($D395=Hoje,"Vence hoje",IF($D395-Hoje&lt;=DiasAlerta,"Vence em breve","A vencer"))))))</f>
        <v>0</v>
      </c>
      <c r="J395" s="20">
        <f>IF(OR($E395="",$D395=""),"",IF($K395&lt;=0.005,"",$D395-Hoje))</f>
        <v>0</v>
      </c>
      <c r="K395" s="21">
        <f>IF($E395="","",MAX(0,$E395-N($G395)))</f>
        <v>0</v>
      </c>
      <c r="L395" s="20">
        <f>IF($I395="Vencida","PAGAR JÁ (multa e juros)",IF($I395="Vence hoje","Pagar hoje",IF($I395="Vence em breve","Programar pagamento","")))</f>
        <v>0</v>
      </c>
    </row>
    <row r="396" spans="1:12">
      <c r="A396" s="13"/>
      <c r="B396" s="13"/>
      <c r="C396" s="13"/>
      <c r="D396" s="17"/>
      <c r="E396" s="18"/>
      <c r="F396" s="17"/>
      <c r="G396" s="18"/>
      <c r="H396" s="13"/>
      <c r="I396" s="19">
        <f>IF($E396="","",IF($K396&lt;=0.005,"Pago",IF($D396="","Sem vencimento",IF($D396&lt;Hoje,"Vencida",IF($D396=Hoje,"Vence hoje",IF($D396-Hoje&lt;=DiasAlerta,"Vence em breve","A vencer"))))))</f>
        <v>0</v>
      </c>
      <c r="J396" s="20">
        <f>IF(OR($E396="",$D396=""),"",IF($K396&lt;=0.005,"",$D396-Hoje))</f>
        <v>0</v>
      </c>
      <c r="K396" s="21">
        <f>IF($E396="","",MAX(0,$E396-N($G396)))</f>
        <v>0</v>
      </c>
      <c r="L396" s="20">
        <f>IF($I396="Vencida","PAGAR JÁ (multa e juros)",IF($I396="Vence hoje","Pagar hoje",IF($I396="Vence em breve","Programar pagamento","")))</f>
        <v>0</v>
      </c>
    </row>
    <row r="397" spans="1:12">
      <c r="A397" s="13"/>
      <c r="B397" s="13"/>
      <c r="C397" s="13"/>
      <c r="D397" s="17"/>
      <c r="E397" s="18"/>
      <c r="F397" s="17"/>
      <c r="G397" s="18"/>
      <c r="H397" s="13"/>
      <c r="I397" s="19">
        <f>IF($E397="","",IF($K397&lt;=0.005,"Pago",IF($D397="","Sem vencimento",IF($D397&lt;Hoje,"Vencida",IF($D397=Hoje,"Vence hoje",IF($D397-Hoje&lt;=DiasAlerta,"Vence em breve","A vencer"))))))</f>
        <v>0</v>
      </c>
      <c r="J397" s="20">
        <f>IF(OR($E397="",$D397=""),"",IF($K397&lt;=0.005,"",$D397-Hoje))</f>
        <v>0</v>
      </c>
      <c r="K397" s="21">
        <f>IF($E397="","",MAX(0,$E397-N($G397)))</f>
        <v>0</v>
      </c>
      <c r="L397" s="20">
        <f>IF($I397="Vencida","PAGAR JÁ (multa e juros)",IF($I397="Vence hoje","Pagar hoje",IF($I397="Vence em breve","Programar pagamento","")))</f>
        <v>0</v>
      </c>
    </row>
    <row r="398" spans="1:12">
      <c r="A398" s="13"/>
      <c r="B398" s="13"/>
      <c r="C398" s="13"/>
      <c r="D398" s="17"/>
      <c r="E398" s="18"/>
      <c r="F398" s="17"/>
      <c r="G398" s="18"/>
      <c r="H398" s="13"/>
      <c r="I398" s="19">
        <f>IF($E398="","",IF($K398&lt;=0.005,"Pago",IF($D398="","Sem vencimento",IF($D398&lt;Hoje,"Vencida",IF($D398=Hoje,"Vence hoje",IF($D398-Hoje&lt;=DiasAlerta,"Vence em breve","A vencer"))))))</f>
        <v>0</v>
      </c>
      <c r="J398" s="20">
        <f>IF(OR($E398="",$D398=""),"",IF($K398&lt;=0.005,"",$D398-Hoje))</f>
        <v>0</v>
      </c>
      <c r="K398" s="21">
        <f>IF($E398="","",MAX(0,$E398-N($G398)))</f>
        <v>0</v>
      </c>
      <c r="L398" s="20">
        <f>IF($I398="Vencida","PAGAR JÁ (multa e juros)",IF($I398="Vence hoje","Pagar hoje",IF($I398="Vence em breve","Programar pagamento","")))</f>
        <v>0</v>
      </c>
    </row>
    <row r="399" spans="1:12">
      <c r="A399" s="13"/>
      <c r="B399" s="13"/>
      <c r="C399" s="13"/>
      <c r="D399" s="17"/>
      <c r="E399" s="18"/>
      <c r="F399" s="17"/>
      <c r="G399" s="18"/>
      <c r="H399" s="13"/>
      <c r="I399" s="19">
        <f>IF($E399="","",IF($K399&lt;=0.005,"Pago",IF($D399="","Sem vencimento",IF($D399&lt;Hoje,"Vencida",IF($D399=Hoje,"Vence hoje",IF($D399-Hoje&lt;=DiasAlerta,"Vence em breve","A vencer"))))))</f>
        <v>0</v>
      </c>
      <c r="J399" s="20">
        <f>IF(OR($E399="",$D399=""),"",IF($K399&lt;=0.005,"",$D399-Hoje))</f>
        <v>0</v>
      </c>
      <c r="K399" s="21">
        <f>IF($E399="","",MAX(0,$E399-N($G399)))</f>
        <v>0</v>
      </c>
      <c r="L399" s="20">
        <f>IF($I399="Vencida","PAGAR JÁ (multa e juros)",IF($I399="Vence hoje","Pagar hoje",IF($I399="Vence em breve","Programar pagamento","")))</f>
        <v>0</v>
      </c>
    </row>
    <row r="400" spans="1:12">
      <c r="A400" s="13"/>
      <c r="B400" s="13"/>
      <c r="C400" s="13"/>
      <c r="D400" s="17"/>
      <c r="E400" s="18"/>
      <c r="F400" s="17"/>
      <c r="G400" s="18"/>
      <c r="H400" s="13"/>
      <c r="I400" s="19">
        <f>IF($E400="","",IF($K400&lt;=0.005,"Pago",IF($D400="","Sem vencimento",IF($D400&lt;Hoje,"Vencida",IF($D400=Hoje,"Vence hoje",IF($D400-Hoje&lt;=DiasAlerta,"Vence em breve","A vencer"))))))</f>
        <v>0</v>
      </c>
      <c r="J400" s="20">
        <f>IF(OR($E400="",$D400=""),"",IF($K400&lt;=0.005,"",$D400-Hoje))</f>
        <v>0</v>
      </c>
      <c r="K400" s="21">
        <f>IF($E400="","",MAX(0,$E400-N($G400)))</f>
        <v>0</v>
      </c>
      <c r="L400" s="20">
        <f>IF($I400="Vencida","PAGAR JÁ (multa e juros)",IF($I400="Vence hoje","Pagar hoje",IF($I400="Vence em breve","Programar pagamento","")))</f>
        <v>0</v>
      </c>
    </row>
    <row r="401" spans="1:12">
      <c r="A401" s="13"/>
      <c r="B401" s="13"/>
      <c r="C401" s="13"/>
      <c r="D401" s="17"/>
      <c r="E401" s="18"/>
      <c r="F401" s="17"/>
      <c r="G401" s="18"/>
      <c r="H401" s="13"/>
      <c r="I401" s="19">
        <f>IF($E401="","",IF($K401&lt;=0.005,"Pago",IF($D401="","Sem vencimento",IF($D401&lt;Hoje,"Vencida",IF($D401=Hoje,"Vence hoje",IF($D401-Hoje&lt;=DiasAlerta,"Vence em breve","A vencer"))))))</f>
        <v>0</v>
      </c>
      <c r="J401" s="20">
        <f>IF(OR($E401="",$D401=""),"",IF($K401&lt;=0.005,"",$D401-Hoje))</f>
        <v>0</v>
      </c>
      <c r="K401" s="21">
        <f>IF($E401="","",MAX(0,$E401-N($G401)))</f>
        <v>0</v>
      </c>
      <c r="L401" s="20">
        <f>IF($I401="Vencida","PAGAR JÁ (multa e juros)",IF($I401="Vence hoje","Pagar hoje",IF($I401="Vence em breve","Programar pagamento","")))</f>
        <v>0</v>
      </c>
    </row>
    <row r="402" spans="1:12">
      <c r="A402" s="13"/>
      <c r="B402" s="13"/>
      <c r="C402" s="13"/>
      <c r="D402" s="17"/>
      <c r="E402" s="18"/>
      <c r="F402" s="17"/>
      <c r="G402" s="18"/>
      <c r="H402" s="13"/>
      <c r="I402" s="19">
        <f>IF($E402="","",IF($K402&lt;=0.005,"Pago",IF($D402="","Sem vencimento",IF($D402&lt;Hoje,"Vencida",IF($D402=Hoje,"Vence hoje",IF($D402-Hoje&lt;=DiasAlerta,"Vence em breve","A vencer"))))))</f>
        <v>0</v>
      </c>
      <c r="J402" s="20">
        <f>IF(OR($E402="",$D402=""),"",IF($K402&lt;=0.005,"",$D402-Hoje))</f>
        <v>0</v>
      </c>
      <c r="K402" s="21">
        <f>IF($E402="","",MAX(0,$E402-N($G402)))</f>
        <v>0</v>
      </c>
      <c r="L402" s="20">
        <f>IF($I402="Vencida","PAGAR JÁ (multa e juros)",IF($I402="Vence hoje","Pagar hoje",IF($I402="Vence em breve","Programar pagamento","")))</f>
        <v>0</v>
      </c>
    </row>
    <row r="403" spans="1:12">
      <c r="A403" s="13"/>
      <c r="B403" s="13"/>
      <c r="C403" s="13"/>
      <c r="D403" s="17"/>
      <c r="E403" s="18"/>
      <c r="F403" s="17"/>
      <c r="G403" s="18"/>
      <c r="H403" s="13"/>
      <c r="I403" s="19">
        <f>IF($E403="","",IF($K403&lt;=0.005,"Pago",IF($D403="","Sem vencimento",IF($D403&lt;Hoje,"Vencida",IF($D403=Hoje,"Vence hoje",IF($D403-Hoje&lt;=DiasAlerta,"Vence em breve","A vencer"))))))</f>
        <v>0</v>
      </c>
      <c r="J403" s="20">
        <f>IF(OR($E403="",$D403=""),"",IF($K403&lt;=0.005,"",$D403-Hoje))</f>
        <v>0</v>
      </c>
      <c r="K403" s="21">
        <f>IF($E403="","",MAX(0,$E403-N($G403)))</f>
        <v>0</v>
      </c>
      <c r="L403" s="20">
        <f>IF($I403="Vencida","PAGAR JÁ (multa e juros)",IF($I403="Vence hoje","Pagar hoje",IF($I403="Vence em breve","Programar pagamento","")))</f>
        <v>0</v>
      </c>
    </row>
    <row r="404" spans="1:12">
      <c r="A404" s="13"/>
      <c r="B404" s="13"/>
      <c r="C404" s="13"/>
      <c r="D404" s="17"/>
      <c r="E404" s="18"/>
      <c r="F404" s="17"/>
      <c r="G404" s="18"/>
      <c r="H404" s="13"/>
      <c r="I404" s="19">
        <f>IF($E404="","",IF($K404&lt;=0.005,"Pago",IF($D404="","Sem vencimento",IF($D404&lt;Hoje,"Vencida",IF($D404=Hoje,"Vence hoje",IF($D404-Hoje&lt;=DiasAlerta,"Vence em breve","A vencer"))))))</f>
        <v>0</v>
      </c>
      <c r="J404" s="20">
        <f>IF(OR($E404="",$D404=""),"",IF($K404&lt;=0.005,"",$D404-Hoje))</f>
        <v>0</v>
      </c>
      <c r="K404" s="21">
        <f>IF($E404="","",MAX(0,$E404-N($G404)))</f>
        <v>0</v>
      </c>
      <c r="L404" s="20">
        <f>IF($I404="Vencida","PAGAR JÁ (multa e juros)",IF($I404="Vence hoje","Pagar hoje",IF($I404="Vence em breve","Programar pagamento","")))</f>
        <v>0</v>
      </c>
    </row>
    <row r="405" spans="1:12">
      <c r="A405" s="13"/>
      <c r="B405" s="13"/>
      <c r="C405" s="13"/>
      <c r="D405" s="17"/>
      <c r="E405" s="18"/>
      <c r="F405" s="17"/>
      <c r="G405" s="18"/>
      <c r="H405" s="13"/>
      <c r="I405" s="19">
        <f>IF($E405="","",IF($K405&lt;=0.005,"Pago",IF($D405="","Sem vencimento",IF($D405&lt;Hoje,"Vencida",IF($D405=Hoje,"Vence hoje",IF($D405-Hoje&lt;=DiasAlerta,"Vence em breve","A vencer"))))))</f>
        <v>0</v>
      </c>
      <c r="J405" s="20">
        <f>IF(OR($E405="",$D405=""),"",IF($K405&lt;=0.005,"",$D405-Hoje))</f>
        <v>0</v>
      </c>
      <c r="K405" s="21">
        <f>IF($E405="","",MAX(0,$E405-N($G405)))</f>
        <v>0</v>
      </c>
      <c r="L405" s="20">
        <f>IF($I405="Vencida","PAGAR JÁ (multa e juros)",IF($I405="Vence hoje","Pagar hoje",IF($I405="Vence em breve","Programar pagamento","")))</f>
        <v>0</v>
      </c>
    </row>
    <row r="406" spans="1:12">
      <c r="A406" s="13"/>
      <c r="B406" s="13"/>
      <c r="C406" s="13"/>
      <c r="D406" s="17"/>
      <c r="E406" s="18"/>
      <c r="F406" s="17"/>
      <c r="G406" s="18"/>
      <c r="H406" s="13"/>
      <c r="I406" s="19">
        <f>IF($E406="","",IF($K406&lt;=0.005,"Pago",IF($D406="","Sem vencimento",IF($D406&lt;Hoje,"Vencida",IF($D406=Hoje,"Vence hoje",IF($D406-Hoje&lt;=DiasAlerta,"Vence em breve","A vencer"))))))</f>
        <v>0</v>
      </c>
      <c r="J406" s="20">
        <f>IF(OR($E406="",$D406=""),"",IF($K406&lt;=0.005,"",$D406-Hoje))</f>
        <v>0</v>
      </c>
      <c r="K406" s="21">
        <f>IF($E406="","",MAX(0,$E406-N($G406)))</f>
        <v>0</v>
      </c>
      <c r="L406" s="20">
        <f>IF($I406="Vencida","PAGAR JÁ (multa e juros)",IF($I406="Vence hoje","Pagar hoje",IF($I406="Vence em breve","Programar pagamento","")))</f>
        <v>0</v>
      </c>
    </row>
    <row r="407" spans="1:12">
      <c r="A407" s="13"/>
      <c r="B407" s="13"/>
      <c r="C407" s="13"/>
      <c r="D407" s="17"/>
      <c r="E407" s="18"/>
      <c r="F407" s="17"/>
      <c r="G407" s="18"/>
      <c r="H407" s="13"/>
      <c r="I407" s="19">
        <f>IF($E407="","",IF($K407&lt;=0.005,"Pago",IF($D407="","Sem vencimento",IF($D407&lt;Hoje,"Vencida",IF($D407=Hoje,"Vence hoje",IF($D407-Hoje&lt;=DiasAlerta,"Vence em breve","A vencer"))))))</f>
        <v>0</v>
      </c>
      <c r="J407" s="20">
        <f>IF(OR($E407="",$D407=""),"",IF($K407&lt;=0.005,"",$D407-Hoje))</f>
        <v>0</v>
      </c>
      <c r="K407" s="21">
        <f>IF($E407="","",MAX(0,$E407-N($G407)))</f>
        <v>0</v>
      </c>
      <c r="L407" s="20">
        <f>IF($I407="Vencida","PAGAR JÁ (multa e juros)",IF($I407="Vence hoje","Pagar hoje",IF($I407="Vence em breve","Programar pagamento","")))</f>
        <v>0</v>
      </c>
    </row>
    <row r="408" spans="1:12">
      <c r="A408" s="13"/>
      <c r="B408" s="13"/>
      <c r="C408" s="13"/>
      <c r="D408" s="17"/>
      <c r="E408" s="18"/>
      <c r="F408" s="17"/>
      <c r="G408" s="18"/>
      <c r="H408" s="13"/>
      <c r="I408" s="19">
        <f>IF($E408="","",IF($K408&lt;=0.005,"Pago",IF($D408="","Sem vencimento",IF($D408&lt;Hoje,"Vencida",IF($D408=Hoje,"Vence hoje",IF($D408-Hoje&lt;=DiasAlerta,"Vence em breve","A vencer"))))))</f>
        <v>0</v>
      </c>
      <c r="J408" s="20">
        <f>IF(OR($E408="",$D408=""),"",IF($K408&lt;=0.005,"",$D408-Hoje))</f>
        <v>0</v>
      </c>
      <c r="K408" s="21">
        <f>IF($E408="","",MAX(0,$E408-N($G408)))</f>
        <v>0</v>
      </c>
      <c r="L408" s="20">
        <f>IF($I408="Vencida","PAGAR JÁ (multa e juros)",IF($I408="Vence hoje","Pagar hoje",IF($I408="Vence em breve","Programar pagamento","")))</f>
        <v>0</v>
      </c>
    </row>
    <row r="409" spans="1:12">
      <c r="A409" s="13"/>
      <c r="B409" s="13"/>
      <c r="C409" s="13"/>
      <c r="D409" s="17"/>
      <c r="E409" s="18"/>
      <c r="F409" s="17"/>
      <c r="G409" s="18"/>
      <c r="H409" s="13"/>
      <c r="I409" s="19">
        <f>IF($E409="","",IF($K409&lt;=0.005,"Pago",IF($D409="","Sem vencimento",IF($D409&lt;Hoje,"Vencida",IF($D409=Hoje,"Vence hoje",IF($D409-Hoje&lt;=DiasAlerta,"Vence em breve","A vencer"))))))</f>
        <v>0</v>
      </c>
      <c r="J409" s="20">
        <f>IF(OR($E409="",$D409=""),"",IF($K409&lt;=0.005,"",$D409-Hoje))</f>
        <v>0</v>
      </c>
      <c r="K409" s="21">
        <f>IF($E409="","",MAX(0,$E409-N($G409)))</f>
        <v>0</v>
      </c>
      <c r="L409" s="20">
        <f>IF($I409="Vencida","PAGAR JÁ (multa e juros)",IF($I409="Vence hoje","Pagar hoje",IF($I409="Vence em breve","Programar pagamento","")))</f>
        <v>0</v>
      </c>
    </row>
    <row r="410" spans="1:12">
      <c r="A410" s="13"/>
      <c r="B410" s="13"/>
      <c r="C410" s="13"/>
      <c r="D410" s="17"/>
      <c r="E410" s="18"/>
      <c r="F410" s="17"/>
      <c r="G410" s="18"/>
      <c r="H410" s="13"/>
      <c r="I410" s="19">
        <f>IF($E410="","",IF($K410&lt;=0.005,"Pago",IF($D410="","Sem vencimento",IF($D410&lt;Hoje,"Vencida",IF($D410=Hoje,"Vence hoje",IF($D410-Hoje&lt;=DiasAlerta,"Vence em breve","A vencer"))))))</f>
        <v>0</v>
      </c>
      <c r="J410" s="20">
        <f>IF(OR($E410="",$D410=""),"",IF($K410&lt;=0.005,"",$D410-Hoje))</f>
        <v>0</v>
      </c>
      <c r="K410" s="21">
        <f>IF($E410="","",MAX(0,$E410-N($G410)))</f>
        <v>0</v>
      </c>
      <c r="L410" s="20">
        <f>IF($I410="Vencida","PAGAR JÁ (multa e juros)",IF($I410="Vence hoje","Pagar hoje",IF($I410="Vence em breve","Programar pagamento","")))</f>
        <v>0</v>
      </c>
    </row>
    <row r="411" spans="1:12">
      <c r="A411" s="13"/>
      <c r="B411" s="13"/>
      <c r="C411" s="13"/>
      <c r="D411" s="17"/>
      <c r="E411" s="18"/>
      <c r="F411" s="17"/>
      <c r="G411" s="18"/>
      <c r="H411" s="13"/>
      <c r="I411" s="19">
        <f>IF($E411="","",IF($K411&lt;=0.005,"Pago",IF($D411="","Sem vencimento",IF($D411&lt;Hoje,"Vencida",IF($D411=Hoje,"Vence hoje",IF($D411-Hoje&lt;=DiasAlerta,"Vence em breve","A vencer"))))))</f>
        <v>0</v>
      </c>
      <c r="J411" s="20">
        <f>IF(OR($E411="",$D411=""),"",IF($K411&lt;=0.005,"",$D411-Hoje))</f>
        <v>0</v>
      </c>
      <c r="K411" s="21">
        <f>IF($E411="","",MAX(0,$E411-N($G411)))</f>
        <v>0</v>
      </c>
      <c r="L411" s="20">
        <f>IF($I411="Vencida","PAGAR JÁ (multa e juros)",IF($I411="Vence hoje","Pagar hoje",IF($I411="Vence em breve","Programar pagamento","")))</f>
        <v>0</v>
      </c>
    </row>
    <row r="412" spans="1:12">
      <c r="A412" s="13"/>
      <c r="B412" s="13"/>
      <c r="C412" s="13"/>
      <c r="D412" s="17"/>
      <c r="E412" s="18"/>
      <c r="F412" s="17"/>
      <c r="G412" s="18"/>
      <c r="H412" s="13"/>
      <c r="I412" s="19">
        <f>IF($E412="","",IF($K412&lt;=0.005,"Pago",IF($D412="","Sem vencimento",IF($D412&lt;Hoje,"Vencida",IF($D412=Hoje,"Vence hoje",IF($D412-Hoje&lt;=DiasAlerta,"Vence em breve","A vencer"))))))</f>
        <v>0</v>
      </c>
      <c r="J412" s="20">
        <f>IF(OR($E412="",$D412=""),"",IF($K412&lt;=0.005,"",$D412-Hoje))</f>
        <v>0</v>
      </c>
      <c r="K412" s="21">
        <f>IF($E412="","",MAX(0,$E412-N($G412)))</f>
        <v>0</v>
      </c>
      <c r="L412" s="20">
        <f>IF($I412="Vencida","PAGAR JÁ (multa e juros)",IF($I412="Vence hoje","Pagar hoje",IF($I412="Vence em breve","Programar pagamento","")))</f>
        <v>0</v>
      </c>
    </row>
    <row r="413" spans="1:12">
      <c r="A413" s="13"/>
      <c r="B413" s="13"/>
      <c r="C413" s="13"/>
      <c r="D413" s="17"/>
      <c r="E413" s="18"/>
      <c r="F413" s="17"/>
      <c r="G413" s="18"/>
      <c r="H413" s="13"/>
      <c r="I413" s="19">
        <f>IF($E413="","",IF($K413&lt;=0.005,"Pago",IF($D413="","Sem vencimento",IF($D413&lt;Hoje,"Vencida",IF($D413=Hoje,"Vence hoje",IF($D413-Hoje&lt;=DiasAlerta,"Vence em breve","A vencer"))))))</f>
        <v>0</v>
      </c>
      <c r="J413" s="20">
        <f>IF(OR($E413="",$D413=""),"",IF($K413&lt;=0.005,"",$D413-Hoje))</f>
        <v>0</v>
      </c>
      <c r="K413" s="21">
        <f>IF($E413="","",MAX(0,$E413-N($G413)))</f>
        <v>0</v>
      </c>
      <c r="L413" s="20">
        <f>IF($I413="Vencida","PAGAR JÁ (multa e juros)",IF($I413="Vence hoje","Pagar hoje",IF($I413="Vence em breve","Programar pagamento","")))</f>
        <v>0</v>
      </c>
    </row>
    <row r="414" spans="1:12">
      <c r="A414" s="13"/>
      <c r="B414" s="13"/>
      <c r="C414" s="13"/>
      <c r="D414" s="17"/>
      <c r="E414" s="18"/>
      <c r="F414" s="17"/>
      <c r="G414" s="18"/>
      <c r="H414" s="13"/>
      <c r="I414" s="19">
        <f>IF($E414="","",IF($K414&lt;=0.005,"Pago",IF($D414="","Sem vencimento",IF($D414&lt;Hoje,"Vencida",IF($D414=Hoje,"Vence hoje",IF($D414-Hoje&lt;=DiasAlerta,"Vence em breve","A vencer"))))))</f>
        <v>0</v>
      </c>
      <c r="J414" s="20">
        <f>IF(OR($E414="",$D414=""),"",IF($K414&lt;=0.005,"",$D414-Hoje))</f>
        <v>0</v>
      </c>
      <c r="K414" s="21">
        <f>IF($E414="","",MAX(0,$E414-N($G414)))</f>
        <v>0</v>
      </c>
      <c r="L414" s="20">
        <f>IF($I414="Vencida","PAGAR JÁ (multa e juros)",IF($I414="Vence hoje","Pagar hoje",IF($I414="Vence em breve","Programar pagamento","")))</f>
        <v>0</v>
      </c>
    </row>
    <row r="415" spans="1:12">
      <c r="A415" s="13"/>
      <c r="B415" s="13"/>
      <c r="C415" s="13"/>
      <c r="D415" s="17"/>
      <c r="E415" s="18"/>
      <c r="F415" s="17"/>
      <c r="G415" s="18"/>
      <c r="H415" s="13"/>
      <c r="I415" s="19">
        <f>IF($E415="","",IF($K415&lt;=0.005,"Pago",IF($D415="","Sem vencimento",IF($D415&lt;Hoje,"Vencida",IF($D415=Hoje,"Vence hoje",IF($D415-Hoje&lt;=DiasAlerta,"Vence em breve","A vencer"))))))</f>
        <v>0</v>
      </c>
      <c r="J415" s="20">
        <f>IF(OR($E415="",$D415=""),"",IF($K415&lt;=0.005,"",$D415-Hoje))</f>
        <v>0</v>
      </c>
      <c r="K415" s="21">
        <f>IF($E415="","",MAX(0,$E415-N($G415)))</f>
        <v>0</v>
      </c>
      <c r="L415" s="20">
        <f>IF($I415="Vencida","PAGAR JÁ (multa e juros)",IF($I415="Vence hoje","Pagar hoje",IF($I415="Vence em breve","Programar pagamento","")))</f>
        <v>0</v>
      </c>
    </row>
    <row r="416" spans="1:12">
      <c r="A416" s="13"/>
      <c r="B416" s="13"/>
      <c r="C416" s="13"/>
      <c r="D416" s="17"/>
      <c r="E416" s="18"/>
      <c r="F416" s="17"/>
      <c r="G416" s="18"/>
      <c r="H416" s="13"/>
      <c r="I416" s="19">
        <f>IF($E416="","",IF($K416&lt;=0.005,"Pago",IF($D416="","Sem vencimento",IF($D416&lt;Hoje,"Vencida",IF($D416=Hoje,"Vence hoje",IF($D416-Hoje&lt;=DiasAlerta,"Vence em breve","A vencer"))))))</f>
        <v>0</v>
      </c>
      <c r="J416" s="20">
        <f>IF(OR($E416="",$D416=""),"",IF($K416&lt;=0.005,"",$D416-Hoje))</f>
        <v>0</v>
      </c>
      <c r="K416" s="21">
        <f>IF($E416="","",MAX(0,$E416-N($G416)))</f>
        <v>0</v>
      </c>
      <c r="L416" s="20">
        <f>IF($I416="Vencida","PAGAR JÁ (multa e juros)",IF($I416="Vence hoje","Pagar hoje",IF($I416="Vence em breve","Programar pagamento","")))</f>
        <v>0</v>
      </c>
    </row>
    <row r="417" spans="1:12">
      <c r="A417" s="13"/>
      <c r="B417" s="13"/>
      <c r="C417" s="13"/>
      <c r="D417" s="17"/>
      <c r="E417" s="18"/>
      <c r="F417" s="17"/>
      <c r="G417" s="18"/>
      <c r="H417" s="13"/>
      <c r="I417" s="19">
        <f>IF($E417="","",IF($K417&lt;=0.005,"Pago",IF($D417="","Sem vencimento",IF($D417&lt;Hoje,"Vencida",IF($D417=Hoje,"Vence hoje",IF($D417-Hoje&lt;=DiasAlerta,"Vence em breve","A vencer"))))))</f>
        <v>0</v>
      </c>
      <c r="J417" s="20">
        <f>IF(OR($E417="",$D417=""),"",IF($K417&lt;=0.005,"",$D417-Hoje))</f>
        <v>0</v>
      </c>
      <c r="K417" s="21">
        <f>IF($E417="","",MAX(0,$E417-N($G417)))</f>
        <v>0</v>
      </c>
      <c r="L417" s="20">
        <f>IF($I417="Vencida","PAGAR JÁ (multa e juros)",IF($I417="Vence hoje","Pagar hoje",IF($I417="Vence em breve","Programar pagamento","")))</f>
        <v>0</v>
      </c>
    </row>
    <row r="418" spans="1:12">
      <c r="A418" s="13"/>
      <c r="B418" s="13"/>
      <c r="C418" s="13"/>
      <c r="D418" s="17"/>
      <c r="E418" s="18"/>
      <c r="F418" s="17"/>
      <c r="G418" s="18"/>
      <c r="H418" s="13"/>
      <c r="I418" s="19">
        <f>IF($E418="","",IF($K418&lt;=0.005,"Pago",IF($D418="","Sem vencimento",IF($D418&lt;Hoje,"Vencida",IF($D418=Hoje,"Vence hoje",IF($D418-Hoje&lt;=DiasAlerta,"Vence em breve","A vencer"))))))</f>
        <v>0</v>
      </c>
      <c r="J418" s="20">
        <f>IF(OR($E418="",$D418=""),"",IF($K418&lt;=0.005,"",$D418-Hoje))</f>
        <v>0</v>
      </c>
      <c r="K418" s="21">
        <f>IF($E418="","",MAX(0,$E418-N($G418)))</f>
        <v>0</v>
      </c>
      <c r="L418" s="20">
        <f>IF($I418="Vencida","PAGAR JÁ (multa e juros)",IF($I418="Vence hoje","Pagar hoje",IF($I418="Vence em breve","Programar pagamento","")))</f>
        <v>0</v>
      </c>
    </row>
    <row r="419" spans="1:12">
      <c r="A419" s="13"/>
      <c r="B419" s="13"/>
      <c r="C419" s="13"/>
      <c r="D419" s="17"/>
      <c r="E419" s="18"/>
      <c r="F419" s="17"/>
      <c r="G419" s="18"/>
      <c r="H419" s="13"/>
      <c r="I419" s="19">
        <f>IF($E419="","",IF($K419&lt;=0.005,"Pago",IF($D419="","Sem vencimento",IF($D419&lt;Hoje,"Vencida",IF($D419=Hoje,"Vence hoje",IF($D419-Hoje&lt;=DiasAlerta,"Vence em breve","A vencer"))))))</f>
        <v>0</v>
      </c>
      <c r="J419" s="20">
        <f>IF(OR($E419="",$D419=""),"",IF($K419&lt;=0.005,"",$D419-Hoje))</f>
        <v>0</v>
      </c>
      <c r="K419" s="21">
        <f>IF($E419="","",MAX(0,$E419-N($G419)))</f>
        <v>0</v>
      </c>
      <c r="L419" s="20">
        <f>IF($I419="Vencida","PAGAR JÁ (multa e juros)",IF($I419="Vence hoje","Pagar hoje",IF($I419="Vence em breve","Programar pagamento","")))</f>
        <v>0</v>
      </c>
    </row>
    <row r="420" spans="1:12">
      <c r="A420" s="13"/>
      <c r="B420" s="13"/>
      <c r="C420" s="13"/>
      <c r="D420" s="17"/>
      <c r="E420" s="18"/>
      <c r="F420" s="17"/>
      <c r="G420" s="18"/>
      <c r="H420" s="13"/>
      <c r="I420" s="19">
        <f>IF($E420="","",IF($K420&lt;=0.005,"Pago",IF($D420="","Sem vencimento",IF($D420&lt;Hoje,"Vencida",IF($D420=Hoje,"Vence hoje",IF($D420-Hoje&lt;=DiasAlerta,"Vence em breve","A vencer"))))))</f>
        <v>0</v>
      </c>
      <c r="J420" s="20">
        <f>IF(OR($E420="",$D420=""),"",IF($K420&lt;=0.005,"",$D420-Hoje))</f>
        <v>0</v>
      </c>
      <c r="K420" s="21">
        <f>IF($E420="","",MAX(0,$E420-N($G420)))</f>
        <v>0</v>
      </c>
      <c r="L420" s="20">
        <f>IF($I420="Vencida","PAGAR JÁ (multa e juros)",IF($I420="Vence hoje","Pagar hoje",IF($I420="Vence em breve","Programar pagamento","")))</f>
        <v>0</v>
      </c>
    </row>
    <row r="421" spans="1:12">
      <c r="A421" s="13"/>
      <c r="B421" s="13"/>
      <c r="C421" s="13"/>
      <c r="D421" s="17"/>
      <c r="E421" s="18"/>
      <c r="F421" s="17"/>
      <c r="G421" s="18"/>
      <c r="H421" s="13"/>
      <c r="I421" s="19">
        <f>IF($E421="","",IF($K421&lt;=0.005,"Pago",IF($D421="","Sem vencimento",IF($D421&lt;Hoje,"Vencida",IF($D421=Hoje,"Vence hoje",IF($D421-Hoje&lt;=DiasAlerta,"Vence em breve","A vencer"))))))</f>
        <v>0</v>
      </c>
      <c r="J421" s="20">
        <f>IF(OR($E421="",$D421=""),"",IF($K421&lt;=0.005,"",$D421-Hoje))</f>
        <v>0</v>
      </c>
      <c r="K421" s="21">
        <f>IF($E421="","",MAX(0,$E421-N($G421)))</f>
        <v>0</v>
      </c>
      <c r="L421" s="20">
        <f>IF($I421="Vencida","PAGAR JÁ (multa e juros)",IF($I421="Vence hoje","Pagar hoje",IF($I421="Vence em breve","Programar pagamento","")))</f>
        <v>0</v>
      </c>
    </row>
    <row r="422" spans="1:12">
      <c r="A422" s="13"/>
      <c r="B422" s="13"/>
      <c r="C422" s="13"/>
      <c r="D422" s="17"/>
      <c r="E422" s="18"/>
      <c r="F422" s="17"/>
      <c r="G422" s="18"/>
      <c r="H422" s="13"/>
      <c r="I422" s="19">
        <f>IF($E422="","",IF($K422&lt;=0.005,"Pago",IF($D422="","Sem vencimento",IF($D422&lt;Hoje,"Vencida",IF($D422=Hoje,"Vence hoje",IF($D422-Hoje&lt;=DiasAlerta,"Vence em breve","A vencer"))))))</f>
        <v>0</v>
      </c>
      <c r="J422" s="20">
        <f>IF(OR($E422="",$D422=""),"",IF($K422&lt;=0.005,"",$D422-Hoje))</f>
        <v>0</v>
      </c>
      <c r="K422" s="21">
        <f>IF($E422="","",MAX(0,$E422-N($G422)))</f>
        <v>0</v>
      </c>
      <c r="L422" s="20">
        <f>IF($I422="Vencida","PAGAR JÁ (multa e juros)",IF($I422="Vence hoje","Pagar hoje",IF($I422="Vence em breve","Programar pagamento","")))</f>
        <v>0</v>
      </c>
    </row>
    <row r="423" spans="1:12">
      <c r="A423" s="13"/>
      <c r="B423" s="13"/>
      <c r="C423" s="13"/>
      <c r="D423" s="17"/>
      <c r="E423" s="18"/>
      <c r="F423" s="17"/>
      <c r="G423" s="18"/>
      <c r="H423" s="13"/>
      <c r="I423" s="19">
        <f>IF($E423="","",IF($K423&lt;=0.005,"Pago",IF($D423="","Sem vencimento",IF($D423&lt;Hoje,"Vencida",IF($D423=Hoje,"Vence hoje",IF($D423-Hoje&lt;=DiasAlerta,"Vence em breve","A vencer"))))))</f>
        <v>0</v>
      </c>
      <c r="J423" s="20">
        <f>IF(OR($E423="",$D423=""),"",IF($K423&lt;=0.005,"",$D423-Hoje))</f>
        <v>0</v>
      </c>
      <c r="K423" s="21">
        <f>IF($E423="","",MAX(0,$E423-N($G423)))</f>
        <v>0</v>
      </c>
      <c r="L423" s="20">
        <f>IF($I423="Vencida","PAGAR JÁ (multa e juros)",IF($I423="Vence hoje","Pagar hoje",IF($I423="Vence em breve","Programar pagamento","")))</f>
        <v>0</v>
      </c>
    </row>
    <row r="424" spans="1:12">
      <c r="A424" s="13"/>
      <c r="B424" s="13"/>
      <c r="C424" s="13"/>
      <c r="D424" s="17"/>
      <c r="E424" s="18"/>
      <c r="F424" s="17"/>
      <c r="G424" s="18"/>
      <c r="H424" s="13"/>
      <c r="I424" s="19">
        <f>IF($E424="","",IF($K424&lt;=0.005,"Pago",IF($D424="","Sem vencimento",IF($D424&lt;Hoje,"Vencida",IF($D424=Hoje,"Vence hoje",IF($D424-Hoje&lt;=DiasAlerta,"Vence em breve","A vencer"))))))</f>
        <v>0</v>
      </c>
      <c r="J424" s="20">
        <f>IF(OR($E424="",$D424=""),"",IF($K424&lt;=0.005,"",$D424-Hoje))</f>
        <v>0</v>
      </c>
      <c r="K424" s="21">
        <f>IF($E424="","",MAX(0,$E424-N($G424)))</f>
        <v>0</v>
      </c>
      <c r="L424" s="20">
        <f>IF($I424="Vencida","PAGAR JÁ (multa e juros)",IF($I424="Vence hoje","Pagar hoje",IF($I424="Vence em breve","Programar pagamento","")))</f>
        <v>0</v>
      </c>
    </row>
    <row r="425" spans="1:12">
      <c r="A425" s="13"/>
      <c r="B425" s="13"/>
      <c r="C425" s="13"/>
      <c r="D425" s="17"/>
      <c r="E425" s="18"/>
      <c r="F425" s="17"/>
      <c r="G425" s="18"/>
      <c r="H425" s="13"/>
      <c r="I425" s="19">
        <f>IF($E425="","",IF($K425&lt;=0.005,"Pago",IF($D425="","Sem vencimento",IF($D425&lt;Hoje,"Vencida",IF($D425=Hoje,"Vence hoje",IF($D425-Hoje&lt;=DiasAlerta,"Vence em breve","A vencer"))))))</f>
        <v>0</v>
      </c>
      <c r="J425" s="20">
        <f>IF(OR($E425="",$D425=""),"",IF($K425&lt;=0.005,"",$D425-Hoje))</f>
        <v>0</v>
      </c>
      <c r="K425" s="21">
        <f>IF($E425="","",MAX(0,$E425-N($G425)))</f>
        <v>0</v>
      </c>
      <c r="L425" s="20">
        <f>IF($I425="Vencida","PAGAR JÁ (multa e juros)",IF($I425="Vence hoje","Pagar hoje",IF($I425="Vence em breve","Programar pagamento","")))</f>
        <v>0</v>
      </c>
    </row>
    <row r="426" spans="1:12">
      <c r="A426" s="13"/>
      <c r="B426" s="13"/>
      <c r="C426" s="13"/>
      <c r="D426" s="17"/>
      <c r="E426" s="18"/>
      <c r="F426" s="17"/>
      <c r="G426" s="18"/>
      <c r="H426" s="13"/>
      <c r="I426" s="19">
        <f>IF($E426="","",IF($K426&lt;=0.005,"Pago",IF($D426="","Sem vencimento",IF($D426&lt;Hoje,"Vencida",IF($D426=Hoje,"Vence hoje",IF($D426-Hoje&lt;=DiasAlerta,"Vence em breve","A vencer"))))))</f>
        <v>0</v>
      </c>
      <c r="J426" s="20">
        <f>IF(OR($E426="",$D426=""),"",IF($K426&lt;=0.005,"",$D426-Hoje))</f>
        <v>0</v>
      </c>
      <c r="K426" s="21">
        <f>IF($E426="","",MAX(0,$E426-N($G426)))</f>
        <v>0</v>
      </c>
      <c r="L426" s="20">
        <f>IF($I426="Vencida","PAGAR JÁ (multa e juros)",IF($I426="Vence hoje","Pagar hoje",IF($I426="Vence em breve","Programar pagamento","")))</f>
        <v>0</v>
      </c>
    </row>
    <row r="427" spans="1:12">
      <c r="A427" s="13"/>
      <c r="B427" s="13"/>
      <c r="C427" s="13"/>
      <c r="D427" s="17"/>
      <c r="E427" s="18"/>
      <c r="F427" s="17"/>
      <c r="G427" s="18"/>
      <c r="H427" s="13"/>
      <c r="I427" s="19">
        <f>IF($E427="","",IF($K427&lt;=0.005,"Pago",IF($D427="","Sem vencimento",IF($D427&lt;Hoje,"Vencida",IF($D427=Hoje,"Vence hoje",IF($D427-Hoje&lt;=DiasAlerta,"Vence em breve","A vencer"))))))</f>
        <v>0</v>
      </c>
      <c r="J427" s="20">
        <f>IF(OR($E427="",$D427=""),"",IF($K427&lt;=0.005,"",$D427-Hoje))</f>
        <v>0</v>
      </c>
      <c r="K427" s="21">
        <f>IF($E427="","",MAX(0,$E427-N($G427)))</f>
        <v>0</v>
      </c>
      <c r="L427" s="20">
        <f>IF($I427="Vencida","PAGAR JÁ (multa e juros)",IF($I427="Vence hoje","Pagar hoje",IF($I427="Vence em breve","Programar pagamento","")))</f>
        <v>0</v>
      </c>
    </row>
    <row r="428" spans="1:12">
      <c r="A428" s="13"/>
      <c r="B428" s="13"/>
      <c r="C428" s="13"/>
      <c r="D428" s="17"/>
      <c r="E428" s="18"/>
      <c r="F428" s="17"/>
      <c r="G428" s="18"/>
      <c r="H428" s="13"/>
      <c r="I428" s="19">
        <f>IF($E428="","",IF($K428&lt;=0.005,"Pago",IF($D428="","Sem vencimento",IF($D428&lt;Hoje,"Vencida",IF($D428=Hoje,"Vence hoje",IF($D428-Hoje&lt;=DiasAlerta,"Vence em breve","A vencer"))))))</f>
        <v>0</v>
      </c>
      <c r="J428" s="20">
        <f>IF(OR($E428="",$D428=""),"",IF($K428&lt;=0.005,"",$D428-Hoje))</f>
        <v>0</v>
      </c>
      <c r="K428" s="21">
        <f>IF($E428="","",MAX(0,$E428-N($G428)))</f>
        <v>0</v>
      </c>
      <c r="L428" s="20">
        <f>IF($I428="Vencida","PAGAR JÁ (multa e juros)",IF($I428="Vence hoje","Pagar hoje",IF($I428="Vence em breve","Programar pagamento","")))</f>
        <v>0</v>
      </c>
    </row>
    <row r="429" spans="1:12">
      <c r="A429" s="13"/>
      <c r="B429" s="13"/>
      <c r="C429" s="13"/>
      <c r="D429" s="17"/>
      <c r="E429" s="18"/>
      <c r="F429" s="17"/>
      <c r="G429" s="18"/>
      <c r="H429" s="13"/>
      <c r="I429" s="19">
        <f>IF($E429="","",IF($K429&lt;=0.005,"Pago",IF($D429="","Sem vencimento",IF($D429&lt;Hoje,"Vencida",IF($D429=Hoje,"Vence hoje",IF($D429-Hoje&lt;=DiasAlerta,"Vence em breve","A vencer"))))))</f>
        <v>0</v>
      </c>
      <c r="J429" s="20">
        <f>IF(OR($E429="",$D429=""),"",IF($K429&lt;=0.005,"",$D429-Hoje))</f>
        <v>0</v>
      </c>
      <c r="K429" s="21">
        <f>IF($E429="","",MAX(0,$E429-N($G429)))</f>
        <v>0</v>
      </c>
      <c r="L429" s="20">
        <f>IF($I429="Vencida","PAGAR JÁ (multa e juros)",IF($I429="Vence hoje","Pagar hoje",IF($I429="Vence em breve","Programar pagamento","")))</f>
        <v>0</v>
      </c>
    </row>
    <row r="430" spans="1:12">
      <c r="A430" s="13"/>
      <c r="B430" s="13"/>
      <c r="C430" s="13"/>
      <c r="D430" s="17"/>
      <c r="E430" s="18"/>
      <c r="F430" s="17"/>
      <c r="G430" s="18"/>
      <c r="H430" s="13"/>
      <c r="I430" s="19">
        <f>IF($E430="","",IF($K430&lt;=0.005,"Pago",IF($D430="","Sem vencimento",IF($D430&lt;Hoje,"Vencida",IF($D430=Hoje,"Vence hoje",IF($D430-Hoje&lt;=DiasAlerta,"Vence em breve","A vencer"))))))</f>
        <v>0</v>
      </c>
      <c r="J430" s="20">
        <f>IF(OR($E430="",$D430=""),"",IF($K430&lt;=0.005,"",$D430-Hoje))</f>
        <v>0</v>
      </c>
      <c r="K430" s="21">
        <f>IF($E430="","",MAX(0,$E430-N($G430)))</f>
        <v>0</v>
      </c>
      <c r="L430" s="20">
        <f>IF($I430="Vencida","PAGAR JÁ (multa e juros)",IF($I430="Vence hoje","Pagar hoje",IF($I430="Vence em breve","Programar pagamento","")))</f>
        <v>0</v>
      </c>
    </row>
    <row r="431" spans="1:12">
      <c r="A431" s="13"/>
      <c r="B431" s="13"/>
      <c r="C431" s="13"/>
      <c r="D431" s="17"/>
      <c r="E431" s="18"/>
      <c r="F431" s="17"/>
      <c r="G431" s="18"/>
      <c r="H431" s="13"/>
      <c r="I431" s="19">
        <f>IF($E431="","",IF($K431&lt;=0.005,"Pago",IF($D431="","Sem vencimento",IF($D431&lt;Hoje,"Vencida",IF($D431=Hoje,"Vence hoje",IF($D431-Hoje&lt;=DiasAlerta,"Vence em breve","A vencer"))))))</f>
        <v>0</v>
      </c>
      <c r="J431" s="20">
        <f>IF(OR($E431="",$D431=""),"",IF($K431&lt;=0.005,"",$D431-Hoje))</f>
        <v>0</v>
      </c>
      <c r="K431" s="21">
        <f>IF($E431="","",MAX(0,$E431-N($G431)))</f>
        <v>0</v>
      </c>
      <c r="L431" s="20">
        <f>IF($I431="Vencida","PAGAR JÁ (multa e juros)",IF($I431="Vence hoje","Pagar hoje",IF($I431="Vence em breve","Programar pagamento","")))</f>
        <v>0</v>
      </c>
    </row>
    <row r="432" spans="1:12">
      <c r="A432" s="13"/>
      <c r="B432" s="13"/>
      <c r="C432" s="13"/>
      <c r="D432" s="17"/>
      <c r="E432" s="18"/>
      <c r="F432" s="17"/>
      <c r="G432" s="18"/>
      <c r="H432" s="13"/>
      <c r="I432" s="19">
        <f>IF($E432="","",IF($K432&lt;=0.005,"Pago",IF($D432="","Sem vencimento",IF($D432&lt;Hoje,"Vencida",IF($D432=Hoje,"Vence hoje",IF($D432-Hoje&lt;=DiasAlerta,"Vence em breve","A vencer"))))))</f>
        <v>0</v>
      </c>
      <c r="J432" s="20">
        <f>IF(OR($E432="",$D432=""),"",IF($K432&lt;=0.005,"",$D432-Hoje))</f>
        <v>0</v>
      </c>
      <c r="K432" s="21">
        <f>IF($E432="","",MAX(0,$E432-N($G432)))</f>
        <v>0</v>
      </c>
      <c r="L432" s="20">
        <f>IF($I432="Vencida","PAGAR JÁ (multa e juros)",IF($I432="Vence hoje","Pagar hoje",IF($I432="Vence em breve","Programar pagamento","")))</f>
        <v>0</v>
      </c>
    </row>
    <row r="433" spans="1:12">
      <c r="A433" s="13"/>
      <c r="B433" s="13"/>
      <c r="C433" s="13"/>
      <c r="D433" s="17"/>
      <c r="E433" s="18"/>
      <c r="F433" s="17"/>
      <c r="G433" s="18"/>
      <c r="H433" s="13"/>
      <c r="I433" s="19">
        <f>IF($E433="","",IF($K433&lt;=0.005,"Pago",IF($D433="","Sem vencimento",IF($D433&lt;Hoje,"Vencida",IF($D433=Hoje,"Vence hoje",IF($D433-Hoje&lt;=DiasAlerta,"Vence em breve","A vencer"))))))</f>
        <v>0</v>
      </c>
      <c r="J433" s="20">
        <f>IF(OR($E433="",$D433=""),"",IF($K433&lt;=0.005,"",$D433-Hoje))</f>
        <v>0</v>
      </c>
      <c r="K433" s="21">
        <f>IF($E433="","",MAX(0,$E433-N($G433)))</f>
        <v>0</v>
      </c>
      <c r="L433" s="20">
        <f>IF($I433="Vencida","PAGAR JÁ (multa e juros)",IF($I433="Vence hoje","Pagar hoje",IF($I433="Vence em breve","Programar pagamento","")))</f>
        <v>0</v>
      </c>
    </row>
    <row r="434" spans="1:12">
      <c r="A434" s="13"/>
      <c r="B434" s="13"/>
      <c r="C434" s="13"/>
      <c r="D434" s="17"/>
      <c r="E434" s="18"/>
      <c r="F434" s="17"/>
      <c r="G434" s="18"/>
      <c r="H434" s="13"/>
      <c r="I434" s="19">
        <f>IF($E434="","",IF($K434&lt;=0.005,"Pago",IF($D434="","Sem vencimento",IF($D434&lt;Hoje,"Vencida",IF($D434=Hoje,"Vence hoje",IF($D434-Hoje&lt;=DiasAlerta,"Vence em breve","A vencer"))))))</f>
        <v>0</v>
      </c>
      <c r="J434" s="20">
        <f>IF(OR($E434="",$D434=""),"",IF($K434&lt;=0.005,"",$D434-Hoje))</f>
        <v>0</v>
      </c>
      <c r="K434" s="21">
        <f>IF($E434="","",MAX(0,$E434-N($G434)))</f>
        <v>0</v>
      </c>
      <c r="L434" s="20">
        <f>IF($I434="Vencida","PAGAR JÁ (multa e juros)",IF($I434="Vence hoje","Pagar hoje",IF($I434="Vence em breve","Programar pagamento","")))</f>
        <v>0</v>
      </c>
    </row>
    <row r="435" spans="1:12">
      <c r="A435" s="13"/>
      <c r="B435" s="13"/>
      <c r="C435" s="13"/>
      <c r="D435" s="17"/>
      <c r="E435" s="18"/>
      <c r="F435" s="17"/>
      <c r="G435" s="18"/>
      <c r="H435" s="13"/>
      <c r="I435" s="19">
        <f>IF($E435="","",IF($K435&lt;=0.005,"Pago",IF($D435="","Sem vencimento",IF($D435&lt;Hoje,"Vencida",IF($D435=Hoje,"Vence hoje",IF($D435-Hoje&lt;=DiasAlerta,"Vence em breve","A vencer"))))))</f>
        <v>0</v>
      </c>
      <c r="J435" s="20">
        <f>IF(OR($E435="",$D435=""),"",IF($K435&lt;=0.005,"",$D435-Hoje))</f>
        <v>0</v>
      </c>
      <c r="K435" s="21">
        <f>IF($E435="","",MAX(0,$E435-N($G435)))</f>
        <v>0</v>
      </c>
      <c r="L435" s="20">
        <f>IF($I435="Vencida","PAGAR JÁ (multa e juros)",IF($I435="Vence hoje","Pagar hoje",IF($I435="Vence em breve","Programar pagamento","")))</f>
        <v>0</v>
      </c>
    </row>
    <row r="436" spans="1:12">
      <c r="A436" s="13"/>
      <c r="B436" s="13"/>
      <c r="C436" s="13"/>
      <c r="D436" s="17"/>
      <c r="E436" s="18"/>
      <c r="F436" s="17"/>
      <c r="G436" s="18"/>
      <c r="H436" s="13"/>
      <c r="I436" s="19">
        <f>IF($E436="","",IF($K436&lt;=0.005,"Pago",IF($D436="","Sem vencimento",IF($D436&lt;Hoje,"Vencida",IF($D436=Hoje,"Vence hoje",IF($D436-Hoje&lt;=DiasAlerta,"Vence em breve","A vencer"))))))</f>
        <v>0</v>
      </c>
      <c r="J436" s="20">
        <f>IF(OR($E436="",$D436=""),"",IF($K436&lt;=0.005,"",$D436-Hoje))</f>
        <v>0</v>
      </c>
      <c r="K436" s="21">
        <f>IF($E436="","",MAX(0,$E436-N($G436)))</f>
        <v>0</v>
      </c>
      <c r="L436" s="20">
        <f>IF($I436="Vencida","PAGAR JÁ (multa e juros)",IF($I436="Vence hoje","Pagar hoje",IF($I436="Vence em breve","Programar pagamento","")))</f>
        <v>0</v>
      </c>
    </row>
    <row r="437" spans="1:12">
      <c r="A437" s="13"/>
      <c r="B437" s="13"/>
      <c r="C437" s="13"/>
      <c r="D437" s="17"/>
      <c r="E437" s="18"/>
      <c r="F437" s="17"/>
      <c r="G437" s="18"/>
      <c r="H437" s="13"/>
      <c r="I437" s="19">
        <f>IF($E437="","",IF($K437&lt;=0.005,"Pago",IF($D437="","Sem vencimento",IF($D437&lt;Hoje,"Vencida",IF($D437=Hoje,"Vence hoje",IF($D437-Hoje&lt;=DiasAlerta,"Vence em breve","A vencer"))))))</f>
        <v>0</v>
      </c>
      <c r="J437" s="20">
        <f>IF(OR($E437="",$D437=""),"",IF($K437&lt;=0.005,"",$D437-Hoje))</f>
        <v>0</v>
      </c>
      <c r="K437" s="21">
        <f>IF($E437="","",MAX(0,$E437-N($G437)))</f>
        <v>0</v>
      </c>
      <c r="L437" s="20">
        <f>IF($I437="Vencida","PAGAR JÁ (multa e juros)",IF($I437="Vence hoje","Pagar hoje",IF($I437="Vence em breve","Programar pagamento","")))</f>
        <v>0</v>
      </c>
    </row>
    <row r="438" spans="1:12">
      <c r="A438" s="13"/>
      <c r="B438" s="13"/>
      <c r="C438" s="13"/>
      <c r="D438" s="17"/>
      <c r="E438" s="18"/>
      <c r="F438" s="17"/>
      <c r="G438" s="18"/>
      <c r="H438" s="13"/>
      <c r="I438" s="19">
        <f>IF($E438="","",IF($K438&lt;=0.005,"Pago",IF($D438="","Sem vencimento",IF($D438&lt;Hoje,"Vencida",IF($D438=Hoje,"Vence hoje",IF($D438-Hoje&lt;=DiasAlerta,"Vence em breve","A vencer"))))))</f>
        <v>0</v>
      </c>
      <c r="J438" s="20">
        <f>IF(OR($E438="",$D438=""),"",IF($K438&lt;=0.005,"",$D438-Hoje))</f>
        <v>0</v>
      </c>
      <c r="K438" s="21">
        <f>IF($E438="","",MAX(0,$E438-N($G438)))</f>
        <v>0</v>
      </c>
      <c r="L438" s="20">
        <f>IF($I438="Vencida","PAGAR JÁ (multa e juros)",IF($I438="Vence hoje","Pagar hoje",IF($I438="Vence em breve","Programar pagamento","")))</f>
        <v>0</v>
      </c>
    </row>
    <row r="439" spans="1:12">
      <c r="A439" s="13"/>
      <c r="B439" s="13"/>
      <c r="C439" s="13"/>
      <c r="D439" s="17"/>
      <c r="E439" s="18"/>
      <c r="F439" s="17"/>
      <c r="G439" s="18"/>
      <c r="H439" s="13"/>
      <c r="I439" s="19">
        <f>IF($E439="","",IF($K439&lt;=0.005,"Pago",IF($D439="","Sem vencimento",IF($D439&lt;Hoje,"Vencida",IF($D439=Hoje,"Vence hoje",IF($D439-Hoje&lt;=DiasAlerta,"Vence em breve","A vencer"))))))</f>
        <v>0</v>
      </c>
      <c r="J439" s="20">
        <f>IF(OR($E439="",$D439=""),"",IF($K439&lt;=0.005,"",$D439-Hoje))</f>
        <v>0</v>
      </c>
      <c r="K439" s="21">
        <f>IF($E439="","",MAX(0,$E439-N($G439)))</f>
        <v>0</v>
      </c>
      <c r="L439" s="20">
        <f>IF($I439="Vencida","PAGAR JÁ (multa e juros)",IF($I439="Vence hoje","Pagar hoje",IF($I439="Vence em breve","Programar pagamento","")))</f>
        <v>0</v>
      </c>
    </row>
    <row r="440" spans="1:12">
      <c r="A440" s="13"/>
      <c r="B440" s="13"/>
      <c r="C440" s="13"/>
      <c r="D440" s="17"/>
      <c r="E440" s="18"/>
      <c r="F440" s="17"/>
      <c r="G440" s="18"/>
      <c r="H440" s="13"/>
      <c r="I440" s="19">
        <f>IF($E440="","",IF($K440&lt;=0.005,"Pago",IF($D440="","Sem vencimento",IF($D440&lt;Hoje,"Vencida",IF($D440=Hoje,"Vence hoje",IF($D440-Hoje&lt;=DiasAlerta,"Vence em breve","A vencer"))))))</f>
        <v>0</v>
      </c>
      <c r="J440" s="20">
        <f>IF(OR($E440="",$D440=""),"",IF($K440&lt;=0.005,"",$D440-Hoje))</f>
        <v>0</v>
      </c>
      <c r="K440" s="21">
        <f>IF($E440="","",MAX(0,$E440-N($G440)))</f>
        <v>0</v>
      </c>
      <c r="L440" s="20">
        <f>IF($I440="Vencida","PAGAR JÁ (multa e juros)",IF($I440="Vence hoje","Pagar hoje",IF($I440="Vence em breve","Programar pagamento","")))</f>
        <v>0</v>
      </c>
    </row>
    <row r="441" spans="1:12">
      <c r="A441" s="13"/>
      <c r="B441" s="13"/>
      <c r="C441" s="13"/>
      <c r="D441" s="17"/>
      <c r="E441" s="18"/>
      <c r="F441" s="17"/>
      <c r="G441" s="18"/>
      <c r="H441" s="13"/>
      <c r="I441" s="19">
        <f>IF($E441="","",IF($K441&lt;=0.005,"Pago",IF($D441="","Sem vencimento",IF($D441&lt;Hoje,"Vencida",IF($D441=Hoje,"Vence hoje",IF($D441-Hoje&lt;=DiasAlerta,"Vence em breve","A vencer"))))))</f>
        <v>0</v>
      </c>
      <c r="J441" s="20">
        <f>IF(OR($E441="",$D441=""),"",IF($K441&lt;=0.005,"",$D441-Hoje))</f>
        <v>0</v>
      </c>
      <c r="K441" s="21">
        <f>IF($E441="","",MAX(0,$E441-N($G441)))</f>
        <v>0</v>
      </c>
      <c r="L441" s="20">
        <f>IF($I441="Vencida","PAGAR JÁ (multa e juros)",IF($I441="Vence hoje","Pagar hoje",IF($I441="Vence em breve","Programar pagamento","")))</f>
        <v>0</v>
      </c>
    </row>
    <row r="442" spans="1:12">
      <c r="A442" s="13"/>
      <c r="B442" s="13"/>
      <c r="C442" s="13"/>
      <c r="D442" s="17"/>
      <c r="E442" s="18"/>
      <c r="F442" s="17"/>
      <c r="G442" s="18"/>
      <c r="H442" s="13"/>
      <c r="I442" s="19">
        <f>IF($E442="","",IF($K442&lt;=0.005,"Pago",IF($D442="","Sem vencimento",IF($D442&lt;Hoje,"Vencida",IF($D442=Hoje,"Vence hoje",IF($D442-Hoje&lt;=DiasAlerta,"Vence em breve","A vencer"))))))</f>
        <v>0</v>
      </c>
      <c r="J442" s="20">
        <f>IF(OR($E442="",$D442=""),"",IF($K442&lt;=0.005,"",$D442-Hoje))</f>
        <v>0</v>
      </c>
      <c r="K442" s="21">
        <f>IF($E442="","",MAX(0,$E442-N($G442)))</f>
        <v>0</v>
      </c>
      <c r="L442" s="20">
        <f>IF($I442="Vencida","PAGAR JÁ (multa e juros)",IF($I442="Vence hoje","Pagar hoje",IF($I442="Vence em breve","Programar pagamento","")))</f>
        <v>0</v>
      </c>
    </row>
    <row r="443" spans="1:12">
      <c r="A443" s="13"/>
      <c r="B443" s="13"/>
      <c r="C443" s="13"/>
      <c r="D443" s="17"/>
      <c r="E443" s="18"/>
      <c r="F443" s="17"/>
      <c r="G443" s="18"/>
      <c r="H443" s="13"/>
      <c r="I443" s="19">
        <f>IF($E443="","",IF($K443&lt;=0.005,"Pago",IF($D443="","Sem vencimento",IF($D443&lt;Hoje,"Vencida",IF($D443=Hoje,"Vence hoje",IF($D443-Hoje&lt;=DiasAlerta,"Vence em breve","A vencer"))))))</f>
        <v>0</v>
      </c>
      <c r="J443" s="20">
        <f>IF(OR($E443="",$D443=""),"",IF($K443&lt;=0.005,"",$D443-Hoje))</f>
        <v>0</v>
      </c>
      <c r="K443" s="21">
        <f>IF($E443="","",MAX(0,$E443-N($G443)))</f>
        <v>0</v>
      </c>
      <c r="L443" s="20">
        <f>IF($I443="Vencida","PAGAR JÁ (multa e juros)",IF($I443="Vence hoje","Pagar hoje",IF($I443="Vence em breve","Programar pagamento","")))</f>
        <v>0</v>
      </c>
    </row>
    <row r="444" spans="1:12">
      <c r="A444" s="13"/>
      <c r="B444" s="13"/>
      <c r="C444" s="13"/>
      <c r="D444" s="17"/>
      <c r="E444" s="18"/>
      <c r="F444" s="17"/>
      <c r="G444" s="18"/>
      <c r="H444" s="13"/>
      <c r="I444" s="19">
        <f>IF($E444="","",IF($K444&lt;=0.005,"Pago",IF($D444="","Sem vencimento",IF($D444&lt;Hoje,"Vencida",IF($D444=Hoje,"Vence hoje",IF($D444-Hoje&lt;=DiasAlerta,"Vence em breve","A vencer"))))))</f>
        <v>0</v>
      </c>
      <c r="J444" s="20">
        <f>IF(OR($E444="",$D444=""),"",IF($K444&lt;=0.005,"",$D444-Hoje))</f>
        <v>0</v>
      </c>
      <c r="K444" s="21">
        <f>IF($E444="","",MAX(0,$E444-N($G444)))</f>
        <v>0</v>
      </c>
      <c r="L444" s="20">
        <f>IF($I444="Vencida","PAGAR JÁ (multa e juros)",IF($I444="Vence hoje","Pagar hoje",IF($I444="Vence em breve","Programar pagamento","")))</f>
        <v>0</v>
      </c>
    </row>
    <row r="445" spans="1:12">
      <c r="A445" s="13"/>
      <c r="B445" s="13"/>
      <c r="C445" s="13"/>
      <c r="D445" s="17"/>
      <c r="E445" s="18"/>
      <c r="F445" s="17"/>
      <c r="G445" s="18"/>
      <c r="H445" s="13"/>
      <c r="I445" s="19">
        <f>IF($E445="","",IF($K445&lt;=0.005,"Pago",IF($D445="","Sem vencimento",IF($D445&lt;Hoje,"Vencida",IF($D445=Hoje,"Vence hoje",IF($D445-Hoje&lt;=DiasAlerta,"Vence em breve","A vencer"))))))</f>
        <v>0</v>
      </c>
      <c r="J445" s="20">
        <f>IF(OR($E445="",$D445=""),"",IF($K445&lt;=0.005,"",$D445-Hoje))</f>
        <v>0</v>
      </c>
      <c r="K445" s="21">
        <f>IF($E445="","",MAX(0,$E445-N($G445)))</f>
        <v>0</v>
      </c>
      <c r="L445" s="20">
        <f>IF($I445="Vencida","PAGAR JÁ (multa e juros)",IF($I445="Vence hoje","Pagar hoje",IF($I445="Vence em breve","Programar pagamento","")))</f>
        <v>0</v>
      </c>
    </row>
    <row r="446" spans="1:12">
      <c r="A446" s="13"/>
      <c r="B446" s="13"/>
      <c r="C446" s="13"/>
      <c r="D446" s="17"/>
      <c r="E446" s="18"/>
      <c r="F446" s="17"/>
      <c r="G446" s="18"/>
      <c r="H446" s="13"/>
      <c r="I446" s="19">
        <f>IF($E446="","",IF($K446&lt;=0.005,"Pago",IF($D446="","Sem vencimento",IF($D446&lt;Hoje,"Vencida",IF($D446=Hoje,"Vence hoje",IF($D446-Hoje&lt;=DiasAlerta,"Vence em breve","A vencer"))))))</f>
        <v>0</v>
      </c>
      <c r="J446" s="20">
        <f>IF(OR($E446="",$D446=""),"",IF($K446&lt;=0.005,"",$D446-Hoje))</f>
        <v>0</v>
      </c>
      <c r="K446" s="21">
        <f>IF($E446="","",MAX(0,$E446-N($G446)))</f>
        <v>0</v>
      </c>
      <c r="L446" s="20">
        <f>IF($I446="Vencida","PAGAR JÁ (multa e juros)",IF($I446="Vence hoje","Pagar hoje",IF($I446="Vence em breve","Programar pagamento","")))</f>
        <v>0</v>
      </c>
    </row>
    <row r="447" spans="1:12">
      <c r="A447" s="13"/>
      <c r="B447" s="13"/>
      <c r="C447" s="13"/>
      <c r="D447" s="17"/>
      <c r="E447" s="18"/>
      <c r="F447" s="17"/>
      <c r="G447" s="18"/>
      <c r="H447" s="13"/>
      <c r="I447" s="19">
        <f>IF($E447="","",IF($K447&lt;=0.005,"Pago",IF($D447="","Sem vencimento",IF($D447&lt;Hoje,"Vencida",IF($D447=Hoje,"Vence hoje",IF($D447-Hoje&lt;=DiasAlerta,"Vence em breve","A vencer"))))))</f>
        <v>0</v>
      </c>
      <c r="J447" s="20">
        <f>IF(OR($E447="",$D447=""),"",IF($K447&lt;=0.005,"",$D447-Hoje))</f>
        <v>0</v>
      </c>
      <c r="K447" s="21">
        <f>IF($E447="","",MAX(0,$E447-N($G447)))</f>
        <v>0</v>
      </c>
      <c r="L447" s="20">
        <f>IF($I447="Vencida","PAGAR JÁ (multa e juros)",IF($I447="Vence hoje","Pagar hoje",IF($I447="Vence em breve","Programar pagamento","")))</f>
        <v>0</v>
      </c>
    </row>
    <row r="448" spans="1:12">
      <c r="A448" s="13"/>
      <c r="B448" s="13"/>
      <c r="C448" s="13"/>
      <c r="D448" s="17"/>
      <c r="E448" s="18"/>
      <c r="F448" s="17"/>
      <c r="G448" s="18"/>
      <c r="H448" s="13"/>
      <c r="I448" s="19">
        <f>IF($E448="","",IF($K448&lt;=0.005,"Pago",IF($D448="","Sem vencimento",IF($D448&lt;Hoje,"Vencida",IF($D448=Hoje,"Vence hoje",IF($D448-Hoje&lt;=DiasAlerta,"Vence em breve","A vencer"))))))</f>
        <v>0</v>
      </c>
      <c r="J448" s="20">
        <f>IF(OR($E448="",$D448=""),"",IF($K448&lt;=0.005,"",$D448-Hoje))</f>
        <v>0</v>
      </c>
      <c r="K448" s="21">
        <f>IF($E448="","",MAX(0,$E448-N($G448)))</f>
        <v>0</v>
      </c>
      <c r="L448" s="20">
        <f>IF($I448="Vencida","PAGAR JÁ (multa e juros)",IF($I448="Vence hoje","Pagar hoje",IF($I448="Vence em breve","Programar pagamento","")))</f>
        <v>0</v>
      </c>
    </row>
    <row r="449" spans="1:12">
      <c r="A449" s="13"/>
      <c r="B449" s="13"/>
      <c r="C449" s="13"/>
      <c r="D449" s="17"/>
      <c r="E449" s="18"/>
      <c r="F449" s="17"/>
      <c r="G449" s="18"/>
      <c r="H449" s="13"/>
      <c r="I449" s="19">
        <f>IF($E449="","",IF($K449&lt;=0.005,"Pago",IF($D449="","Sem vencimento",IF($D449&lt;Hoje,"Vencida",IF($D449=Hoje,"Vence hoje",IF($D449-Hoje&lt;=DiasAlerta,"Vence em breve","A vencer"))))))</f>
        <v>0</v>
      </c>
      <c r="J449" s="20">
        <f>IF(OR($E449="",$D449=""),"",IF($K449&lt;=0.005,"",$D449-Hoje))</f>
        <v>0</v>
      </c>
      <c r="K449" s="21">
        <f>IF($E449="","",MAX(0,$E449-N($G449)))</f>
        <v>0</v>
      </c>
      <c r="L449" s="20">
        <f>IF($I449="Vencida","PAGAR JÁ (multa e juros)",IF($I449="Vence hoje","Pagar hoje",IF($I449="Vence em breve","Programar pagamento","")))</f>
        <v>0</v>
      </c>
    </row>
    <row r="450" spans="1:12">
      <c r="A450" s="13"/>
      <c r="B450" s="13"/>
      <c r="C450" s="13"/>
      <c r="D450" s="17"/>
      <c r="E450" s="18"/>
      <c r="F450" s="17"/>
      <c r="G450" s="18"/>
      <c r="H450" s="13"/>
      <c r="I450" s="19">
        <f>IF($E450="","",IF($K450&lt;=0.005,"Pago",IF($D450="","Sem vencimento",IF($D450&lt;Hoje,"Vencida",IF($D450=Hoje,"Vence hoje",IF($D450-Hoje&lt;=DiasAlerta,"Vence em breve","A vencer"))))))</f>
        <v>0</v>
      </c>
      <c r="J450" s="20">
        <f>IF(OR($E450="",$D450=""),"",IF($K450&lt;=0.005,"",$D450-Hoje))</f>
        <v>0</v>
      </c>
      <c r="K450" s="21">
        <f>IF($E450="","",MAX(0,$E450-N($G450)))</f>
        <v>0</v>
      </c>
      <c r="L450" s="20">
        <f>IF($I450="Vencida","PAGAR JÁ (multa e juros)",IF($I450="Vence hoje","Pagar hoje",IF($I450="Vence em breve","Programar pagamento","")))</f>
        <v>0</v>
      </c>
    </row>
    <row r="451" spans="1:12">
      <c r="A451" s="13"/>
      <c r="B451" s="13"/>
      <c r="C451" s="13"/>
      <c r="D451" s="17"/>
      <c r="E451" s="18"/>
      <c r="F451" s="17"/>
      <c r="G451" s="18"/>
      <c r="H451" s="13"/>
      <c r="I451" s="19">
        <f>IF($E451="","",IF($K451&lt;=0.005,"Pago",IF($D451="","Sem vencimento",IF($D451&lt;Hoje,"Vencida",IF($D451=Hoje,"Vence hoje",IF($D451-Hoje&lt;=DiasAlerta,"Vence em breve","A vencer"))))))</f>
        <v>0</v>
      </c>
      <c r="J451" s="20">
        <f>IF(OR($E451="",$D451=""),"",IF($K451&lt;=0.005,"",$D451-Hoje))</f>
        <v>0</v>
      </c>
      <c r="K451" s="21">
        <f>IF($E451="","",MAX(0,$E451-N($G451)))</f>
        <v>0</v>
      </c>
      <c r="L451" s="20">
        <f>IF($I451="Vencida","PAGAR JÁ (multa e juros)",IF($I451="Vence hoje","Pagar hoje",IF($I451="Vence em breve","Programar pagamento","")))</f>
        <v>0</v>
      </c>
    </row>
    <row r="452" spans="1:12">
      <c r="A452" s="13"/>
      <c r="B452" s="13"/>
      <c r="C452" s="13"/>
      <c r="D452" s="17"/>
      <c r="E452" s="18"/>
      <c r="F452" s="17"/>
      <c r="G452" s="18"/>
      <c r="H452" s="13"/>
      <c r="I452" s="19">
        <f>IF($E452="","",IF($K452&lt;=0.005,"Pago",IF($D452="","Sem vencimento",IF($D452&lt;Hoje,"Vencida",IF($D452=Hoje,"Vence hoje",IF($D452-Hoje&lt;=DiasAlerta,"Vence em breve","A vencer"))))))</f>
        <v>0</v>
      </c>
      <c r="J452" s="20">
        <f>IF(OR($E452="",$D452=""),"",IF($K452&lt;=0.005,"",$D452-Hoje))</f>
        <v>0</v>
      </c>
      <c r="K452" s="21">
        <f>IF($E452="","",MAX(0,$E452-N($G452)))</f>
        <v>0</v>
      </c>
      <c r="L452" s="20">
        <f>IF($I452="Vencida","PAGAR JÁ (multa e juros)",IF($I452="Vence hoje","Pagar hoje",IF($I452="Vence em breve","Programar pagamento","")))</f>
        <v>0</v>
      </c>
    </row>
    <row r="453" spans="1:12">
      <c r="A453" s="13"/>
      <c r="B453" s="13"/>
      <c r="C453" s="13"/>
      <c r="D453" s="17"/>
      <c r="E453" s="18"/>
      <c r="F453" s="17"/>
      <c r="G453" s="18"/>
      <c r="H453" s="13"/>
      <c r="I453" s="19">
        <f>IF($E453="","",IF($K453&lt;=0.005,"Pago",IF($D453="","Sem vencimento",IF($D453&lt;Hoje,"Vencida",IF($D453=Hoje,"Vence hoje",IF($D453-Hoje&lt;=DiasAlerta,"Vence em breve","A vencer"))))))</f>
        <v>0</v>
      </c>
      <c r="J453" s="20">
        <f>IF(OR($E453="",$D453=""),"",IF($K453&lt;=0.005,"",$D453-Hoje))</f>
        <v>0</v>
      </c>
      <c r="K453" s="21">
        <f>IF($E453="","",MAX(0,$E453-N($G453)))</f>
        <v>0</v>
      </c>
      <c r="L453" s="20">
        <f>IF($I453="Vencida","PAGAR JÁ (multa e juros)",IF($I453="Vence hoje","Pagar hoje",IF($I453="Vence em breve","Programar pagamento","")))</f>
        <v>0</v>
      </c>
    </row>
    <row r="454" spans="1:12">
      <c r="A454" s="13"/>
      <c r="B454" s="13"/>
      <c r="C454" s="13"/>
      <c r="D454" s="17"/>
      <c r="E454" s="18"/>
      <c r="F454" s="17"/>
      <c r="G454" s="18"/>
      <c r="H454" s="13"/>
      <c r="I454" s="19">
        <f>IF($E454="","",IF($K454&lt;=0.005,"Pago",IF($D454="","Sem vencimento",IF($D454&lt;Hoje,"Vencida",IF($D454=Hoje,"Vence hoje",IF($D454-Hoje&lt;=DiasAlerta,"Vence em breve","A vencer"))))))</f>
        <v>0</v>
      </c>
      <c r="J454" s="20">
        <f>IF(OR($E454="",$D454=""),"",IF($K454&lt;=0.005,"",$D454-Hoje))</f>
        <v>0</v>
      </c>
      <c r="K454" s="21">
        <f>IF($E454="","",MAX(0,$E454-N($G454)))</f>
        <v>0</v>
      </c>
      <c r="L454" s="20">
        <f>IF($I454="Vencida","PAGAR JÁ (multa e juros)",IF($I454="Vence hoje","Pagar hoje",IF($I454="Vence em breve","Programar pagamento","")))</f>
        <v>0</v>
      </c>
    </row>
    <row r="455" spans="1:12">
      <c r="A455" s="13"/>
      <c r="B455" s="13"/>
      <c r="C455" s="13"/>
      <c r="D455" s="17"/>
      <c r="E455" s="18"/>
      <c r="F455" s="17"/>
      <c r="G455" s="18"/>
      <c r="H455" s="13"/>
      <c r="I455" s="19">
        <f>IF($E455="","",IF($K455&lt;=0.005,"Pago",IF($D455="","Sem vencimento",IF($D455&lt;Hoje,"Vencida",IF($D455=Hoje,"Vence hoje",IF($D455-Hoje&lt;=DiasAlerta,"Vence em breve","A vencer"))))))</f>
        <v>0</v>
      </c>
      <c r="J455" s="20">
        <f>IF(OR($E455="",$D455=""),"",IF($K455&lt;=0.005,"",$D455-Hoje))</f>
        <v>0</v>
      </c>
      <c r="K455" s="21">
        <f>IF($E455="","",MAX(0,$E455-N($G455)))</f>
        <v>0</v>
      </c>
      <c r="L455" s="20">
        <f>IF($I455="Vencida","PAGAR JÁ (multa e juros)",IF($I455="Vence hoje","Pagar hoje",IF($I455="Vence em breve","Programar pagamento","")))</f>
        <v>0</v>
      </c>
    </row>
    <row r="456" spans="1:12">
      <c r="A456" s="13"/>
      <c r="B456" s="13"/>
      <c r="C456" s="13"/>
      <c r="D456" s="17"/>
      <c r="E456" s="18"/>
      <c r="F456" s="17"/>
      <c r="G456" s="18"/>
      <c r="H456" s="13"/>
      <c r="I456" s="19">
        <f>IF($E456="","",IF($K456&lt;=0.005,"Pago",IF($D456="","Sem vencimento",IF($D456&lt;Hoje,"Vencida",IF($D456=Hoje,"Vence hoje",IF($D456-Hoje&lt;=DiasAlerta,"Vence em breve","A vencer"))))))</f>
        <v>0</v>
      </c>
      <c r="J456" s="20">
        <f>IF(OR($E456="",$D456=""),"",IF($K456&lt;=0.005,"",$D456-Hoje))</f>
        <v>0</v>
      </c>
      <c r="K456" s="21">
        <f>IF($E456="","",MAX(0,$E456-N($G456)))</f>
        <v>0</v>
      </c>
      <c r="L456" s="20">
        <f>IF($I456="Vencida","PAGAR JÁ (multa e juros)",IF($I456="Vence hoje","Pagar hoje",IF($I456="Vence em breve","Programar pagamento","")))</f>
        <v>0</v>
      </c>
    </row>
    <row r="457" spans="1:12">
      <c r="A457" s="13"/>
      <c r="B457" s="13"/>
      <c r="C457" s="13"/>
      <c r="D457" s="17"/>
      <c r="E457" s="18"/>
      <c r="F457" s="17"/>
      <c r="G457" s="18"/>
      <c r="H457" s="13"/>
      <c r="I457" s="19">
        <f>IF($E457="","",IF($K457&lt;=0.005,"Pago",IF($D457="","Sem vencimento",IF($D457&lt;Hoje,"Vencida",IF($D457=Hoje,"Vence hoje",IF($D457-Hoje&lt;=DiasAlerta,"Vence em breve","A vencer"))))))</f>
        <v>0</v>
      </c>
      <c r="J457" s="20">
        <f>IF(OR($E457="",$D457=""),"",IF($K457&lt;=0.005,"",$D457-Hoje))</f>
        <v>0</v>
      </c>
      <c r="K457" s="21">
        <f>IF($E457="","",MAX(0,$E457-N($G457)))</f>
        <v>0</v>
      </c>
      <c r="L457" s="20">
        <f>IF($I457="Vencida","PAGAR JÁ (multa e juros)",IF($I457="Vence hoje","Pagar hoje",IF($I457="Vence em breve","Programar pagamento","")))</f>
        <v>0</v>
      </c>
    </row>
    <row r="458" spans="1:12">
      <c r="A458" s="13"/>
      <c r="B458" s="13"/>
      <c r="C458" s="13"/>
      <c r="D458" s="17"/>
      <c r="E458" s="18"/>
      <c r="F458" s="17"/>
      <c r="G458" s="18"/>
      <c r="H458" s="13"/>
      <c r="I458" s="19">
        <f>IF($E458="","",IF($K458&lt;=0.005,"Pago",IF($D458="","Sem vencimento",IF($D458&lt;Hoje,"Vencida",IF($D458=Hoje,"Vence hoje",IF($D458-Hoje&lt;=DiasAlerta,"Vence em breve","A vencer"))))))</f>
        <v>0</v>
      </c>
      <c r="J458" s="20">
        <f>IF(OR($E458="",$D458=""),"",IF($K458&lt;=0.005,"",$D458-Hoje))</f>
        <v>0</v>
      </c>
      <c r="K458" s="21">
        <f>IF($E458="","",MAX(0,$E458-N($G458)))</f>
        <v>0</v>
      </c>
      <c r="L458" s="20">
        <f>IF($I458="Vencida","PAGAR JÁ (multa e juros)",IF($I458="Vence hoje","Pagar hoje",IF($I458="Vence em breve","Programar pagamento","")))</f>
        <v>0</v>
      </c>
    </row>
    <row r="459" spans="1:12">
      <c r="A459" s="13"/>
      <c r="B459" s="13"/>
      <c r="C459" s="13"/>
      <c r="D459" s="17"/>
      <c r="E459" s="18"/>
      <c r="F459" s="17"/>
      <c r="G459" s="18"/>
      <c r="H459" s="13"/>
      <c r="I459" s="19">
        <f>IF($E459="","",IF($K459&lt;=0.005,"Pago",IF($D459="","Sem vencimento",IF($D459&lt;Hoje,"Vencida",IF($D459=Hoje,"Vence hoje",IF($D459-Hoje&lt;=DiasAlerta,"Vence em breve","A vencer"))))))</f>
        <v>0</v>
      </c>
      <c r="J459" s="20">
        <f>IF(OR($E459="",$D459=""),"",IF($K459&lt;=0.005,"",$D459-Hoje))</f>
        <v>0</v>
      </c>
      <c r="K459" s="21">
        <f>IF($E459="","",MAX(0,$E459-N($G459)))</f>
        <v>0</v>
      </c>
      <c r="L459" s="20">
        <f>IF($I459="Vencida","PAGAR JÁ (multa e juros)",IF($I459="Vence hoje","Pagar hoje",IF($I459="Vence em breve","Programar pagamento","")))</f>
        <v>0</v>
      </c>
    </row>
    <row r="460" spans="1:12">
      <c r="A460" s="13"/>
      <c r="B460" s="13"/>
      <c r="C460" s="13"/>
      <c r="D460" s="17"/>
      <c r="E460" s="18"/>
      <c r="F460" s="17"/>
      <c r="G460" s="18"/>
      <c r="H460" s="13"/>
      <c r="I460" s="19">
        <f>IF($E460="","",IF($K460&lt;=0.005,"Pago",IF($D460="","Sem vencimento",IF($D460&lt;Hoje,"Vencida",IF($D460=Hoje,"Vence hoje",IF($D460-Hoje&lt;=DiasAlerta,"Vence em breve","A vencer"))))))</f>
        <v>0</v>
      </c>
      <c r="J460" s="20">
        <f>IF(OR($E460="",$D460=""),"",IF($K460&lt;=0.005,"",$D460-Hoje))</f>
        <v>0</v>
      </c>
      <c r="K460" s="21">
        <f>IF($E460="","",MAX(0,$E460-N($G460)))</f>
        <v>0</v>
      </c>
      <c r="L460" s="20">
        <f>IF($I460="Vencida","PAGAR JÁ (multa e juros)",IF($I460="Vence hoje","Pagar hoje",IF($I460="Vence em breve","Programar pagamento","")))</f>
        <v>0</v>
      </c>
    </row>
    <row r="461" spans="1:12">
      <c r="A461" s="13"/>
      <c r="B461" s="13"/>
      <c r="C461" s="13"/>
      <c r="D461" s="17"/>
      <c r="E461" s="18"/>
      <c r="F461" s="17"/>
      <c r="G461" s="18"/>
      <c r="H461" s="13"/>
      <c r="I461" s="19">
        <f>IF($E461="","",IF($K461&lt;=0.005,"Pago",IF($D461="","Sem vencimento",IF($D461&lt;Hoje,"Vencida",IF($D461=Hoje,"Vence hoje",IF($D461-Hoje&lt;=DiasAlerta,"Vence em breve","A vencer"))))))</f>
        <v>0</v>
      </c>
      <c r="J461" s="20">
        <f>IF(OR($E461="",$D461=""),"",IF($K461&lt;=0.005,"",$D461-Hoje))</f>
        <v>0</v>
      </c>
      <c r="K461" s="21">
        <f>IF($E461="","",MAX(0,$E461-N($G461)))</f>
        <v>0</v>
      </c>
      <c r="L461" s="20">
        <f>IF($I461="Vencida","PAGAR JÁ (multa e juros)",IF($I461="Vence hoje","Pagar hoje",IF($I461="Vence em breve","Programar pagamento","")))</f>
        <v>0</v>
      </c>
    </row>
    <row r="462" spans="1:12">
      <c r="A462" s="13"/>
      <c r="B462" s="13"/>
      <c r="C462" s="13"/>
      <c r="D462" s="17"/>
      <c r="E462" s="18"/>
      <c r="F462" s="17"/>
      <c r="G462" s="18"/>
      <c r="H462" s="13"/>
      <c r="I462" s="19">
        <f>IF($E462="","",IF($K462&lt;=0.005,"Pago",IF($D462="","Sem vencimento",IF($D462&lt;Hoje,"Vencida",IF($D462=Hoje,"Vence hoje",IF($D462-Hoje&lt;=DiasAlerta,"Vence em breve","A vencer"))))))</f>
        <v>0</v>
      </c>
      <c r="J462" s="20">
        <f>IF(OR($E462="",$D462=""),"",IF($K462&lt;=0.005,"",$D462-Hoje))</f>
        <v>0</v>
      </c>
      <c r="K462" s="21">
        <f>IF($E462="","",MAX(0,$E462-N($G462)))</f>
        <v>0</v>
      </c>
      <c r="L462" s="20">
        <f>IF($I462="Vencida","PAGAR JÁ (multa e juros)",IF($I462="Vence hoje","Pagar hoje",IF($I462="Vence em breve","Programar pagamento","")))</f>
        <v>0</v>
      </c>
    </row>
    <row r="463" spans="1:12">
      <c r="A463" s="13"/>
      <c r="B463" s="13"/>
      <c r="C463" s="13"/>
      <c r="D463" s="17"/>
      <c r="E463" s="18"/>
      <c r="F463" s="17"/>
      <c r="G463" s="18"/>
      <c r="H463" s="13"/>
      <c r="I463" s="19">
        <f>IF($E463="","",IF($K463&lt;=0.005,"Pago",IF($D463="","Sem vencimento",IF($D463&lt;Hoje,"Vencida",IF($D463=Hoje,"Vence hoje",IF($D463-Hoje&lt;=DiasAlerta,"Vence em breve","A vencer"))))))</f>
        <v>0</v>
      </c>
      <c r="J463" s="20">
        <f>IF(OR($E463="",$D463=""),"",IF($K463&lt;=0.005,"",$D463-Hoje))</f>
        <v>0</v>
      </c>
      <c r="K463" s="21">
        <f>IF($E463="","",MAX(0,$E463-N($G463)))</f>
        <v>0</v>
      </c>
      <c r="L463" s="20">
        <f>IF($I463="Vencida","PAGAR JÁ (multa e juros)",IF($I463="Vence hoje","Pagar hoje",IF($I463="Vence em breve","Programar pagamento","")))</f>
        <v>0</v>
      </c>
    </row>
    <row r="464" spans="1:12">
      <c r="A464" s="13"/>
      <c r="B464" s="13"/>
      <c r="C464" s="13"/>
      <c r="D464" s="17"/>
      <c r="E464" s="18"/>
      <c r="F464" s="17"/>
      <c r="G464" s="18"/>
      <c r="H464" s="13"/>
      <c r="I464" s="19">
        <f>IF($E464="","",IF($K464&lt;=0.005,"Pago",IF($D464="","Sem vencimento",IF($D464&lt;Hoje,"Vencida",IF($D464=Hoje,"Vence hoje",IF($D464-Hoje&lt;=DiasAlerta,"Vence em breve","A vencer"))))))</f>
        <v>0</v>
      </c>
      <c r="J464" s="20">
        <f>IF(OR($E464="",$D464=""),"",IF($K464&lt;=0.005,"",$D464-Hoje))</f>
        <v>0</v>
      </c>
      <c r="K464" s="21">
        <f>IF($E464="","",MAX(0,$E464-N($G464)))</f>
        <v>0</v>
      </c>
      <c r="L464" s="20">
        <f>IF($I464="Vencida","PAGAR JÁ (multa e juros)",IF($I464="Vence hoje","Pagar hoje",IF($I464="Vence em breve","Programar pagamento","")))</f>
        <v>0</v>
      </c>
    </row>
    <row r="465" spans="1:12">
      <c r="A465" s="13"/>
      <c r="B465" s="13"/>
      <c r="C465" s="13"/>
      <c r="D465" s="17"/>
      <c r="E465" s="18"/>
      <c r="F465" s="17"/>
      <c r="G465" s="18"/>
      <c r="H465" s="13"/>
      <c r="I465" s="19">
        <f>IF($E465="","",IF($K465&lt;=0.005,"Pago",IF($D465="","Sem vencimento",IF($D465&lt;Hoje,"Vencida",IF($D465=Hoje,"Vence hoje",IF($D465-Hoje&lt;=DiasAlerta,"Vence em breve","A vencer"))))))</f>
        <v>0</v>
      </c>
      <c r="J465" s="20">
        <f>IF(OR($E465="",$D465=""),"",IF($K465&lt;=0.005,"",$D465-Hoje))</f>
        <v>0</v>
      </c>
      <c r="K465" s="21">
        <f>IF($E465="","",MAX(0,$E465-N($G465)))</f>
        <v>0</v>
      </c>
      <c r="L465" s="20">
        <f>IF($I465="Vencida","PAGAR JÁ (multa e juros)",IF($I465="Vence hoje","Pagar hoje",IF($I465="Vence em breve","Programar pagamento","")))</f>
        <v>0</v>
      </c>
    </row>
    <row r="466" spans="1:12">
      <c r="A466" s="13"/>
      <c r="B466" s="13"/>
      <c r="C466" s="13"/>
      <c r="D466" s="17"/>
      <c r="E466" s="18"/>
      <c r="F466" s="17"/>
      <c r="G466" s="18"/>
      <c r="H466" s="13"/>
      <c r="I466" s="19">
        <f>IF($E466="","",IF($K466&lt;=0.005,"Pago",IF($D466="","Sem vencimento",IF($D466&lt;Hoje,"Vencida",IF($D466=Hoje,"Vence hoje",IF($D466-Hoje&lt;=DiasAlerta,"Vence em breve","A vencer"))))))</f>
        <v>0</v>
      </c>
      <c r="J466" s="20">
        <f>IF(OR($E466="",$D466=""),"",IF($K466&lt;=0.005,"",$D466-Hoje))</f>
        <v>0</v>
      </c>
      <c r="K466" s="21">
        <f>IF($E466="","",MAX(0,$E466-N($G466)))</f>
        <v>0</v>
      </c>
      <c r="L466" s="20">
        <f>IF($I466="Vencida","PAGAR JÁ (multa e juros)",IF($I466="Vence hoje","Pagar hoje",IF($I466="Vence em breve","Programar pagamento","")))</f>
        <v>0</v>
      </c>
    </row>
    <row r="467" spans="1:12">
      <c r="A467" s="13"/>
      <c r="B467" s="13"/>
      <c r="C467" s="13"/>
      <c r="D467" s="17"/>
      <c r="E467" s="18"/>
      <c r="F467" s="17"/>
      <c r="G467" s="18"/>
      <c r="H467" s="13"/>
      <c r="I467" s="19">
        <f>IF($E467="","",IF($K467&lt;=0.005,"Pago",IF($D467="","Sem vencimento",IF($D467&lt;Hoje,"Vencida",IF($D467=Hoje,"Vence hoje",IF($D467-Hoje&lt;=DiasAlerta,"Vence em breve","A vencer"))))))</f>
        <v>0</v>
      </c>
      <c r="J467" s="20">
        <f>IF(OR($E467="",$D467=""),"",IF($K467&lt;=0.005,"",$D467-Hoje))</f>
        <v>0</v>
      </c>
      <c r="K467" s="21">
        <f>IF($E467="","",MAX(0,$E467-N($G467)))</f>
        <v>0</v>
      </c>
      <c r="L467" s="20">
        <f>IF($I467="Vencida","PAGAR JÁ (multa e juros)",IF($I467="Vence hoje","Pagar hoje",IF($I467="Vence em breve","Programar pagamento","")))</f>
        <v>0</v>
      </c>
    </row>
    <row r="468" spans="1:12">
      <c r="A468" s="13"/>
      <c r="B468" s="13"/>
      <c r="C468" s="13"/>
      <c r="D468" s="17"/>
      <c r="E468" s="18"/>
      <c r="F468" s="17"/>
      <c r="G468" s="18"/>
      <c r="H468" s="13"/>
      <c r="I468" s="19">
        <f>IF($E468="","",IF($K468&lt;=0.005,"Pago",IF($D468="","Sem vencimento",IF($D468&lt;Hoje,"Vencida",IF($D468=Hoje,"Vence hoje",IF($D468-Hoje&lt;=DiasAlerta,"Vence em breve","A vencer"))))))</f>
        <v>0</v>
      </c>
      <c r="J468" s="20">
        <f>IF(OR($E468="",$D468=""),"",IF($K468&lt;=0.005,"",$D468-Hoje))</f>
        <v>0</v>
      </c>
      <c r="K468" s="21">
        <f>IF($E468="","",MAX(0,$E468-N($G468)))</f>
        <v>0</v>
      </c>
      <c r="L468" s="20">
        <f>IF($I468="Vencida","PAGAR JÁ (multa e juros)",IF($I468="Vence hoje","Pagar hoje",IF($I468="Vence em breve","Programar pagamento","")))</f>
        <v>0</v>
      </c>
    </row>
    <row r="469" spans="1:12">
      <c r="A469" s="13"/>
      <c r="B469" s="13"/>
      <c r="C469" s="13"/>
      <c r="D469" s="17"/>
      <c r="E469" s="18"/>
      <c r="F469" s="17"/>
      <c r="G469" s="18"/>
      <c r="H469" s="13"/>
      <c r="I469" s="19">
        <f>IF($E469="","",IF($K469&lt;=0.005,"Pago",IF($D469="","Sem vencimento",IF($D469&lt;Hoje,"Vencida",IF($D469=Hoje,"Vence hoje",IF($D469-Hoje&lt;=DiasAlerta,"Vence em breve","A vencer"))))))</f>
        <v>0</v>
      </c>
      <c r="J469" s="20">
        <f>IF(OR($E469="",$D469=""),"",IF($K469&lt;=0.005,"",$D469-Hoje))</f>
        <v>0</v>
      </c>
      <c r="K469" s="21">
        <f>IF($E469="","",MAX(0,$E469-N($G469)))</f>
        <v>0</v>
      </c>
      <c r="L469" s="20">
        <f>IF($I469="Vencida","PAGAR JÁ (multa e juros)",IF($I469="Vence hoje","Pagar hoje",IF($I469="Vence em breve","Programar pagamento","")))</f>
        <v>0</v>
      </c>
    </row>
    <row r="470" spans="1:12">
      <c r="A470" s="13"/>
      <c r="B470" s="13"/>
      <c r="C470" s="13"/>
      <c r="D470" s="17"/>
      <c r="E470" s="18"/>
      <c r="F470" s="17"/>
      <c r="G470" s="18"/>
      <c r="H470" s="13"/>
      <c r="I470" s="19">
        <f>IF($E470="","",IF($K470&lt;=0.005,"Pago",IF($D470="","Sem vencimento",IF($D470&lt;Hoje,"Vencida",IF($D470=Hoje,"Vence hoje",IF($D470-Hoje&lt;=DiasAlerta,"Vence em breve","A vencer"))))))</f>
        <v>0</v>
      </c>
      <c r="J470" s="20">
        <f>IF(OR($E470="",$D470=""),"",IF($K470&lt;=0.005,"",$D470-Hoje))</f>
        <v>0</v>
      </c>
      <c r="K470" s="21">
        <f>IF($E470="","",MAX(0,$E470-N($G470)))</f>
        <v>0</v>
      </c>
      <c r="L470" s="20">
        <f>IF($I470="Vencida","PAGAR JÁ (multa e juros)",IF($I470="Vence hoje","Pagar hoje",IF($I470="Vence em breve","Programar pagamento","")))</f>
        <v>0</v>
      </c>
    </row>
    <row r="471" spans="1:12">
      <c r="A471" s="13"/>
      <c r="B471" s="13"/>
      <c r="C471" s="13"/>
      <c r="D471" s="17"/>
      <c r="E471" s="18"/>
      <c r="F471" s="17"/>
      <c r="G471" s="18"/>
      <c r="H471" s="13"/>
      <c r="I471" s="19">
        <f>IF($E471="","",IF($K471&lt;=0.005,"Pago",IF($D471="","Sem vencimento",IF($D471&lt;Hoje,"Vencida",IF($D471=Hoje,"Vence hoje",IF($D471-Hoje&lt;=DiasAlerta,"Vence em breve","A vencer"))))))</f>
        <v>0</v>
      </c>
      <c r="J471" s="20">
        <f>IF(OR($E471="",$D471=""),"",IF($K471&lt;=0.005,"",$D471-Hoje))</f>
        <v>0</v>
      </c>
      <c r="K471" s="21">
        <f>IF($E471="","",MAX(0,$E471-N($G471)))</f>
        <v>0</v>
      </c>
      <c r="L471" s="20">
        <f>IF($I471="Vencida","PAGAR JÁ (multa e juros)",IF($I471="Vence hoje","Pagar hoje",IF($I471="Vence em breve","Programar pagamento","")))</f>
        <v>0</v>
      </c>
    </row>
    <row r="472" spans="1:12">
      <c r="A472" s="13"/>
      <c r="B472" s="13"/>
      <c r="C472" s="13"/>
      <c r="D472" s="17"/>
      <c r="E472" s="18"/>
      <c r="F472" s="17"/>
      <c r="G472" s="18"/>
      <c r="H472" s="13"/>
      <c r="I472" s="19">
        <f>IF($E472="","",IF($K472&lt;=0.005,"Pago",IF($D472="","Sem vencimento",IF($D472&lt;Hoje,"Vencida",IF($D472=Hoje,"Vence hoje",IF($D472-Hoje&lt;=DiasAlerta,"Vence em breve","A vencer"))))))</f>
        <v>0</v>
      </c>
      <c r="J472" s="20">
        <f>IF(OR($E472="",$D472=""),"",IF($K472&lt;=0.005,"",$D472-Hoje))</f>
        <v>0</v>
      </c>
      <c r="K472" s="21">
        <f>IF($E472="","",MAX(0,$E472-N($G472)))</f>
        <v>0</v>
      </c>
      <c r="L472" s="20">
        <f>IF($I472="Vencida","PAGAR JÁ (multa e juros)",IF($I472="Vence hoje","Pagar hoje",IF($I472="Vence em breve","Programar pagamento","")))</f>
        <v>0</v>
      </c>
    </row>
    <row r="473" spans="1:12">
      <c r="A473" s="13"/>
      <c r="B473" s="13"/>
      <c r="C473" s="13"/>
      <c r="D473" s="17"/>
      <c r="E473" s="18"/>
      <c r="F473" s="17"/>
      <c r="G473" s="18"/>
      <c r="H473" s="13"/>
      <c r="I473" s="19">
        <f>IF($E473="","",IF($K473&lt;=0.005,"Pago",IF($D473="","Sem vencimento",IF($D473&lt;Hoje,"Vencida",IF($D473=Hoje,"Vence hoje",IF($D473-Hoje&lt;=DiasAlerta,"Vence em breve","A vencer"))))))</f>
        <v>0</v>
      </c>
      <c r="J473" s="20">
        <f>IF(OR($E473="",$D473=""),"",IF($K473&lt;=0.005,"",$D473-Hoje))</f>
        <v>0</v>
      </c>
      <c r="K473" s="21">
        <f>IF($E473="","",MAX(0,$E473-N($G473)))</f>
        <v>0</v>
      </c>
      <c r="L473" s="20">
        <f>IF($I473="Vencida","PAGAR JÁ (multa e juros)",IF($I473="Vence hoje","Pagar hoje",IF($I473="Vence em breve","Programar pagamento","")))</f>
        <v>0</v>
      </c>
    </row>
    <row r="474" spans="1:12">
      <c r="A474" s="13"/>
      <c r="B474" s="13"/>
      <c r="C474" s="13"/>
      <c r="D474" s="17"/>
      <c r="E474" s="18"/>
      <c r="F474" s="17"/>
      <c r="G474" s="18"/>
      <c r="H474" s="13"/>
      <c r="I474" s="19">
        <f>IF($E474="","",IF($K474&lt;=0.005,"Pago",IF($D474="","Sem vencimento",IF($D474&lt;Hoje,"Vencida",IF($D474=Hoje,"Vence hoje",IF($D474-Hoje&lt;=DiasAlerta,"Vence em breve","A vencer"))))))</f>
        <v>0</v>
      </c>
      <c r="J474" s="20">
        <f>IF(OR($E474="",$D474=""),"",IF($K474&lt;=0.005,"",$D474-Hoje))</f>
        <v>0</v>
      </c>
      <c r="K474" s="21">
        <f>IF($E474="","",MAX(0,$E474-N($G474)))</f>
        <v>0</v>
      </c>
      <c r="L474" s="20">
        <f>IF($I474="Vencida","PAGAR JÁ (multa e juros)",IF($I474="Vence hoje","Pagar hoje",IF($I474="Vence em breve","Programar pagamento","")))</f>
        <v>0</v>
      </c>
    </row>
    <row r="475" spans="1:12">
      <c r="A475" s="13"/>
      <c r="B475" s="13"/>
      <c r="C475" s="13"/>
      <c r="D475" s="17"/>
      <c r="E475" s="18"/>
      <c r="F475" s="17"/>
      <c r="G475" s="18"/>
      <c r="H475" s="13"/>
      <c r="I475" s="19">
        <f>IF($E475="","",IF($K475&lt;=0.005,"Pago",IF($D475="","Sem vencimento",IF($D475&lt;Hoje,"Vencida",IF($D475=Hoje,"Vence hoje",IF($D475-Hoje&lt;=DiasAlerta,"Vence em breve","A vencer"))))))</f>
        <v>0</v>
      </c>
      <c r="J475" s="20">
        <f>IF(OR($E475="",$D475=""),"",IF($K475&lt;=0.005,"",$D475-Hoje))</f>
        <v>0</v>
      </c>
      <c r="K475" s="21">
        <f>IF($E475="","",MAX(0,$E475-N($G475)))</f>
        <v>0</v>
      </c>
      <c r="L475" s="20">
        <f>IF($I475="Vencida","PAGAR JÁ (multa e juros)",IF($I475="Vence hoje","Pagar hoje",IF($I475="Vence em breve","Programar pagamento","")))</f>
        <v>0</v>
      </c>
    </row>
    <row r="476" spans="1:12">
      <c r="A476" s="13"/>
      <c r="B476" s="13"/>
      <c r="C476" s="13"/>
      <c r="D476" s="17"/>
      <c r="E476" s="18"/>
      <c r="F476" s="17"/>
      <c r="G476" s="18"/>
      <c r="H476" s="13"/>
      <c r="I476" s="19">
        <f>IF($E476="","",IF($K476&lt;=0.005,"Pago",IF($D476="","Sem vencimento",IF($D476&lt;Hoje,"Vencida",IF($D476=Hoje,"Vence hoje",IF($D476-Hoje&lt;=DiasAlerta,"Vence em breve","A vencer"))))))</f>
        <v>0</v>
      </c>
      <c r="J476" s="20">
        <f>IF(OR($E476="",$D476=""),"",IF($K476&lt;=0.005,"",$D476-Hoje))</f>
        <v>0</v>
      </c>
      <c r="K476" s="21">
        <f>IF($E476="","",MAX(0,$E476-N($G476)))</f>
        <v>0</v>
      </c>
      <c r="L476" s="20">
        <f>IF($I476="Vencida","PAGAR JÁ (multa e juros)",IF($I476="Vence hoje","Pagar hoje",IF($I476="Vence em breve","Programar pagamento","")))</f>
        <v>0</v>
      </c>
    </row>
    <row r="477" spans="1:12">
      <c r="A477" s="13"/>
      <c r="B477" s="13"/>
      <c r="C477" s="13"/>
      <c r="D477" s="17"/>
      <c r="E477" s="18"/>
      <c r="F477" s="17"/>
      <c r="G477" s="18"/>
      <c r="H477" s="13"/>
      <c r="I477" s="19">
        <f>IF($E477="","",IF($K477&lt;=0.005,"Pago",IF($D477="","Sem vencimento",IF($D477&lt;Hoje,"Vencida",IF($D477=Hoje,"Vence hoje",IF($D477-Hoje&lt;=DiasAlerta,"Vence em breve","A vencer"))))))</f>
        <v>0</v>
      </c>
      <c r="J477" s="20">
        <f>IF(OR($E477="",$D477=""),"",IF($K477&lt;=0.005,"",$D477-Hoje))</f>
        <v>0</v>
      </c>
      <c r="K477" s="21">
        <f>IF($E477="","",MAX(0,$E477-N($G477)))</f>
        <v>0</v>
      </c>
      <c r="L477" s="20">
        <f>IF($I477="Vencida","PAGAR JÁ (multa e juros)",IF($I477="Vence hoje","Pagar hoje",IF($I477="Vence em breve","Programar pagamento","")))</f>
        <v>0</v>
      </c>
    </row>
    <row r="478" spans="1:12">
      <c r="A478" s="13"/>
      <c r="B478" s="13"/>
      <c r="C478" s="13"/>
      <c r="D478" s="17"/>
      <c r="E478" s="18"/>
      <c r="F478" s="17"/>
      <c r="G478" s="18"/>
      <c r="H478" s="13"/>
      <c r="I478" s="19">
        <f>IF($E478="","",IF($K478&lt;=0.005,"Pago",IF($D478="","Sem vencimento",IF($D478&lt;Hoje,"Vencida",IF($D478=Hoje,"Vence hoje",IF($D478-Hoje&lt;=DiasAlerta,"Vence em breve","A vencer"))))))</f>
        <v>0</v>
      </c>
      <c r="J478" s="20">
        <f>IF(OR($E478="",$D478=""),"",IF($K478&lt;=0.005,"",$D478-Hoje))</f>
        <v>0</v>
      </c>
      <c r="K478" s="21">
        <f>IF($E478="","",MAX(0,$E478-N($G478)))</f>
        <v>0</v>
      </c>
      <c r="L478" s="20">
        <f>IF($I478="Vencida","PAGAR JÁ (multa e juros)",IF($I478="Vence hoje","Pagar hoje",IF($I478="Vence em breve","Programar pagamento","")))</f>
        <v>0</v>
      </c>
    </row>
    <row r="479" spans="1:12">
      <c r="A479" s="13"/>
      <c r="B479" s="13"/>
      <c r="C479" s="13"/>
      <c r="D479" s="17"/>
      <c r="E479" s="18"/>
      <c r="F479" s="17"/>
      <c r="G479" s="18"/>
      <c r="H479" s="13"/>
      <c r="I479" s="19">
        <f>IF($E479="","",IF($K479&lt;=0.005,"Pago",IF($D479="","Sem vencimento",IF($D479&lt;Hoje,"Vencida",IF($D479=Hoje,"Vence hoje",IF($D479-Hoje&lt;=DiasAlerta,"Vence em breve","A vencer"))))))</f>
        <v>0</v>
      </c>
      <c r="J479" s="20">
        <f>IF(OR($E479="",$D479=""),"",IF($K479&lt;=0.005,"",$D479-Hoje))</f>
        <v>0</v>
      </c>
      <c r="K479" s="21">
        <f>IF($E479="","",MAX(0,$E479-N($G479)))</f>
        <v>0</v>
      </c>
      <c r="L479" s="20">
        <f>IF($I479="Vencida","PAGAR JÁ (multa e juros)",IF($I479="Vence hoje","Pagar hoje",IF($I479="Vence em breve","Programar pagamento","")))</f>
        <v>0</v>
      </c>
    </row>
    <row r="480" spans="1:12">
      <c r="A480" s="13"/>
      <c r="B480" s="13"/>
      <c r="C480" s="13"/>
      <c r="D480" s="17"/>
      <c r="E480" s="18"/>
      <c r="F480" s="17"/>
      <c r="G480" s="18"/>
      <c r="H480" s="13"/>
      <c r="I480" s="19">
        <f>IF($E480="","",IF($K480&lt;=0.005,"Pago",IF($D480="","Sem vencimento",IF($D480&lt;Hoje,"Vencida",IF($D480=Hoje,"Vence hoje",IF($D480-Hoje&lt;=DiasAlerta,"Vence em breve","A vencer"))))))</f>
        <v>0</v>
      </c>
      <c r="J480" s="20">
        <f>IF(OR($E480="",$D480=""),"",IF($K480&lt;=0.005,"",$D480-Hoje))</f>
        <v>0</v>
      </c>
      <c r="K480" s="21">
        <f>IF($E480="","",MAX(0,$E480-N($G480)))</f>
        <v>0</v>
      </c>
      <c r="L480" s="20">
        <f>IF($I480="Vencida","PAGAR JÁ (multa e juros)",IF($I480="Vence hoje","Pagar hoje",IF($I480="Vence em breve","Programar pagamento","")))</f>
        <v>0</v>
      </c>
    </row>
    <row r="481" spans="1:12">
      <c r="A481" s="13"/>
      <c r="B481" s="13"/>
      <c r="C481" s="13"/>
      <c r="D481" s="17"/>
      <c r="E481" s="18"/>
      <c r="F481" s="17"/>
      <c r="G481" s="18"/>
      <c r="H481" s="13"/>
      <c r="I481" s="19">
        <f>IF($E481="","",IF($K481&lt;=0.005,"Pago",IF($D481="","Sem vencimento",IF($D481&lt;Hoje,"Vencida",IF($D481=Hoje,"Vence hoje",IF($D481-Hoje&lt;=DiasAlerta,"Vence em breve","A vencer"))))))</f>
        <v>0</v>
      </c>
      <c r="J481" s="20">
        <f>IF(OR($E481="",$D481=""),"",IF($K481&lt;=0.005,"",$D481-Hoje))</f>
        <v>0</v>
      </c>
      <c r="K481" s="21">
        <f>IF($E481="","",MAX(0,$E481-N($G481)))</f>
        <v>0</v>
      </c>
      <c r="L481" s="20">
        <f>IF($I481="Vencida","PAGAR JÁ (multa e juros)",IF($I481="Vence hoje","Pagar hoje",IF($I481="Vence em breve","Programar pagamento","")))</f>
        <v>0</v>
      </c>
    </row>
    <row r="482" spans="1:12">
      <c r="A482" s="13"/>
      <c r="B482" s="13"/>
      <c r="C482" s="13"/>
      <c r="D482" s="17"/>
      <c r="E482" s="18"/>
      <c r="F482" s="17"/>
      <c r="G482" s="18"/>
      <c r="H482" s="13"/>
      <c r="I482" s="19">
        <f>IF($E482="","",IF($K482&lt;=0.005,"Pago",IF($D482="","Sem vencimento",IF($D482&lt;Hoje,"Vencida",IF($D482=Hoje,"Vence hoje",IF($D482-Hoje&lt;=DiasAlerta,"Vence em breve","A vencer"))))))</f>
        <v>0</v>
      </c>
      <c r="J482" s="20">
        <f>IF(OR($E482="",$D482=""),"",IF($K482&lt;=0.005,"",$D482-Hoje))</f>
        <v>0</v>
      </c>
      <c r="K482" s="21">
        <f>IF($E482="","",MAX(0,$E482-N($G482)))</f>
        <v>0</v>
      </c>
      <c r="L482" s="20">
        <f>IF($I482="Vencida","PAGAR JÁ (multa e juros)",IF($I482="Vence hoje","Pagar hoje",IF($I482="Vence em breve","Programar pagamento","")))</f>
        <v>0</v>
      </c>
    </row>
    <row r="483" spans="1:12">
      <c r="A483" s="13"/>
      <c r="B483" s="13"/>
      <c r="C483" s="13"/>
      <c r="D483" s="17"/>
      <c r="E483" s="18"/>
      <c r="F483" s="17"/>
      <c r="G483" s="18"/>
      <c r="H483" s="13"/>
      <c r="I483" s="19">
        <f>IF($E483="","",IF($K483&lt;=0.005,"Pago",IF($D483="","Sem vencimento",IF($D483&lt;Hoje,"Vencida",IF($D483=Hoje,"Vence hoje",IF($D483-Hoje&lt;=DiasAlerta,"Vence em breve","A vencer"))))))</f>
        <v>0</v>
      </c>
      <c r="J483" s="20">
        <f>IF(OR($E483="",$D483=""),"",IF($K483&lt;=0.005,"",$D483-Hoje))</f>
        <v>0</v>
      </c>
      <c r="K483" s="21">
        <f>IF($E483="","",MAX(0,$E483-N($G483)))</f>
        <v>0</v>
      </c>
      <c r="L483" s="20">
        <f>IF($I483="Vencida","PAGAR JÁ (multa e juros)",IF($I483="Vence hoje","Pagar hoje",IF($I483="Vence em breve","Programar pagamento","")))</f>
        <v>0</v>
      </c>
    </row>
    <row r="484" spans="1:12">
      <c r="A484" s="13"/>
      <c r="B484" s="13"/>
      <c r="C484" s="13"/>
      <c r="D484" s="17"/>
      <c r="E484" s="18"/>
      <c r="F484" s="17"/>
      <c r="G484" s="18"/>
      <c r="H484" s="13"/>
      <c r="I484" s="19">
        <f>IF($E484="","",IF($K484&lt;=0.005,"Pago",IF($D484="","Sem vencimento",IF($D484&lt;Hoje,"Vencida",IF($D484=Hoje,"Vence hoje",IF($D484-Hoje&lt;=DiasAlerta,"Vence em breve","A vencer"))))))</f>
        <v>0</v>
      </c>
      <c r="J484" s="20">
        <f>IF(OR($E484="",$D484=""),"",IF($K484&lt;=0.005,"",$D484-Hoje))</f>
        <v>0</v>
      </c>
      <c r="K484" s="21">
        <f>IF($E484="","",MAX(0,$E484-N($G484)))</f>
        <v>0</v>
      </c>
      <c r="L484" s="20">
        <f>IF($I484="Vencida","PAGAR JÁ (multa e juros)",IF($I484="Vence hoje","Pagar hoje",IF($I484="Vence em breve","Programar pagamento","")))</f>
        <v>0</v>
      </c>
    </row>
    <row r="485" spans="1:12">
      <c r="A485" s="13"/>
      <c r="B485" s="13"/>
      <c r="C485" s="13"/>
      <c r="D485" s="17"/>
      <c r="E485" s="18"/>
      <c r="F485" s="17"/>
      <c r="G485" s="18"/>
      <c r="H485" s="13"/>
      <c r="I485" s="19">
        <f>IF($E485="","",IF($K485&lt;=0.005,"Pago",IF($D485="","Sem vencimento",IF($D485&lt;Hoje,"Vencida",IF($D485=Hoje,"Vence hoje",IF($D485-Hoje&lt;=DiasAlerta,"Vence em breve","A vencer"))))))</f>
        <v>0</v>
      </c>
      <c r="J485" s="20">
        <f>IF(OR($E485="",$D485=""),"",IF($K485&lt;=0.005,"",$D485-Hoje))</f>
        <v>0</v>
      </c>
      <c r="K485" s="21">
        <f>IF($E485="","",MAX(0,$E485-N($G485)))</f>
        <v>0</v>
      </c>
      <c r="L485" s="20">
        <f>IF($I485="Vencida","PAGAR JÁ (multa e juros)",IF($I485="Vence hoje","Pagar hoje",IF($I485="Vence em breve","Programar pagamento","")))</f>
        <v>0</v>
      </c>
    </row>
    <row r="486" spans="1:12">
      <c r="A486" s="13"/>
      <c r="B486" s="13"/>
      <c r="C486" s="13"/>
      <c r="D486" s="17"/>
      <c r="E486" s="18"/>
      <c r="F486" s="17"/>
      <c r="G486" s="18"/>
      <c r="H486" s="13"/>
      <c r="I486" s="19">
        <f>IF($E486="","",IF($K486&lt;=0.005,"Pago",IF($D486="","Sem vencimento",IF($D486&lt;Hoje,"Vencida",IF($D486=Hoje,"Vence hoje",IF($D486-Hoje&lt;=DiasAlerta,"Vence em breve","A vencer"))))))</f>
        <v>0</v>
      </c>
      <c r="J486" s="20">
        <f>IF(OR($E486="",$D486=""),"",IF($K486&lt;=0.005,"",$D486-Hoje))</f>
        <v>0</v>
      </c>
      <c r="K486" s="21">
        <f>IF($E486="","",MAX(0,$E486-N($G486)))</f>
        <v>0</v>
      </c>
      <c r="L486" s="20">
        <f>IF($I486="Vencida","PAGAR JÁ (multa e juros)",IF($I486="Vence hoje","Pagar hoje",IF($I486="Vence em breve","Programar pagamento","")))</f>
        <v>0</v>
      </c>
    </row>
    <row r="487" spans="1:12">
      <c r="A487" s="13"/>
      <c r="B487" s="13"/>
      <c r="C487" s="13"/>
      <c r="D487" s="17"/>
      <c r="E487" s="18"/>
      <c r="F487" s="17"/>
      <c r="G487" s="18"/>
      <c r="H487" s="13"/>
      <c r="I487" s="19">
        <f>IF($E487="","",IF($K487&lt;=0.005,"Pago",IF($D487="","Sem vencimento",IF($D487&lt;Hoje,"Vencida",IF($D487=Hoje,"Vence hoje",IF($D487-Hoje&lt;=DiasAlerta,"Vence em breve","A vencer"))))))</f>
        <v>0</v>
      </c>
      <c r="J487" s="20">
        <f>IF(OR($E487="",$D487=""),"",IF($K487&lt;=0.005,"",$D487-Hoje))</f>
        <v>0</v>
      </c>
      <c r="K487" s="21">
        <f>IF($E487="","",MAX(0,$E487-N($G487)))</f>
        <v>0</v>
      </c>
      <c r="L487" s="20">
        <f>IF($I487="Vencida","PAGAR JÁ (multa e juros)",IF($I487="Vence hoje","Pagar hoje",IF($I487="Vence em breve","Programar pagamento","")))</f>
        <v>0</v>
      </c>
    </row>
    <row r="488" spans="1:12">
      <c r="A488" s="13"/>
      <c r="B488" s="13"/>
      <c r="C488" s="13"/>
      <c r="D488" s="17"/>
      <c r="E488" s="18"/>
      <c r="F488" s="17"/>
      <c r="G488" s="18"/>
      <c r="H488" s="13"/>
      <c r="I488" s="19">
        <f>IF($E488="","",IF($K488&lt;=0.005,"Pago",IF($D488="","Sem vencimento",IF($D488&lt;Hoje,"Vencida",IF($D488=Hoje,"Vence hoje",IF($D488-Hoje&lt;=DiasAlerta,"Vence em breve","A vencer"))))))</f>
        <v>0</v>
      </c>
      <c r="J488" s="20">
        <f>IF(OR($E488="",$D488=""),"",IF($K488&lt;=0.005,"",$D488-Hoje))</f>
        <v>0</v>
      </c>
      <c r="K488" s="21">
        <f>IF($E488="","",MAX(0,$E488-N($G488)))</f>
        <v>0</v>
      </c>
      <c r="L488" s="20">
        <f>IF($I488="Vencida","PAGAR JÁ (multa e juros)",IF($I488="Vence hoje","Pagar hoje",IF($I488="Vence em breve","Programar pagamento","")))</f>
        <v>0</v>
      </c>
    </row>
    <row r="489" spans="1:12">
      <c r="A489" s="13"/>
      <c r="B489" s="13"/>
      <c r="C489" s="13"/>
      <c r="D489" s="17"/>
      <c r="E489" s="18"/>
      <c r="F489" s="17"/>
      <c r="G489" s="18"/>
      <c r="H489" s="13"/>
      <c r="I489" s="19">
        <f>IF($E489="","",IF($K489&lt;=0.005,"Pago",IF($D489="","Sem vencimento",IF($D489&lt;Hoje,"Vencida",IF($D489=Hoje,"Vence hoje",IF($D489-Hoje&lt;=DiasAlerta,"Vence em breve","A vencer"))))))</f>
        <v>0</v>
      </c>
      <c r="J489" s="20">
        <f>IF(OR($E489="",$D489=""),"",IF($K489&lt;=0.005,"",$D489-Hoje))</f>
        <v>0</v>
      </c>
      <c r="K489" s="21">
        <f>IF($E489="","",MAX(0,$E489-N($G489)))</f>
        <v>0</v>
      </c>
      <c r="L489" s="20">
        <f>IF($I489="Vencida","PAGAR JÁ (multa e juros)",IF($I489="Vence hoje","Pagar hoje",IF($I489="Vence em breve","Programar pagamento","")))</f>
        <v>0</v>
      </c>
    </row>
    <row r="490" spans="1:12">
      <c r="A490" s="13"/>
      <c r="B490" s="13"/>
      <c r="C490" s="13"/>
      <c r="D490" s="17"/>
      <c r="E490" s="18"/>
      <c r="F490" s="17"/>
      <c r="G490" s="18"/>
      <c r="H490" s="13"/>
      <c r="I490" s="19">
        <f>IF($E490="","",IF($K490&lt;=0.005,"Pago",IF($D490="","Sem vencimento",IF($D490&lt;Hoje,"Vencida",IF($D490=Hoje,"Vence hoje",IF($D490-Hoje&lt;=DiasAlerta,"Vence em breve","A vencer"))))))</f>
        <v>0</v>
      </c>
      <c r="J490" s="20">
        <f>IF(OR($E490="",$D490=""),"",IF($K490&lt;=0.005,"",$D490-Hoje))</f>
        <v>0</v>
      </c>
      <c r="K490" s="21">
        <f>IF($E490="","",MAX(0,$E490-N($G490)))</f>
        <v>0</v>
      </c>
      <c r="L490" s="20">
        <f>IF($I490="Vencida","PAGAR JÁ (multa e juros)",IF($I490="Vence hoje","Pagar hoje",IF($I490="Vence em breve","Programar pagamento","")))</f>
        <v>0</v>
      </c>
    </row>
    <row r="491" spans="1:12">
      <c r="A491" s="13"/>
      <c r="B491" s="13"/>
      <c r="C491" s="13"/>
      <c r="D491" s="17"/>
      <c r="E491" s="18"/>
      <c r="F491" s="17"/>
      <c r="G491" s="18"/>
      <c r="H491" s="13"/>
      <c r="I491" s="19">
        <f>IF($E491="","",IF($K491&lt;=0.005,"Pago",IF($D491="","Sem vencimento",IF($D491&lt;Hoje,"Vencida",IF($D491=Hoje,"Vence hoje",IF($D491-Hoje&lt;=DiasAlerta,"Vence em breve","A vencer"))))))</f>
        <v>0</v>
      </c>
      <c r="J491" s="20">
        <f>IF(OR($E491="",$D491=""),"",IF($K491&lt;=0.005,"",$D491-Hoje))</f>
        <v>0</v>
      </c>
      <c r="K491" s="21">
        <f>IF($E491="","",MAX(0,$E491-N($G491)))</f>
        <v>0</v>
      </c>
      <c r="L491" s="20">
        <f>IF($I491="Vencida","PAGAR JÁ (multa e juros)",IF($I491="Vence hoje","Pagar hoje",IF($I491="Vence em breve","Programar pagamento","")))</f>
        <v>0</v>
      </c>
    </row>
    <row r="492" spans="1:12">
      <c r="A492" s="13"/>
      <c r="B492" s="13"/>
      <c r="C492" s="13"/>
      <c r="D492" s="17"/>
      <c r="E492" s="18"/>
      <c r="F492" s="17"/>
      <c r="G492" s="18"/>
      <c r="H492" s="13"/>
      <c r="I492" s="19">
        <f>IF($E492="","",IF($K492&lt;=0.005,"Pago",IF($D492="","Sem vencimento",IF($D492&lt;Hoje,"Vencida",IF($D492=Hoje,"Vence hoje",IF($D492-Hoje&lt;=DiasAlerta,"Vence em breve","A vencer"))))))</f>
        <v>0</v>
      </c>
      <c r="J492" s="20">
        <f>IF(OR($E492="",$D492=""),"",IF($K492&lt;=0.005,"",$D492-Hoje))</f>
        <v>0</v>
      </c>
      <c r="K492" s="21">
        <f>IF($E492="","",MAX(0,$E492-N($G492)))</f>
        <v>0</v>
      </c>
      <c r="L492" s="20">
        <f>IF($I492="Vencida","PAGAR JÁ (multa e juros)",IF($I492="Vence hoje","Pagar hoje",IF($I492="Vence em breve","Programar pagamento","")))</f>
        <v>0</v>
      </c>
    </row>
    <row r="493" spans="1:12">
      <c r="A493" s="13"/>
      <c r="B493" s="13"/>
      <c r="C493" s="13"/>
      <c r="D493" s="17"/>
      <c r="E493" s="18"/>
      <c r="F493" s="17"/>
      <c r="G493" s="18"/>
      <c r="H493" s="13"/>
      <c r="I493" s="19">
        <f>IF($E493="","",IF($K493&lt;=0.005,"Pago",IF($D493="","Sem vencimento",IF($D493&lt;Hoje,"Vencida",IF($D493=Hoje,"Vence hoje",IF($D493-Hoje&lt;=DiasAlerta,"Vence em breve","A vencer"))))))</f>
        <v>0</v>
      </c>
      <c r="J493" s="20">
        <f>IF(OR($E493="",$D493=""),"",IF($K493&lt;=0.005,"",$D493-Hoje))</f>
        <v>0</v>
      </c>
      <c r="K493" s="21">
        <f>IF($E493="","",MAX(0,$E493-N($G493)))</f>
        <v>0</v>
      </c>
      <c r="L493" s="20">
        <f>IF($I493="Vencida","PAGAR JÁ (multa e juros)",IF($I493="Vence hoje","Pagar hoje",IF($I493="Vence em breve","Programar pagamento","")))</f>
        <v>0</v>
      </c>
    </row>
    <row r="494" spans="1:12">
      <c r="A494" s="13"/>
      <c r="B494" s="13"/>
      <c r="C494" s="13"/>
      <c r="D494" s="17"/>
      <c r="E494" s="18"/>
      <c r="F494" s="17"/>
      <c r="G494" s="18"/>
      <c r="H494" s="13"/>
      <c r="I494" s="19">
        <f>IF($E494="","",IF($K494&lt;=0.005,"Pago",IF($D494="","Sem vencimento",IF($D494&lt;Hoje,"Vencida",IF($D494=Hoje,"Vence hoje",IF($D494-Hoje&lt;=DiasAlerta,"Vence em breve","A vencer"))))))</f>
        <v>0</v>
      </c>
      <c r="J494" s="20">
        <f>IF(OR($E494="",$D494=""),"",IF($K494&lt;=0.005,"",$D494-Hoje))</f>
        <v>0</v>
      </c>
      <c r="K494" s="21">
        <f>IF($E494="","",MAX(0,$E494-N($G494)))</f>
        <v>0</v>
      </c>
      <c r="L494" s="20">
        <f>IF($I494="Vencida","PAGAR JÁ (multa e juros)",IF($I494="Vence hoje","Pagar hoje",IF($I494="Vence em breve","Programar pagamento","")))</f>
        <v>0</v>
      </c>
    </row>
    <row r="495" spans="1:12">
      <c r="A495" s="13"/>
      <c r="B495" s="13"/>
      <c r="C495" s="13"/>
      <c r="D495" s="17"/>
      <c r="E495" s="18"/>
      <c r="F495" s="17"/>
      <c r="G495" s="18"/>
      <c r="H495" s="13"/>
      <c r="I495" s="19">
        <f>IF($E495="","",IF($K495&lt;=0.005,"Pago",IF($D495="","Sem vencimento",IF($D495&lt;Hoje,"Vencida",IF($D495=Hoje,"Vence hoje",IF($D495-Hoje&lt;=DiasAlerta,"Vence em breve","A vencer"))))))</f>
        <v>0</v>
      </c>
      <c r="J495" s="20">
        <f>IF(OR($E495="",$D495=""),"",IF($K495&lt;=0.005,"",$D495-Hoje))</f>
        <v>0</v>
      </c>
      <c r="K495" s="21">
        <f>IF($E495="","",MAX(0,$E495-N($G495)))</f>
        <v>0</v>
      </c>
      <c r="L495" s="20">
        <f>IF($I495="Vencida","PAGAR JÁ (multa e juros)",IF($I495="Vence hoje","Pagar hoje",IF($I495="Vence em breve","Programar pagamento","")))</f>
        <v>0</v>
      </c>
    </row>
    <row r="496" spans="1:12">
      <c r="A496" s="13"/>
      <c r="B496" s="13"/>
      <c r="C496" s="13"/>
      <c r="D496" s="17"/>
      <c r="E496" s="18"/>
      <c r="F496" s="17"/>
      <c r="G496" s="18"/>
      <c r="H496" s="13"/>
      <c r="I496" s="19">
        <f>IF($E496="","",IF($K496&lt;=0.005,"Pago",IF($D496="","Sem vencimento",IF($D496&lt;Hoje,"Vencida",IF($D496=Hoje,"Vence hoje",IF($D496-Hoje&lt;=DiasAlerta,"Vence em breve","A vencer"))))))</f>
        <v>0</v>
      </c>
      <c r="J496" s="20">
        <f>IF(OR($E496="",$D496=""),"",IF($K496&lt;=0.005,"",$D496-Hoje))</f>
        <v>0</v>
      </c>
      <c r="K496" s="21">
        <f>IF($E496="","",MAX(0,$E496-N($G496)))</f>
        <v>0</v>
      </c>
      <c r="L496" s="20">
        <f>IF($I496="Vencida","PAGAR JÁ (multa e juros)",IF($I496="Vence hoje","Pagar hoje",IF($I496="Vence em breve","Programar pagamento","")))</f>
        <v>0</v>
      </c>
    </row>
    <row r="497" spans="1:12">
      <c r="A497" s="13"/>
      <c r="B497" s="13"/>
      <c r="C497" s="13"/>
      <c r="D497" s="17"/>
      <c r="E497" s="18"/>
      <c r="F497" s="17"/>
      <c r="G497" s="18"/>
      <c r="H497" s="13"/>
      <c r="I497" s="19">
        <f>IF($E497="","",IF($K497&lt;=0.005,"Pago",IF($D497="","Sem vencimento",IF($D497&lt;Hoje,"Vencida",IF($D497=Hoje,"Vence hoje",IF($D497-Hoje&lt;=DiasAlerta,"Vence em breve","A vencer"))))))</f>
        <v>0</v>
      </c>
      <c r="J497" s="20">
        <f>IF(OR($E497="",$D497=""),"",IF($K497&lt;=0.005,"",$D497-Hoje))</f>
        <v>0</v>
      </c>
      <c r="K497" s="21">
        <f>IF($E497="","",MAX(0,$E497-N($G497)))</f>
        <v>0</v>
      </c>
      <c r="L497" s="20">
        <f>IF($I497="Vencida","PAGAR JÁ (multa e juros)",IF($I497="Vence hoje","Pagar hoje",IF($I497="Vence em breve","Programar pagamento","")))</f>
        <v>0</v>
      </c>
    </row>
    <row r="498" spans="1:12">
      <c r="A498" s="13"/>
      <c r="B498" s="13"/>
      <c r="C498" s="13"/>
      <c r="D498" s="17"/>
      <c r="E498" s="18"/>
      <c r="F498" s="17"/>
      <c r="G498" s="18"/>
      <c r="H498" s="13"/>
      <c r="I498" s="19">
        <f>IF($E498="","",IF($K498&lt;=0.005,"Pago",IF($D498="","Sem vencimento",IF($D498&lt;Hoje,"Vencida",IF($D498=Hoje,"Vence hoje",IF($D498-Hoje&lt;=DiasAlerta,"Vence em breve","A vencer"))))))</f>
        <v>0</v>
      </c>
      <c r="J498" s="20">
        <f>IF(OR($E498="",$D498=""),"",IF($K498&lt;=0.005,"",$D498-Hoje))</f>
        <v>0</v>
      </c>
      <c r="K498" s="21">
        <f>IF($E498="","",MAX(0,$E498-N($G498)))</f>
        <v>0</v>
      </c>
      <c r="L498" s="20">
        <f>IF($I498="Vencida","PAGAR JÁ (multa e juros)",IF($I498="Vence hoje","Pagar hoje",IF($I498="Vence em breve","Programar pagamento","")))</f>
        <v>0</v>
      </c>
    </row>
    <row r="499" spans="1:12">
      <c r="A499" s="13"/>
      <c r="B499" s="13"/>
      <c r="C499" s="13"/>
      <c r="D499" s="17"/>
      <c r="E499" s="18"/>
      <c r="F499" s="17"/>
      <c r="G499" s="18"/>
      <c r="H499" s="13"/>
      <c r="I499" s="19">
        <f>IF($E499="","",IF($K499&lt;=0.005,"Pago",IF($D499="","Sem vencimento",IF($D499&lt;Hoje,"Vencida",IF($D499=Hoje,"Vence hoje",IF($D499-Hoje&lt;=DiasAlerta,"Vence em breve","A vencer"))))))</f>
        <v>0</v>
      </c>
      <c r="J499" s="20">
        <f>IF(OR($E499="",$D499=""),"",IF($K499&lt;=0.005,"",$D499-Hoje))</f>
        <v>0</v>
      </c>
      <c r="K499" s="21">
        <f>IF($E499="","",MAX(0,$E499-N($G499)))</f>
        <v>0</v>
      </c>
      <c r="L499" s="20">
        <f>IF($I499="Vencida","PAGAR JÁ (multa e juros)",IF($I499="Vence hoje","Pagar hoje",IF($I499="Vence em breve","Programar pagamento","")))</f>
        <v>0</v>
      </c>
    </row>
    <row r="500" spans="1:12">
      <c r="A500" s="13"/>
      <c r="B500" s="13"/>
      <c r="C500" s="13"/>
      <c r="D500" s="17"/>
      <c r="E500" s="18"/>
      <c r="F500" s="17"/>
      <c r="G500" s="18"/>
      <c r="H500" s="13"/>
      <c r="I500" s="19">
        <f>IF($E500="","",IF($K500&lt;=0.005,"Pago",IF($D500="","Sem vencimento",IF($D500&lt;Hoje,"Vencida",IF($D500=Hoje,"Vence hoje",IF($D500-Hoje&lt;=DiasAlerta,"Vence em breve","A vencer"))))))</f>
        <v>0</v>
      </c>
      <c r="J500" s="20">
        <f>IF(OR($E500="",$D500=""),"",IF($K500&lt;=0.005,"",$D500-Hoje))</f>
        <v>0</v>
      </c>
      <c r="K500" s="21">
        <f>IF($E500="","",MAX(0,$E500-N($G500)))</f>
        <v>0</v>
      </c>
      <c r="L500" s="20">
        <f>IF($I500="Vencida","PAGAR JÁ (multa e juros)",IF($I500="Vence hoje","Pagar hoje",IF($I500="Vence em breve","Programar pagamento","")))</f>
        <v>0</v>
      </c>
    </row>
    <row r="501" spans="1:12">
      <c r="A501" s="13"/>
      <c r="B501" s="13"/>
      <c r="C501" s="13"/>
      <c r="D501" s="17"/>
      <c r="E501" s="18"/>
      <c r="F501" s="17"/>
      <c r="G501" s="18"/>
      <c r="H501" s="13"/>
      <c r="I501" s="19">
        <f>IF($E501="","",IF($K501&lt;=0.005,"Pago",IF($D501="","Sem vencimento",IF($D501&lt;Hoje,"Vencida",IF($D501=Hoje,"Vence hoje",IF($D501-Hoje&lt;=DiasAlerta,"Vence em breve","A vencer"))))))</f>
        <v>0</v>
      </c>
      <c r="J501" s="20">
        <f>IF(OR($E501="",$D501=""),"",IF($K501&lt;=0.005,"",$D501-Hoje))</f>
        <v>0</v>
      </c>
      <c r="K501" s="21">
        <f>IF($E501="","",MAX(0,$E501-N($G501)))</f>
        <v>0</v>
      </c>
      <c r="L501" s="20">
        <f>IF($I501="Vencida","PAGAR JÁ (multa e juros)",IF($I501="Vence hoje","Pagar hoje",IF($I501="Vence em breve","Programar pagamento","")))</f>
        <v>0</v>
      </c>
    </row>
    <row r="502" spans="1:12">
      <c r="A502" s="13"/>
      <c r="B502" s="13"/>
      <c r="C502" s="13"/>
      <c r="D502" s="17"/>
      <c r="E502" s="18"/>
      <c r="F502" s="17"/>
      <c r="G502" s="18"/>
      <c r="H502" s="13"/>
      <c r="I502" s="19">
        <f>IF($E502="","",IF($K502&lt;=0.005,"Pago",IF($D502="","Sem vencimento",IF($D502&lt;Hoje,"Vencida",IF($D502=Hoje,"Vence hoje",IF($D502-Hoje&lt;=DiasAlerta,"Vence em breve","A vencer"))))))</f>
        <v>0</v>
      </c>
      <c r="J502" s="20">
        <f>IF(OR($E502="",$D502=""),"",IF($K502&lt;=0.005,"",$D502-Hoje))</f>
        <v>0</v>
      </c>
      <c r="K502" s="21">
        <f>IF($E502="","",MAX(0,$E502-N($G502)))</f>
        <v>0</v>
      </c>
      <c r="L502" s="20">
        <f>IF($I502="Vencida","PAGAR JÁ (multa e juros)",IF($I502="Vence hoje","Pagar hoje",IF($I502="Vence em breve","Programar pagamento","")))</f>
        <v>0</v>
      </c>
    </row>
    <row r="503" spans="1:12">
      <c r="A503" s="13"/>
      <c r="B503" s="13"/>
      <c r="C503" s="13"/>
      <c r="D503" s="17"/>
      <c r="E503" s="18"/>
      <c r="F503" s="17"/>
      <c r="G503" s="18"/>
      <c r="H503" s="13"/>
      <c r="I503" s="19">
        <f>IF($E503="","",IF($K503&lt;=0.005,"Pago",IF($D503="","Sem vencimento",IF($D503&lt;Hoje,"Vencida",IF($D503=Hoje,"Vence hoje",IF($D503-Hoje&lt;=DiasAlerta,"Vence em breve","A vencer"))))))</f>
        <v>0</v>
      </c>
      <c r="J503" s="20">
        <f>IF(OR($E503="",$D503=""),"",IF($K503&lt;=0.005,"",$D503-Hoje))</f>
        <v>0</v>
      </c>
      <c r="K503" s="21">
        <f>IF($E503="","",MAX(0,$E503-N($G503)))</f>
        <v>0</v>
      </c>
      <c r="L503" s="20">
        <f>IF($I503="Vencida","PAGAR JÁ (multa e juros)",IF($I503="Vence hoje","Pagar hoje",IF($I503="Vence em breve","Programar pagamento","")))</f>
        <v>0</v>
      </c>
    </row>
    <row r="504" spans="1:12">
      <c r="A504" s="13"/>
      <c r="B504" s="13"/>
      <c r="C504" s="13"/>
      <c r="D504" s="17"/>
      <c r="E504" s="18"/>
      <c r="F504" s="17"/>
      <c r="G504" s="18"/>
      <c r="H504" s="13"/>
      <c r="I504" s="19">
        <f>IF($E504="","",IF($K504&lt;=0.005,"Pago",IF($D504="","Sem vencimento",IF($D504&lt;Hoje,"Vencida",IF($D504=Hoje,"Vence hoje",IF($D504-Hoje&lt;=DiasAlerta,"Vence em breve","A vencer"))))))</f>
        <v>0</v>
      </c>
      <c r="J504" s="20">
        <f>IF(OR($E504="",$D504=""),"",IF($K504&lt;=0.005,"",$D504-Hoje))</f>
        <v>0</v>
      </c>
      <c r="K504" s="21">
        <f>IF($E504="","",MAX(0,$E504-N($G504)))</f>
        <v>0</v>
      </c>
      <c r="L504" s="20">
        <f>IF($I504="Vencida","PAGAR JÁ (multa e juros)",IF($I504="Vence hoje","Pagar hoje",IF($I504="Vence em breve","Programar pagamento","")))</f>
        <v>0</v>
      </c>
    </row>
    <row r="505" spans="1:12">
      <c r="A505" s="13"/>
      <c r="B505" s="13"/>
      <c r="C505" s="13"/>
      <c r="D505" s="17"/>
      <c r="E505" s="18"/>
      <c r="F505" s="17"/>
      <c r="G505" s="18"/>
      <c r="H505" s="13"/>
      <c r="I505" s="19">
        <f>IF($E505="","",IF($K505&lt;=0.005,"Pago",IF($D505="","Sem vencimento",IF($D505&lt;Hoje,"Vencida",IF($D505=Hoje,"Vence hoje",IF($D505-Hoje&lt;=DiasAlerta,"Vence em breve","A vencer"))))))</f>
        <v>0</v>
      </c>
      <c r="J505" s="20">
        <f>IF(OR($E505="",$D505=""),"",IF($K505&lt;=0.005,"",$D505-Hoje))</f>
        <v>0</v>
      </c>
      <c r="K505" s="21">
        <f>IF($E505="","",MAX(0,$E505-N($G505)))</f>
        <v>0</v>
      </c>
      <c r="L505" s="20">
        <f>IF($I505="Vencida","PAGAR JÁ (multa e juros)",IF($I505="Vence hoje","Pagar hoje",IF($I505="Vence em breve","Programar pagamento","")))</f>
        <v>0</v>
      </c>
    </row>
    <row r="506" spans="1:12">
      <c r="A506" s="13"/>
      <c r="B506" s="13"/>
      <c r="C506" s="13"/>
      <c r="D506" s="17"/>
      <c r="E506" s="18"/>
      <c r="F506" s="17"/>
      <c r="G506" s="18"/>
      <c r="H506" s="13"/>
      <c r="I506" s="19">
        <f>IF($E506="","",IF($K506&lt;=0.005,"Pago",IF($D506="","Sem vencimento",IF($D506&lt;Hoje,"Vencida",IF($D506=Hoje,"Vence hoje",IF($D506-Hoje&lt;=DiasAlerta,"Vence em breve","A vencer"))))))</f>
        <v>0</v>
      </c>
      <c r="J506" s="20">
        <f>IF(OR($E506="",$D506=""),"",IF($K506&lt;=0.005,"",$D506-Hoje))</f>
        <v>0</v>
      </c>
      <c r="K506" s="21">
        <f>IF($E506="","",MAX(0,$E506-N($G506)))</f>
        <v>0</v>
      </c>
      <c r="L506" s="20">
        <f>IF($I506="Vencida","PAGAR JÁ (multa e juros)",IF($I506="Vence hoje","Pagar hoje",IF($I506="Vence em breve","Programar pagamento","")))</f>
        <v>0</v>
      </c>
    </row>
    <row r="507" spans="1:12">
      <c r="A507" s="13"/>
      <c r="B507" s="13"/>
      <c r="C507" s="13"/>
      <c r="D507" s="17"/>
      <c r="E507" s="18"/>
      <c r="F507" s="17"/>
      <c r="G507" s="18"/>
      <c r="H507" s="13"/>
      <c r="I507" s="19">
        <f>IF($E507="","",IF($K507&lt;=0.005,"Pago",IF($D507="","Sem vencimento",IF($D507&lt;Hoje,"Vencida",IF($D507=Hoje,"Vence hoje",IF($D507-Hoje&lt;=DiasAlerta,"Vence em breve","A vencer"))))))</f>
        <v>0</v>
      </c>
      <c r="J507" s="20">
        <f>IF(OR($E507="",$D507=""),"",IF($K507&lt;=0.005,"",$D507-Hoje))</f>
        <v>0</v>
      </c>
      <c r="K507" s="21">
        <f>IF($E507="","",MAX(0,$E507-N($G507)))</f>
        <v>0</v>
      </c>
      <c r="L507" s="20">
        <f>IF($I507="Vencida","PAGAR JÁ (multa e juros)",IF($I507="Vence hoje","Pagar hoje",IF($I507="Vence em breve","Programar pagamento","")))</f>
        <v>0</v>
      </c>
    </row>
    <row r="508" spans="1:12">
      <c r="A508" s="13"/>
      <c r="B508" s="13"/>
      <c r="C508" s="13"/>
      <c r="D508" s="17"/>
      <c r="E508" s="18"/>
      <c r="F508" s="17"/>
      <c r="G508" s="18"/>
      <c r="H508" s="13"/>
      <c r="I508" s="19">
        <f>IF($E508="","",IF($K508&lt;=0.005,"Pago",IF($D508="","Sem vencimento",IF($D508&lt;Hoje,"Vencida",IF($D508=Hoje,"Vence hoje",IF($D508-Hoje&lt;=DiasAlerta,"Vence em breve","A vencer"))))))</f>
        <v>0</v>
      </c>
      <c r="J508" s="20">
        <f>IF(OR($E508="",$D508=""),"",IF($K508&lt;=0.005,"",$D508-Hoje))</f>
        <v>0</v>
      </c>
      <c r="K508" s="21">
        <f>IF($E508="","",MAX(0,$E508-N($G508)))</f>
        <v>0</v>
      </c>
      <c r="L508" s="20">
        <f>IF($I508="Vencida","PAGAR JÁ (multa e juros)",IF($I508="Vence hoje","Pagar hoje",IF($I508="Vence em breve","Programar pagamento","")))</f>
        <v>0</v>
      </c>
    </row>
    <row r="509" spans="1:12">
      <c r="A509" s="13"/>
      <c r="B509" s="13"/>
      <c r="C509" s="13"/>
      <c r="D509" s="17"/>
      <c r="E509" s="18"/>
      <c r="F509" s="17"/>
      <c r="G509" s="18"/>
      <c r="H509" s="13"/>
      <c r="I509" s="19">
        <f>IF($E509="","",IF($K509&lt;=0.005,"Pago",IF($D509="","Sem vencimento",IF($D509&lt;Hoje,"Vencida",IF($D509=Hoje,"Vence hoje",IF($D509-Hoje&lt;=DiasAlerta,"Vence em breve","A vencer"))))))</f>
        <v>0</v>
      </c>
      <c r="J509" s="20">
        <f>IF(OR($E509="",$D509=""),"",IF($K509&lt;=0.005,"",$D509-Hoje))</f>
        <v>0</v>
      </c>
      <c r="K509" s="21">
        <f>IF($E509="","",MAX(0,$E509-N($G509)))</f>
        <v>0</v>
      </c>
      <c r="L509" s="20">
        <f>IF($I509="Vencida","PAGAR JÁ (multa e juros)",IF($I509="Vence hoje","Pagar hoje",IF($I509="Vence em breve","Programar pagamento","")))</f>
        <v>0</v>
      </c>
    </row>
    <row r="510" spans="1:12">
      <c r="A510" s="13"/>
      <c r="B510" s="13"/>
      <c r="C510" s="13"/>
      <c r="D510" s="17"/>
      <c r="E510" s="18"/>
      <c r="F510" s="17"/>
      <c r="G510" s="18"/>
      <c r="H510" s="13"/>
      <c r="I510" s="19">
        <f>IF($E510="","",IF($K510&lt;=0.005,"Pago",IF($D510="","Sem vencimento",IF($D510&lt;Hoje,"Vencida",IF($D510=Hoje,"Vence hoje",IF($D510-Hoje&lt;=DiasAlerta,"Vence em breve","A vencer"))))))</f>
        <v>0</v>
      </c>
      <c r="J510" s="20">
        <f>IF(OR($E510="",$D510=""),"",IF($K510&lt;=0.005,"",$D510-Hoje))</f>
        <v>0</v>
      </c>
      <c r="K510" s="21">
        <f>IF($E510="","",MAX(0,$E510-N($G510)))</f>
        <v>0</v>
      </c>
      <c r="L510" s="20">
        <f>IF($I510="Vencida","PAGAR JÁ (multa e juros)",IF($I510="Vence hoje","Pagar hoje",IF($I510="Vence em breve","Programar pagamento","")))</f>
        <v>0</v>
      </c>
    </row>
    <row r="511" spans="1:12">
      <c r="A511" s="13"/>
      <c r="B511" s="13"/>
      <c r="C511" s="13"/>
      <c r="D511" s="17"/>
      <c r="E511" s="18"/>
      <c r="F511" s="17"/>
      <c r="G511" s="18"/>
      <c r="H511" s="13"/>
      <c r="I511" s="19">
        <f>IF($E511="","",IF($K511&lt;=0.005,"Pago",IF($D511="","Sem vencimento",IF($D511&lt;Hoje,"Vencida",IF($D511=Hoje,"Vence hoje",IF($D511-Hoje&lt;=DiasAlerta,"Vence em breve","A vencer"))))))</f>
        <v>0</v>
      </c>
      <c r="J511" s="20">
        <f>IF(OR($E511="",$D511=""),"",IF($K511&lt;=0.005,"",$D511-Hoje))</f>
        <v>0</v>
      </c>
      <c r="K511" s="21">
        <f>IF($E511="","",MAX(0,$E511-N($G511)))</f>
        <v>0</v>
      </c>
      <c r="L511" s="20">
        <f>IF($I511="Vencida","PAGAR JÁ (multa e juros)",IF($I511="Vence hoje","Pagar hoje",IF($I511="Vence em breve","Programar pagamento","")))</f>
        <v>0</v>
      </c>
    </row>
    <row r="512" spans="1:12">
      <c r="A512" s="13"/>
      <c r="B512" s="13"/>
      <c r="C512" s="13"/>
      <c r="D512" s="17"/>
      <c r="E512" s="18"/>
      <c r="F512" s="17"/>
      <c r="G512" s="18"/>
      <c r="H512" s="13"/>
      <c r="I512" s="19">
        <f>IF($E512="","",IF($K512&lt;=0.005,"Pago",IF($D512="","Sem vencimento",IF($D512&lt;Hoje,"Vencida",IF($D512=Hoje,"Vence hoje",IF($D512-Hoje&lt;=DiasAlerta,"Vence em breve","A vencer"))))))</f>
        <v>0</v>
      </c>
      <c r="J512" s="20">
        <f>IF(OR($E512="",$D512=""),"",IF($K512&lt;=0.005,"",$D512-Hoje))</f>
        <v>0</v>
      </c>
      <c r="K512" s="21">
        <f>IF($E512="","",MAX(0,$E512-N($G512)))</f>
        <v>0</v>
      </c>
      <c r="L512" s="20">
        <f>IF($I512="Vencida","PAGAR JÁ (multa e juros)",IF($I512="Vence hoje","Pagar hoje",IF($I512="Vence em breve","Programar pagamento","")))</f>
        <v>0</v>
      </c>
    </row>
    <row r="513" spans="1:12">
      <c r="A513" s="13"/>
      <c r="B513" s="13"/>
      <c r="C513" s="13"/>
      <c r="D513" s="17"/>
      <c r="E513" s="18"/>
      <c r="F513" s="17"/>
      <c r="G513" s="18"/>
      <c r="H513" s="13"/>
      <c r="I513" s="19">
        <f>IF($E513="","",IF($K513&lt;=0.005,"Pago",IF($D513="","Sem vencimento",IF($D513&lt;Hoje,"Vencida",IF($D513=Hoje,"Vence hoje",IF($D513-Hoje&lt;=DiasAlerta,"Vence em breve","A vencer"))))))</f>
        <v>0</v>
      </c>
      <c r="J513" s="20">
        <f>IF(OR($E513="",$D513=""),"",IF($K513&lt;=0.005,"",$D513-Hoje))</f>
        <v>0</v>
      </c>
      <c r="K513" s="21">
        <f>IF($E513="","",MAX(0,$E513-N($G513)))</f>
        <v>0</v>
      </c>
      <c r="L513" s="20">
        <f>IF($I513="Vencida","PAGAR JÁ (multa e juros)",IF($I513="Vence hoje","Pagar hoje",IF($I513="Vence em breve","Programar pagamento","")))</f>
        <v>0</v>
      </c>
    </row>
    <row r="514" spans="1:12">
      <c r="A514" s="13"/>
      <c r="B514" s="13"/>
      <c r="C514" s="13"/>
      <c r="D514" s="17"/>
      <c r="E514" s="18"/>
      <c r="F514" s="17"/>
      <c r="G514" s="18"/>
      <c r="H514" s="13"/>
      <c r="I514" s="19">
        <f>IF($E514="","",IF($K514&lt;=0.005,"Pago",IF($D514="","Sem vencimento",IF($D514&lt;Hoje,"Vencida",IF($D514=Hoje,"Vence hoje",IF($D514-Hoje&lt;=DiasAlerta,"Vence em breve","A vencer"))))))</f>
        <v>0</v>
      </c>
      <c r="J514" s="20">
        <f>IF(OR($E514="",$D514=""),"",IF($K514&lt;=0.005,"",$D514-Hoje))</f>
        <v>0</v>
      </c>
      <c r="K514" s="21">
        <f>IF($E514="","",MAX(0,$E514-N($G514)))</f>
        <v>0</v>
      </c>
      <c r="L514" s="20">
        <f>IF($I514="Vencida","PAGAR JÁ (multa e juros)",IF($I514="Vence hoje","Pagar hoje",IF($I514="Vence em breve","Programar pagamento","")))</f>
        <v>0</v>
      </c>
    </row>
    <row r="515" spans="1:12">
      <c r="A515" s="13"/>
      <c r="B515" s="13"/>
      <c r="C515" s="13"/>
      <c r="D515" s="17"/>
      <c r="E515" s="18"/>
      <c r="F515" s="17"/>
      <c r="G515" s="18"/>
      <c r="H515" s="13"/>
      <c r="I515" s="19">
        <f>IF($E515="","",IF($K515&lt;=0.005,"Pago",IF($D515="","Sem vencimento",IF($D515&lt;Hoje,"Vencida",IF($D515=Hoje,"Vence hoje",IF($D515-Hoje&lt;=DiasAlerta,"Vence em breve","A vencer"))))))</f>
        <v>0</v>
      </c>
      <c r="J515" s="20">
        <f>IF(OR($E515="",$D515=""),"",IF($K515&lt;=0.005,"",$D515-Hoje))</f>
        <v>0</v>
      </c>
      <c r="K515" s="21">
        <f>IF($E515="","",MAX(0,$E515-N($G515)))</f>
        <v>0</v>
      </c>
      <c r="L515" s="20">
        <f>IF($I515="Vencida","PAGAR JÁ (multa e juros)",IF($I515="Vence hoje","Pagar hoje",IF($I515="Vence em breve","Programar pagamento","")))</f>
        <v>0</v>
      </c>
    </row>
    <row r="516" spans="1:12">
      <c r="A516" s="13"/>
      <c r="B516" s="13"/>
      <c r="C516" s="13"/>
      <c r="D516" s="17"/>
      <c r="E516" s="18"/>
      <c r="F516" s="17"/>
      <c r="G516" s="18"/>
      <c r="H516" s="13"/>
      <c r="I516" s="19">
        <f>IF($E516="","",IF($K516&lt;=0.005,"Pago",IF($D516="","Sem vencimento",IF($D516&lt;Hoje,"Vencida",IF($D516=Hoje,"Vence hoje",IF($D516-Hoje&lt;=DiasAlerta,"Vence em breve","A vencer"))))))</f>
        <v>0</v>
      </c>
      <c r="J516" s="20">
        <f>IF(OR($E516="",$D516=""),"",IF($K516&lt;=0.005,"",$D516-Hoje))</f>
        <v>0</v>
      </c>
      <c r="K516" s="21">
        <f>IF($E516="","",MAX(0,$E516-N($G516)))</f>
        <v>0</v>
      </c>
      <c r="L516" s="20">
        <f>IF($I516="Vencida","PAGAR JÁ (multa e juros)",IF($I516="Vence hoje","Pagar hoje",IF($I516="Vence em breve","Programar pagamento","")))</f>
        <v>0</v>
      </c>
    </row>
    <row r="517" spans="1:12">
      <c r="A517" s="13"/>
      <c r="B517" s="13"/>
      <c r="C517" s="13"/>
      <c r="D517" s="17"/>
      <c r="E517" s="18"/>
      <c r="F517" s="17"/>
      <c r="G517" s="18"/>
      <c r="H517" s="13"/>
      <c r="I517" s="19">
        <f>IF($E517="","",IF($K517&lt;=0.005,"Pago",IF($D517="","Sem vencimento",IF($D517&lt;Hoje,"Vencida",IF($D517=Hoje,"Vence hoje",IF($D517-Hoje&lt;=DiasAlerta,"Vence em breve","A vencer"))))))</f>
        <v>0</v>
      </c>
      <c r="J517" s="20">
        <f>IF(OR($E517="",$D517=""),"",IF($K517&lt;=0.005,"",$D517-Hoje))</f>
        <v>0</v>
      </c>
      <c r="K517" s="21">
        <f>IF($E517="","",MAX(0,$E517-N($G517)))</f>
        <v>0</v>
      </c>
      <c r="L517" s="20">
        <f>IF($I517="Vencida","PAGAR JÁ (multa e juros)",IF($I517="Vence hoje","Pagar hoje",IF($I517="Vence em breve","Programar pagamento","")))</f>
        <v>0</v>
      </c>
    </row>
    <row r="518" spans="1:12">
      <c r="A518" s="13"/>
      <c r="B518" s="13"/>
      <c r="C518" s="13"/>
      <c r="D518" s="17"/>
      <c r="E518" s="18"/>
      <c r="F518" s="17"/>
      <c r="G518" s="18"/>
      <c r="H518" s="13"/>
      <c r="I518" s="19">
        <f>IF($E518="","",IF($K518&lt;=0.005,"Pago",IF($D518="","Sem vencimento",IF($D518&lt;Hoje,"Vencida",IF($D518=Hoje,"Vence hoje",IF($D518-Hoje&lt;=DiasAlerta,"Vence em breve","A vencer"))))))</f>
        <v>0</v>
      </c>
      <c r="J518" s="20">
        <f>IF(OR($E518="",$D518=""),"",IF($K518&lt;=0.005,"",$D518-Hoje))</f>
        <v>0</v>
      </c>
      <c r="K518" s="21">
        <f>IF($E518="","",MAX(0,$E518-N($G518)))</f>
        <v>0</v>
      </c>
      <c r="L518" s="20">
        <f>IF($I518="Vencida","PAGAR JÁ (multa e juros)",IF($I518="Vence hoje","Pagar hoje",IF($I518="Vence em breve","Programar pagamento","")))</f>
        <v>0</v>
      </c>
    </row>
    <row r="519" spans="1:12">
      <c r="A519" s="13"/>
      <c r="B519" s="13"/>
      <c r="C519" s="13"/>
      <c r="D519" s="17"/>
      <c r="E519" s="18"/>
      <c r="F519" s="17"/>
      <c r="G519" s="18"/>
      <c r="H519" s="13"/>
      <c r="I519" s="19">
        <f>IF($E519="","",IF($K519&lt;=0.005,"Pago",IF($D519="","Sem vencimento",IF($D519&lt;Hoje,"Vencida",IF($D519=Hoje,"Vence hoje",IF($D519-Hoje&lt;=DiasAlerta,"Vence em breve","A vencer"))))))</f>
        <v>0</v>
      </c>
      <c r="J519" s="20">
        <f>IF(OR($E519="",$D519=""),"",IF($K519&lt;=0.005,"",$D519-Hoje))</f>
        <v>0</v>
      </c>
      <c r="K519" s="21">
        <f>IF($E519="","",MAX(0,$E519-N($G519)))</f>
        <v>0</v>
      </c>
      <c r="L519" s="20">
        <f>IF($I519="Vencida","PAGAR JÁ (multa e juros)",IF($I519="Vence hoje","Pagar hoje",IF($I519="Vence em breve","Programar pagamento","")))</f>
        <v>0</v>
      </c>
    </row>
    <row r="520" spans="1:12">
      <c r="A520" s="13"/>
      <c r="B520" s="13"/>
      <c r="C520" s="13"/>
      <c r="D520" s="17"/>
      <c r="E520" s="18"/>
      <c r="F520" s="17"/>
      <c r="G520" s="18"/>
      <c r="H520" s="13"/>
      <c r="I520" s="19">
        <f>IF($E520="","",IF($K520&lt;=0.005,"Pago",IF($D520="","Sem vencimento",IF($D520&lt;Hoje,"Vencida",IF($D520=Hoje,"Vence hoje",IF($D520-Hoje&lt;=DiasAlerta,"Vence em breve","A vencer"))))))</f>
        <v>0</v>
      </c>
      <c r="J520" s="20">
        <f>IF(OR($E520="",$D520=""),"",IF($K520&lt;=0.005,"",$D520-Hoje))</f>
        <v>0</v>
      </c>
      <c r="K520" s="21">
        <f>IF($E520="","",MAX(0,$E520-N($G520)))</f>
        <v>0</v>
      </c>
      <c r="L520" s="20">
        <f>IF($I520="Vencida","PAGAR JÁ (multa e juros)",IF($I520="Vence hoje","Pagar hoje",IF($I520="Vence em breve","Programar pagamento","")))</f>
        <v>0</v>
      </c>
    </row>
    <row r="521" spans="1:12">
      <c r="A521" s="13"/>
      <c r="B521" s="13"/>
      <c r="C521" s="13"/>
      <c r="D521" s="17"/>
      <c r="E521" s="18"/>
      <c r="F521" s="17"/>
      <c r="G521" s="18"/>
      <c r="H521" s="13"/>
      <c r="I521" s="19">
        <f>IF($E521="","",IF($K521&lt;=0.005,"Pago",IF($D521="","Sem vencimento",IF($D521&lt;Hoje,"Vencida",IF($D521=Hoje,"Vence hoje",IF($D521-Hoje&lt;=DiasAlerta,"Vence em breve","A vencer"))))))</f>
        <v>0</v>
      </c>
      <c r="J521" s="20">
        <f>IF(OR($E521="",$D521=""),"",IF($K521&lt;=0.005,"",$D521-Hoje))</f>
        <v>0</v>
      </c>
      <c r="K521" s="21">
        <f>IF($E521="","",MAX(0,$E521-N($G521)))</f>
        <v>0</v>
      </c>
      <c r="L521" s="20">
        <f>IF($I521="Vencida","PAGAR JÁ (multa e juros)",IF($I521="Vence hoje","Pagar hoje",IF($I521="Vence em breve","Programar pagamento","")))</f>
        <v>0</v>
      </c>
    </row>
    <row r="522" spans="1:12">
      <c r="A522" s="13"/>
      <c r="B522" s="13"/>
      <c r="C522" s="13"/>
      <c r="D522" s="17"/>
      <c r="E522" s="18"/>
      <c r="F522" s="17"/>
      <c r="G522" s="18"/>
      <c r="H522" s="13"/>
      <c r="I522" s="19">
        <f>IF($E522="","",IF($K522&lt;=0.005,"Pago",IF($D522="","Sem vencimento",IF($D522&lt;Hoje,"Vencida",IF($D522=Hoje,"Vence hoje",IF($D522-Hoje&lt;=DiasAlerta,"Vence em breve","A vencer"))))))</f>
        <v>0</v>
      </c>
      <c r="J522" s="20">
        <f>IF(OR($E522="",$D522=""),"",IF($K522&lt;=0.005,"",$D522-Hoje))</f>
        <v>0</v>
      </c>
      <c r="K522" s="21">
        <f>IF($E522="","",MAX(0,$E522-N($G522)))</f>
        <v>0</v>
      </c>
      <c r="L522" s="20">
        <f>IF($I522="Vencida","PAGAR JÁ (multa e juros)",IF($I522="Vence hoje","Pagar hoje",IF($I522="Vence em breve","Programar pagamento","")))</f>
        <v>0</v>
      </c>
    </row>
    <row r="523" spans="1:12">
      <c r="A523" s="13"/>
      <c r="B523" s="13"/>
      <c r="C523" s="13"/>
      <c r="D523" s="17"/>
      <c r="E523" s="18"/>
      <c r="F523" s="17"/>
      <c r="G523" s="18"/>
      <c r="H523" s="13"/>
      <c r="I523" s="19">
        <f>IF($E523="","",IF($K523&lt;=0.005,"Pago",IF($D523="","Sem vencimento",IF($D523&lt;Hoje,"Vencida",IF($D523=Hoje,"Vence hoje",IF($D523-Hoje&lt;=DiasAlerta,"Vence em breve","A vencer"))))))</f>
        <v>0</v>
      </c>
      <c r="J523" s="20">
        <f>IF(OR($E523="",$D523=""),"",IF($K523&lt;=0.005,"",$D523-Hoje))</f>
        <v>0</v>
      </c>
      <c r="K523" s="21">
        <f>IF($E523="","",MAX(0,$E523-N($G523)))</f>
        <v>0</v>
      </c>
      <c r="L523" s="20">
        <f>IF($I523="Vencida","PAGAR JÁ (multa e juros)",IF($I523="Vence hoje","Pagar hoje",IF($I523="Vence em breve","Programar pagamento","")))</f>
        <v>0</v>
      </c>
    </row>
    <row r="524" spans="1:12">
      <c r="A524" s="13"/>
      <c r="B524" s="13"/>
      <c r="C524" s="13"/>
      <c r="D524" s="17"/>
      <c r="E524" s="18"/>
      <c r="F524" s="17"/>
      <c r="G524" s="18"/>
      <c r="H524" s="13"/>
      <c r="I524" s="19">
        <f>IF($E524="","",IF($K524&lt;=0.005,"Pago",IF($D524="","Sem vencimento",IF($D524&lt;Hoje,"Vencida",IF($D524=Hoje,"Vence hoje",IF($D524-Hoje&lt;=DiasAlerta,"Vence em breve","A vencer"))))))</f>
        <v>0</v>
      </c>
      <c r="J524" s="20">
        <f>IF(OR($E524="",$D524=""),"",IF($K524&lt;=0.005,"",$D524-Hoje))</f>
        <v>0</v>
      </c>
      <c r="K524" s="21">
        <f>IF($E524="","",MAX(0,$E524-N($G524)))</f>
        <v>0</v>
      </c>
      <c r="L524" s="20">
        <f>IF($I524="Vencida","PAGAR JÁ (multa e juros)",IF($I524="Vence hoje","Pagar hoje",IF($I524="Vence em breve","Programar pagamento","")))</f>
        <v>0</v>
      </c>
    </row>
    <row r="525" spans="1:12">
      <c r="A525" s="13"/>
      <c r="B525" s="13"/>
      <c r="C525" s="13"/>
      <c r="D525" s="17"/>
      <c r="E525" s="18"/>
      <c r="F525" s="17"/>
      <c r="G525" s="18"/>
      <c r="H525" s="13"/>
      <c r="I525" s="19">
        <f>IF($E525="","",IF($K525&lt;=0.005,"Pago",IF($D525="","Sem vencimento",IF($D525&lt;Hoje,"Vencida",IF($D525=Hoje,"Vence hoje",IF($D525-Hoje&lt;=DiasAlerta,"Vence em breve","A vencer"))))))</f>
        <v>0</v>
      </c>
      <c r="J525" s="20">
        <f>IF(OR($E525="",$D525=""),"",IF($K525&lt;=0.005,"",$D525-Hoje))</f>
        <v>0</v>
      </c>
      <c r="K525" s="21">
        <f>IF($E525="","",MAX(0,$E525-N($G525)))</f>
        <v>0</v>
      </c>
      <c r="L525" s="20">
        <f>IF($I525="Vencida","PAGAR JÁ (multa e juros)",IF($I525="Vence hoje","Pagar hoje",IF($I525="Vence em breve","Programar pagamento","")))</f>
        <v>0</v>
      </c>
    </row>
    <row r="526" spans="1:12">
      <c r="A526" s="13"/>
      <c r="B526" s="13"/>
      <c r="C526" s="13"/>
      <c r="D526" s="17"/>
      <c r="E526" s="18"/>
      <c r="F526" s="17"/>
      <c r="G526" s="18"/>
      <c r="H526" s="13"/>
      <c r="I526" s="19">
        <f>IF($E526="","",IF($K526&lt;=0.005,"Pago",IF($D526="","Sem vencimento",IF($D526&lt;Hoje,"Vencida",IF($D526=Hoje,"Vence hoje",IF($D526-Hoje&lt;=DiasAlerta,"Vence em breve","A vencer"))))))</f>
        <v>0</v>
      </c>
      <c r="J526" s="20">
        <f>IF(OR($E526="",$D526=""),"",IF($K526&lt;=0.005,"",$D526-Hoje))</f>
        <v>0</v>
      </c>
      <c r="K526" s="21">
        <f>IF($E526="","",MAX(0,$E526-N($G526)))</f>
        <v>0</v>
      </c>
      <c r="L526" s="20">
        <f>IF($I526="Vencida","PAGAR JÁ (multa e juros)",IF($I526="Vence hoje","Pagar hoje",IF($I526="Vence em breve","Programar pagamento","")))</f>
        <v>0</v>
      </c>
    </row>
    <row r="527" spans="1:12">
      <c r="A527" s="13"/>
      <c r="B527" s="13"/>
      <c r="C527" s="13"/>
      <c r="D527" s="17"/>
      <c r="E527" s="18"/>
      <c r="F527" s="17"/>
      <c r="G527" s="18"/>
      <c r="H527" s="13"/>
      <c r="I527" s="19">
        <f>IF($E527="","",IF($K527&lt;=0.005,"Pago",IF($D527="","Sem vencimento",IF($D527&lt;Hoje,"Vencida",IF($D527=Hoje,"Vence hoje",IF($D527-Hoje&lt;=DiasAlerta,"Vence em breve","A vencer"))))))</f>
        <v>0</v>
      </c>
      <c r="J527" s="20">
        <f>IF(OR($E527="",$D527=""),"",IF($K527&lt;=0.005,"",$D527-Hoje))</f>
        <v>0</v>
      </c>
      <c r="K527" s="21">
        <f>IF($E527="","",MAX(0,$E527-N($G527)))</f>
        <v>0</v>
      </c>
      <c r="L527" s="20">
        <f>IF($I527="Vencida","PAGAR JÁ (multa e juros)",IF($I527="Vence hoje","Pagar hoje",IF($I527="Vence em breve","Programar pagamento","")))</f>
        <v>0</v>
      </c>
    </row>
    <row r="528" spans="1:12">
      <c r="A528" s="13"/>
      <c r="B528" s="13"/>
      <c r="C528" s="13"/>
      <c r="D528" s="17"/>
      <c r="E528" s="18"/>
      <c r="F528" s="17"/>
      <c r="G528" s="18"/>
      <c r="H528" s="13"/>
      <c r="I528" s="19">
        <f>IF($E528="","",IF($K528&lt;=0.005,"Pago",IF($D528="","Sem vencimento",IF($D528&lt;Hoje,"Vencida",IF($D528=Hoje,"Vence hoje",IF($D528-Hoje&lt;=DiasAlerta,"Vence em breve","A vencer"))))))</f>
        <v>0</v>
      </c>
      <c r="J528" s="20">
        <f>IF(OR($E528="",$D528=""),"",IF($K528&lt;=0.005,"",$D528-Hoje))</f>
        <v>0</v>
      </c>
      <c r="K528" s="21">
        <f>IF($E528="","",MAX(0,$E528-N($G528)))</f>
        <v>0</v>
      </c>
      <c r="L528" s="20">
        <f>IF($I528="Vencida","PAGAR JÁ (multa e juros)",IF($I528="Vence hoje","Pagar hoje",IF($I528="Vence em breve","Programar pagamento","")))</f>
        <v>0</v>
      </c>
    </row>
    <row r="529" spans="1:12">
      <c r="A529" s="13"/>
      <c r="B529" s="13"/>
      <c r="C529" s="13"/>
      <c r="D529" s="17"/>
      <c r="E529" s="18"/>
      <c r="F529" s="17"/>
      <c r="G529" s="18"/>
      <c r="H529" s="13"/>
      <c r="I529" s="19">
        <f>IF($E529="","",IF($K529&lt;=0.005,"Pago",IF($D529="","Sem vencimento",IF($D529&lt;Hoje,"Vencida",IF($D529=Hoje,"Vence hoje",IF($D529-Hoje&lt;=DiasAlerta,"Vence em breve","A vencer"))))))</f>
        <v>0</v>
      </c>
      <c r="J529" s="20">
        <f>IF(OR($E529="",$D529=""),"",IF($K529&lt;=0.005,"",$D529-Hoje))</f>
        <v>0</v>
      </c>
      <c r="K529" s="21">
        <f>IF($E529="","",MAX(0,$E529-N($G529)))</f>
        <v>0</v>
      </c>
      <c r="L529" s="20">
        <f>IF($I529="Vencida","PAGAR JÁ (multa e juros)",IF($I529="Vence hoje","Pagar hoje",IF($I529="Vence em breve","Programar pagamento","")))</f>
        <v>0</v>
      </c>
    </row>
    <row r="530" spans="1:12">
      <c r="A530" s="13"/>
      <c r="B530" s="13"/>
      <c r="C530" s="13"/>
      <c r="D530" s="17"/>
      <c r="E530" s="18"/>
      <c r="F530" s="17"/>
      <c r="G530" s="18"/>
      <c r="H530" s="13"/>
      <c r="I530" s="19">
        <f>IF($E530="","",IF($K530&lt;=0.005,"Pago",IF($D530="","Sem vencimento",IF($D530&lt;Hoje,"Vencida",IF($D530=Hoje,"Vence hoje",IF($D530-Hoje&lt;=DiasAlerta,"Vence em breve","A vencer"))))))</f>
        <v>0</v>
      </c>
      <c r="J530" s="20">
        <f>IF(OR($E530="",$D530=""),"",IF($K530&lt;=0.005,"",$D530-Hoje))</f>
        <v>0</v>
      </c>
      <c r="K530" s="21">
        <f>IF($E530="","",MAX(0,$E530-N($G530)))</f>
        <v>0</v>
      </c>
      <c r="L530" s="20">
        <f>IF($I530="Vencida","PAGAR JÁ (multa e juros)",IF($I530="Vence hoje","Pagar hoje",IF($I530="Vence em breve","Programar pagamento","")))</f>
        <v>0</v>
      </c>
    </row>
    <row r="531" spans="1:12">
      <c r="A531" s="13"/>
      <c r="B531" s="13"/>
      <c r="C531" s="13"/>
      <c r="D531" s="17"/>
      <c r="E531" s="18"/>
      <c r="F531" s="17"/>
      <c r="G531" s="18"/>
      <c r="H531" s="13"/>
      <c r="I531" s="19">
        <f>IF($E531="","",IF($K531&lt;=0.005,"Pago",IF($D531="","Sem vencimento",IF($D531&lt;Hoje,"Vencida",IF($D531=Hoje,"Vence hoje",IF($D531-Hoje&lt;=DiasAlerta,"Vence em breve","A vencer"))))))</f>
        <v>0</v>
      </c>
      <c r="J531" s="20">
        <f>IF(OR($E531="",$D531=""),"",IF($K531&lt;=0.005,"",$D531-Hoje))</f>
        <v>0</v>
      </c>
      <c r="K531" s="21">
        <f>IF($E531="","",MAX(0,$E531-N($G531)))</f>
        <v>0</v>
      </c>
      <c r="L531" s="20">
        <f>IF($I531="Vencida","PAGAR JÁ (multa e juros)",IF($I531="Vence hoje","Pagar hoje",IF($I531="Vence em breve","Programar pagamento","")))</f>
        <v>0</v>
      </c>
    </row>
    <row r="532" spans="1:12">
      <c r="A532" s="13"/>
      <c r="B532" s="13"/>
      <c r="C532" s="13"/>
      <c r="D532" s="17"/>
      <c r="E532" s="18"/>
      <c r="F532" s="17"/>
      <c r="G532" s="18"/>
      <c r="H532" s="13"/>
      <c r="I532" s="19">
        <f>IF($E532="","",IF($K532&lt;=0.005,"Pago",IF($D532="","Sem vencimento",IF($D532&lt;Hoje,"Vencida",IF($D532=Hoje,"Vence hoje",IF($D532-Hoje&lt;=DiasAlerta,"Vence em breve","A vencer"))))))</f>
        <v>0</v>
      </c>
      <c r="J532" s="20">
        <f>IF(OR($E532="",$D532=""),"",IF($K532&lt;=0.005,"",$D532-Hoje))</f>
        <v>0</v>
      </c>
      <c r="K532" s="21">
        <f>IF($E532="","",MAX(0,$E532-N($G532)))</f>
        <v>0</v>
      </c>
      <c r="L532" s="20">
        <f>IF($I532="Vencida","PAGAR JÁ (multa e juros)",IF($I532="Vence hoje","Pagar hoje",IF($I532="Vence em breve","Programar pagamento","")))</f>
        <v>0</v>
      </c>
    </row>
    <row r="533" spans="1:12">
      <c r="A533" s="13"/>
      <c r="B533" s="13"/>
      <c r="C533" s="13"/>
      <c r="D533" s="17"/>
      <c r="E533" s="18"/>
      <c r="F533" s="17"/>
      <c r="G533" s="18"/>
      <c r="H533" s="13"/>
      <c r="I533" s="19">
        <f>IF($E533="","",IF($K533&lt;=0.005,"Pago",IF($D533="","Sem vencimento",IF($D533&lt;Hoje,"Vencida",IF($D533=Hoje,"Vence hoje",IF($D533-Hoje&lt;=DiasAlerta,"Vence em breve","A vencer"))))))</f>
        <v>0</v>
      </c>
      <c r="J533" s="20">
        <f>IF(OR($E533="",$D533=""),"",IF($K533&lt;=0.005,"",$D533-Hoje))</f>
        <v>0</v>
      </c>
      <c r="K533" s="21">
        <f>IF($E533="","",MAX(0,$E533-N($G533)))</f>
        <v>0</v>
      </c>
      <c r="L533" s="20">
        <f>IF($I533="Vencida","PAGAR JÁ (multa e juros)",IF($I533="Vence hoje","Pagar hoje",IF($I533="Vence em breve","Programar pagamento","")))</f>
        <v>0</v>
      </c>
    </row>
    <row r="534" spans="1:12">
      <c r="A534" s="13"/>
      <c r="B534" s="13"/>
      <c r="C534" s="13"/>
      <c r="D534" s="17"/>
      <c r="E534" s="18"/>
      <c r="F534" s="17"/>
      <c r="G534" s="18"/>
      <c r="H534" s="13"/>
      <c r="I534" s="19">
        <f>IF($E534="","",IF($K534&lt;=0.005,"Pago",IF($D534="","Sem vencimento",IF($D534&lt;Hoje,"Vencida",IF($D534=Hoje,"Vence hoje",IF($D534-Hoje&lt;=DiasAlerta,"Vence em breve","A vencer"))))))</f>
        <v>0</v>
      </c>
      <c r="J534" s="20">
        <f>IF(OR($E534="",$D534=""),"",IF($K534&lt;=0.005,"",$D534-Hoje))</f>
        <v>0</v>
      </c>
      <c r="K534" s="21">
        <f>IF($E534="","",MAX(0,$E534-N($G534)))</f>
        <v>0</v>
      </c>
      <c r="L534" s="20">
        <f>IF($I534="Vencida","PAGAR JÁ (multa e juros)",IF($I534="Vence hoje","Pagar hoje",IF($I534="Vence em breve","Programar pagamento","")))</f>
        <v>0</v>
      </c>
    </row>
    <row r="535" spans="1:12">
      <c r="A535" s="13"/>
      <c r="B535" s="13"/>
      <c r="C535" s="13"/>
      <c r="D535" s="17"/>
      <c r="E535" s="18"/>
      <c r="F535" s="17"/>
      <c r="G535" s="18"/>
      <c r="H535" s="13"/>
      <c r="I535" s="19">
        <f>IF($E535="","",IF($K535&lt;=0.005,"Pago",IF($D535="","Sem vencimento",IF($D535&lt;Hoje,"Vencida",IF($D535=Hoje,"Vence hoje",IF($D535-Hoje&lt;=DiasAlerta,"Vence em breve","A vencer"))))))</f>
        <v>0</v>
      </c>
      <c r="J535" s="20">
        <f>IF(OR($E535="",$D535=""),"",IF($K535&lt;=0.005,"",$D535-Hoje))</f>
        <v>0</v>
      </c>
      <c r="K535" s="21">
        <f>IF($E535="","",MAX(0,$E535-N($G535)))</f>
        <v>0</v>
      </c>
      <c r="L535" s="20">
        <f>IF($I535="Vencida","PAGAR JÁ (multa e juros)",IF($I535="Vence hoje","Pagar hoje",IF($I535="Vence em breve","Programar pagamento","")))</f>
        <v>0</v>
      </c>
    </row>
    <row r="536" spans="1:12">
      <c r="A536" s="13"/>
      <c r="B536" s="13"/>
      <c r="C536" s="13"/>
      <c r="D536" s="17"/>
      <c r="E536" s="18"/>
      <c r="F536" s="17"/>
      <c r="G536" s="18"/>
      <c r="H536" s="13"/>
      <c r="I536" s="19">
        <f>IF($E536="","",IF($K536&lt;=0.005,"Pago",IF($D536="","Sem vencimento",IF($D536&lt;Hoje,"Vencida",IF($D536=Hoje,"Vence hoje",IF($D536-Hoje&lt;=DiasAlerta,"Vence em breve","A vencer"))))))</f>
        <v>0</v>
      </c>
      <c r="J536" s="20">
        <f>IF(OR($E536="",$D536=""),"",IF($K536&lt;=0.005,"",$D536-Hoje))</f>
        <v>0</v>
      </c>
      <c r="K536" s="21">
        <f>IF($E536="","",MAX(0,$E536-N($G536)))</f>
        <v>0</v>
      </c>
      <c r="L536" s="20">
        <f>IF($I536="Vencida","PAGAR JÁ (multa e juros)",IF($I536="Vence hoje","Pagar hoje",IF($I536="Vence em breve","Programar pagamento","")))</f>
        <v>0</v>
      </c>
    </row>
    <row r="537" spans="1:12">
      <c r="A537" s="13"/>
      <c r="B537" s="13"/>
      <c r="C537" s="13"/>
      <c r="D537" s="17"/>
      <c r="E537" s="18"/>
      <c r="F537" s="17"/>
      <c r="G537" s="18"/>
      <c r="H537" s="13"/>
      <c r="I537" s="19">
        <f>IF($E537="","",IF($K537&lt;=0.005,"Pago",IF($D537="","Sem vencimento",IF($D537&lt;Hoje,"Vencida",IF($D537=Hoje,"Vence hoje",IF($D537-Hoje&lt;=DiasAlerta,"Vence em breve","A vencer"))))))</f>
        <v>0</v>
      </c>
      <c r="J537" s="20">
        <f>IF(OR($E537="",$D537=""),"",IF($K537&lt;=0.005,"",$D537-Hoje))</f>
        <v>0</v>
      </c>
      <c r="K537" s="21">
        <f>IF($E537="","",MAX(0,$E537-N($G537)))</f>
        <v>0</v>
      </c>
      <c r="L537" s="20">
        <f>IF($I537="Vencida","PAGAR JÁ (multa e juros)",IF($I537="Vence hoje","Pagar hoje",IF($I537="Vence em breve","Programar pagamento","")))</f>
        <v>0</v>
      </c>
    </row>
    <row r="538" spans="1:12">
      <c r="A538" s="13"/>
      <c r="B538" s="13"/>
      <c r="C538" s="13"/>
      <c r="D538" s="17"/>
      <c r="E538" s="18"/>
      <c r="F538" s="17"/>
      <c r="G538" s="18"/>
      <c r="H538" s="13"/>
      <c r="I538" s="19">
        <f>IF($E538="","",IF($K538&lt;=0.005,"Pago",IF($D538="","Sem vencimento",IF($D538&lt;Hoje,"Vencida",IF($D538=Hoje,"Vence hoje",IF($D538-Hoje&lt;=DiasAlerta,"Vence em breve","A vencer"))))))</f>
        <v>0</v>
      </c>
      <c r="J538" s="20">
        <f>IF(OR($E538="",$D538=""),"",IF($K538&lt;=0.005,"",$D538-Hoje))</f>
        <v>0</v>
      </c>
      <c r="K538" s="21">
        <f>IF($E538="","",MAX(0,$E538-N($G538)))</f>
        <v>0</v>
      </c>
      <c r="L538" s="20">
        <f>IF($I538="Vencida","PAGAR JÁ (multa e juros)",IF($I538="Vence hoje","Pagar hoje",IF($I538="Vence em breve","Programar pagamento","")))</f>
        <v>0</v>
      </c>
    </row>
    <row r="539" spans="1:12">
      <c r="A539" s="13"/>
      <c r="B539" s="13"/>
      <c r="C539" s="13"/>
      <c r="D539" s="17"/>
      <c r="E539" s="18"/>
      <c r="F539" s="17"/>
      <c r="G539" s="18"/>
      <c r="H539" s="13"/>
      <c r="I539" s="19">
        <f>IF($E539="","",IF($K539&lt;=0.005,"Pago",IF($D539="","Sem vencimento",IF($D539&lt;Hoje,"Vencida",IF($D539=Hoje,"Vence hoje",IF($D539-Hoje&lt;=DiasAlerta,"Vence em breve","A vencer"))))))</f>
        <v>0</v>
      </c>
      <c r="J539" s="20">
        <f>IF(OR($E539="",$D539=""),"",IF($K539&lt;=0.005,"",$D539-Hoje))</f>
        <v>0</v>
      </c>
      <c r="K539" s="21">
        <f>IF($E539="","",MAX(0,$E539-N($G539)))</f>
        <v>0</v>
      </c>
      <c r="L539" s="20">
        <f>IF($I539="Vencida","PAGAR JÁ (multa e juros)",IF($I539="Vence hoje","Pagar hoje",IF($I539="Vence em breve","Programar pagamento","")))</f>
        <v>0</v>
      </c>
    </row>
    <row r="540" spans="1:12">
      <c r="A540" s="13"/>
      <c r="B540" s="13"/>
      <c r="C540" s="13"/>
      <c r="D540" s="17"/>
      <c r="E540" s="18"/>
      <c r="F540" s="17"/>
      <c r="G540" s="18"/>
      <c r="H540" s="13"/>
      <c r="I540" s="19">
        <f>IF($E540="","",IF($K540&lt;=0.005,"Pago",IF($D540="","Sem vencimento",IF($D540&lt;Hoje,"Vencida",IF($D540=Hoje,"Vence hoje",IF($D540-Hoje&lt;=DiasAlerta,"Vence em breve","A vencer"))))))</f>
        <v>0</v>
      </c>
      <c r="J540" s="20">
        <f>IF(OR($E540="",$D540=""),"",IF($K540&lt;=0.005,"",$D540-Hoje))</f>
        <v>0</v>
      </c>
      <c r="K540" s="21">
        <f>IF($E540="","",MAX(0,$E540-N($G540)))</f>
        <v>0</v>
      </c>
      <c r="L540" s="20">
        <f>IF($I540="Vencida","PAGAR JÁ (multa e juros)",IF($I540="Vence hoje","Pagar hoje",IF($I540="Vence em breve","Programar pagamento","")))</f>
        <v>0</v>
      </c>
    </row>
    <row r="541" spans="1:12">
      <c r="A541" s="13"/>
      <c r="B541" s="13"/>
      <c r="C541" s="13"/>
      <c r="D541" s="17"/>
      <c r="E541" s="18"/>
      <c r="F541" s="17"/>
      <c r="G541" s="18"/>
      <c r="H541" s="13"/>
      <c r="I541" s="19">
        <f>IF($E541="","",IF($K541&lt;=0.005,"Pago",IF($D541="","Sem vencimento",IF($D541&lt;Hoje,"Vencida",IF($D541=Hoje,"Vence hoje",IF($D541-Hoje&lt;=DiasAlerta,"Vence em breve","A vencer"))))))</f>
        <v>0</v>
      </c>
      <c r="J541" s="20">
        <f>IF(OR($E541="",$D541=""),"",IF($K541&lt;=0.005,"",$D541-Hoje))</f>
        <v>0</v>
      </c>
      <c r="K541" s="21">
        <f>IF($E541="","",MAX(0,$E541-N($G541)))</f>
        <v>0</v>
      </c>
      <c r="L541" s="20">
        <f>IF($I541="Vencida","PAGAR JÁ (multa e juros)",IF($I541="Vence hoje","Pagar hoje",IF($I541="Vence em breve","Programar pagamento","")))</f>
        <v>0</v>
      </c>
    </row>
    <row r="542" spans="1:12">
      <c r="A542" s="13"/>
      <c r="B542" s="13"/>
      <c r="C542" s="13"/>
      <c r="D542" s="17"/>
      <c r="E542" s="18"/>
      <c r="F542" s="17"/>
      <c r="G542" s="18"/>
      <c r="H542" s="13"/>
      <c r="I542" s="19">
        <f>IF($E542="","",IF($K542&lt;=0.005,"Pago",IF($D542="","Sem vencimento",IF($D542&lt;Hoje,"Vencida",IF($D542=Hoje,"Vence hoje",IF($D542-Hoje&lt;=DiasAlerta,"Vence em breve","A vencer"))))))</f>
        <v>0</v>
      </c>
      <c r="J542" s="20">
        <f>IF(OR($E542="",$D542=""),"",IF($K542&lt;=0.005,"",$D542-Hoje))</f>
        <v>0</v>
      </c>
      <c r="K542" s="21">
        <f>IF($E542="","",MAX(0,$E542-N($G542)))</f>
        <v>0</v>
      </c>
      <c r="L542" s="20">
        <f>IF($I542="Vencida","PAGAR JÁ (multa e juros)",IF($I542="Vence hoje","Pagar hoje",IF($I542="Vence em breve","Programar pagamento","")))</f>
        <v>0</v>
      </c>
    </row>
    <row r="543" spans="1:12">
      <c r="A543" s="13"/>
      <c r="B543" s="13"/>
      <c r="C543" s="13"/>
      <c r="D543" s="17"/>
      <c r="E543" s="18"/>
      <c r="F543" s="17"/>
      <c r="G543" s="18"/>
      <c r="H543" s="13"/>
      <c r="I543" s="19">
        <f>IF($E543="","",IF($K543&lt;=0.005,"Pago",IF($D543="","Sem vencimento",IF($D543&lt;Hoje,"Vencida",IF($D543=Hoje,"Vence hoje",IF($D543-Hoje&lt;=DiasAlerta,"Vence em breve","A vencer"))))))</f>
        <v>0</v>
      </c>
      <c r="J543" s="20">
        <f>IF(OR($E543="",$D543=""),"",IF($K543&lt;=0.005,"",$D543-Hoje))</f>
        <v>0</v>
      </c>
      <c r="K543" s="21">
        <f>IF($E543="","",MAX(0,$E543-N($G543)))</f>
        <v>0</v>
      </c>
      <c r="L543" s="20">
        <f>IF($I543="Vencida","PAGAR JÁ (multa e juros)",IF($I543="Vence hoje","Pagar hoje",IF($I543="Vence em breve","Programar pagamento","")))</f>
        <v>0</v>
      </c>
    </row>
    <row r="544" spans="1:12">
      <c r="A544" s="13"/>
      <c r="B544" s="13"/>
      <c r="C544" s="13"/>
      <c r="D544" s="17"/>
      <c r="E544" s="18"/>
      <c r="F544" s="17"/>
      <c r="G544" s="18"/>
      <c r="H544" s="13"/>
      <c r="I544" s="19">
        <f>IF($E544="","",IF($K544&lt;=0.005,"Pago",IF($D544="","Sem vencimento",IF($D544&lt;Hoje,"Vencida",IF($D544=Hoje,"Vence hoje",IF($D544-Hoje&lt;=DiasAlerta,"Vence em breve","A vencer"))))))</f>
        <v>0</v>
      </c>
      <c r="J544" s="20">
        <f>IF(OR($E544="",$D544=""),"",IF($K544&lt;=0.005,"",$D544-Hoje))</f>
        <v>0</v>
      </c>
      <c r="K544" s="21">
        <f>IF($E544="","",MAX(0,$E544-N($G544)))</f>
        <v>0</v>
      </c>
      <c r="L544" s="20">
        <f>IF($I544="Vencida","PAGAR JÁ (multa e juros)",IF($I544="Vence hoje","Pagar hoje",IF($I544="Vence em breve","Programar pagamento","")))</f>
        <v>0</v>
      </c>
    </row>
    <row r="545" spans="1:12">
      <c r="A545" s="13"/>
      <c r="B545" s="13"/>
      <c r="C545" s="13"/>
      <c r="D545" s="17"/>
      <c r="E545" s="18"/>
      <c r="F545" s="17"/>
      <c r="G545" s="18"/>
      <c r="H545" s="13"/>
      <c r="I545" s="19">
        <f>IF($E545="","",IF($K545&lt;=0.005,"Pago",IF($D545="","Sem vencimento",IF($D545&lt;Hoje,"Vencida",IF($D545=Hoje,"Vence hoje",IF($D545-Hoje&lt;=DiasAlerta,"Vence em breve","A vencer"))))))</f>
        <v>0</v>
      </c>
      <c r="J545" s="20">
        <f>IF(OR($E545="",$D545=""),"",IF($K545&lt;=0.005,"",$D545-Hoje))</f>
        <v>0</v>
      </c>
      <c r="K545" s="21">
        <f>IF($E545="","",MAX(0,$E545-N($G545)))</f>
        <v>0</v>
      </c>
      <c r="L545" s="20">
        <f>IF($I545="Vencida","PAGAR JÁ (multa e juros)",IF($I545="Vence hoje","Pagar hoje",IF($I545="Vence em breve","Programar pagamento","")))</f>
        <v>0</v>
      </c>
    </row>
    <row r="546" spans="1:12">
      <c r="A546" s="13"/>
      <c r="B546" s="13"/>
      <c r="C546" s="13"/>
      <c r="D546" s="17"/>
      <c r="E546" s="18"/>
      <c r="F546" s="17"/>
      <c r="G546" s="18"/>
      <c r="H546" s="13"/>
      <c r="I546" s="19">
        <f>IF($E546="","",IF($K546&lt;=0.005,"Pago",IF($D546="","Sem vencimento",IF($D546&lt;Hoje,"Vencida",IF($D546=Hoje,"Vence hoje",IF($D546-Hoje&lt;=DiasAlerta,"Vence em breve","A vencer"))))))</f>
        <v>0</v>
      </c>
      <c r="J546" s="20">
        <f>IF(OR($E546="",$D546=""),"",IF($K546&lt;=0.005,"",$D546-Hoje))</f>
        <v>0</v>
      </c>
      <c r="K546" s="21">
        <f>IF($E546="","",MAX(0,$E546-N($G546)))</f>
        <v>0</v>
      </c>
      <c r="L546" s="20">
        <f>IF($I546="Vencida","PAGAR JÁ (multa e juros)",IF($I546="Vence hoje","Pagar hoje",IF($I546="Vence em breve","Programar pagamento","")))</f>
        <v>0</v>
      </c>
    </row>
    <row r="547" spans="1:12">
      <c r="A547" s="13"/>
      <c r="B547" s="13"/>
      <c r="C547" s="13"/>
      <c r="D547" s="17"/>
      <c r="E547" s="18"/>
      <c r="F547" s="17"/>
      <c r="G547" s="18"/>
      <c r="H547" s="13"/>
      <c r="I547" s="19">
        <f>IF($E547="","",IF($K547&lt;=0.005,"Pago",IF($D547="","Sem vencimento",IF($D547&lt;Hoje,"Vencida",IF($D547=Hoje,"Vence hoje",IF($D547-Hoje&lt;=DiasAlerta,"Vence em breve","A vencer"))))))</f>
        <v>0</v>
      </c>
      <c r="J547" s="20">
        <f>IF(OR($E547="",$D547=""),"",IF($K547&lt;=0.005,"",$D547-Hoje))</f>
        <v>0</v>
      </c>
      <c r="K547" s="21">
        <f>IF($E547="","",MAX(0,$E547-N($G547)))</f>
        <v>0</v>
      </c>
      <c r="L547" s="20">
        <f>IF($I547="Vencida","PAGAR JÁ (multa e juros)",IF($I547="Vence hoje","Pagar hoje",IF($I547="Vence em breve","Programar pagamento","")))</f>
        <v>0</v>
      </c>
    </row>
    <row r="548" spans="1:12">
      <c r="A548" s="13"/>
      <c r="B548" s="13"/>
      <c r="C548" s="13"/>
      <c r="D548" s="17"/>
      <c r="E548" s="18"/>
      <c r="F548" s="17"/>
      <c r="G548" s="18"/>
      <c r="H548" s="13"/>
      <c r="I548" s="19">
        <f>IF($E548="","",IF($K548&lt;=0.005,"Pago",IF($D548="","Sem vencimento",IF($D548&lt;Hoje,"Vencida",IF($D548=Hoje,"Vence hoje",IF($D548-Hoje&lt;=DiasAlerta,"Vence em breve","A vencer"))))))</f>
        <v>0</v>
      </c>
      <c r="J548" s="20">
        <f>IF(OR($E548="",$D548=""),"",IF($K548&lt;=0.005,"",$D548-Hoje))</f>
        <v>0</v>
      </c>
      <c r="K548" s="21">
        <f>IF($E548="","",MAX(0,$E548-N($G548)))</f>
        <v>0</v>
      </c>
      <c r="L548" s="20">
        <f>IF($I548="Vencida","PAGAR JÁ (multa e juros)",IF($I548="Vence hoje","Pagar hoje",IF($I548="Vence em breve","Programar pagamento","")))</f>
        <v>0</v>
      </c>
    </row>
    <row r="549" spans="1:12">
      <c r="A549" s="13"/>
      <c r="B549" s="13"/>
      <c r="C549" s="13"/>
      <c r="D549" s="17"/>
      <c r="E549" s="18"/>
      <c r="F549" s="17"/>
      <c r="G549" s="18"/>
      <c r="H549" s="13"/>
      <c r="I549" s="19">
        <f>IF($E549="","",IF($K549&lt;=0.005,"Pago",IF($D549="","Sem vencimento",IF($D549&lt;Hoje,"Vencida",IF($D549=Hoje,"Vence hoje",IF($D549-Hoje&lt;=DiasAlerta,"Vence em breve","A vencer"))))))</f>
        <v>0</v>
      </c>
      <c r="J549" s="20">
        <f>IF(OR($E549="",$D549=""),"",IF($K549&lt;=0.005,"",$D549-Hoje))</f>
        <v>0</v>
      </c>
      <c r="K549" s="21">
        <f>IF($E549="","",MAX(0,$E549-N($G549)))</f>
        <v>0</v>
      </c>
      <c r="L549" s="20">
        <f>IF($I549="Vencida","PAGAR JÁ (multa e juros)",IF($I549="Vence hoje","Pagar hoje",IF($I549="Vence em breve","Programar pagamento","")))</f>
        <v>0</v>
      </c>
    </row>
    <row r="550" spans="1:12">
      <c r="A550" s="13"/>
      <c r="B550" s="13"/>
      <c r="C550" s="13"/>
      <c r="D550" s="17"/>
      <c r="E550" s="18"/>
      <c r="F550" s="17"/>
      <c r="G550" s="18"/>
      <c r="H550" s="13"/>
      <c r="I550" s="19">
        <f>IF($E550="","",IF($K550&lt;=0.005,"Pago",IF($D550="","Sem vencimento",IF($D550&lt;Hoje,"Vencida",IF($D550=Hoje,"Vence hoje",IF($D550-Hoje&lt;=DiasAlerta,"Vence em breve","A vencer"))))))</f>
        <v>0</v>
      </c>
      <c r="J550" s="20">
        <f>IF(OR($E550="",$D550=""),"",IF($K550&lt;=0.005,"",$D550-Hoje))</f>
        <v>0</v>
      </c>
      <c r="K550" s="21">
        <f>IF($E550="","",MAX(0,$E550-N($G550)))</f>
        <v>0</v>
      </c>
      <c r="L550" s="20">
        <f>IF($I550="Vencida","PAGAR JÁ (multa e juros)",IF($I550="Vence hoje","Pagar hoje",IF($I550="Vence em breve","Programar pagamento","")))</f>
        <v>0</v>
      </c>
    </row>
    <row r="551" spans="1:12">
      <c r="A551" s="13"/>
      <c r="B551" s="13"/>
      <c r="C551" s="13"/>
      <c r="D551" s="17"/>
      <c r="E551" s="18"/>
      <c r="F551" s="17"/>
      <c r="G551" s="18"/>
      <c r="H551" s="13"/>
      <c r="I551" s="19">
        <f>IF($E551="","",IF($K551&lt;=0.005,"Pago",IF($D551="","Sem vencimento",IF($D551&lt;Hoje,"Vencida",IF($D551=Hoje,"Vence hoje",IF($D551-Hoje&lt;=DiasAlerta,"Vence em breve","A vencer"))))))</f>
        <v>0</v>
      </c>
      <c r="J551" s="20">
        <f>IF(OR($E551="",$D551=""),"",IF($K551&lt;=0.005,"",$D551-Hoje))</f>
        <v>0</v>
      </c>
      <c r="K551" s="21">
        <f>IF($E551="","",MAX(0,$E551-N($G551)))</f>
        <v>0</v>
      </c>
      <c r="L551" s="20">
        <f>IF($I551="Vencida","PAGAR JÁ (multa e juros)",IF($I551="Vence hoje","Pagar hoje",IF($I551="Vence em breve","Programar pagamento","")))</f>
        <v>0</v>
      </c>
    </row>
    <row r="552" spans="1:12">
      <c r="A552" s="13"/>
      <c r="B552" s="13"/>
      <c r="C552" s="13"/>
      <c r="D552" s="17"/>
      <c r="E552" s="18"/>
      <c r="F552" s="17"/>
      <c r="G552" s="18"/>
      <c r="H552" s="13"/>
      <c r="I552" s="19">
        <f>IF($E552="","",IF($K552&lt;=0.005,"Pago",IF($D552="","Sem vencimento",IF($D552&lt;Hoje,"Vencida",IF($D552=Hoje,"Vence hoje",IF($D552-Hoje&lt;=DiasAlerta,"Vence em breve","A vencer"))))))</f>
        <v>0</v>
      </c>
      <c r="J552" s="20">
        <f>IF(OR($E552="",$D552=""),"",IF($K552&lt;=0.005,"",$D552-Hoje))</f>
        <v>0</v>
      </c>
      <c r="K552" s="21">
        <f>IF($E552="","",MAX(0,$E552-N($G552)))</f>
        <v>0</v>
      </c>
      <c r="L552" s="20">
        <f>IF($I552="Vencida","PAGAR JÁ (multa e juros)",IF($I552="Vence hoje","Pagar hoje",IF($I552="Vence em breve","Programar pagamento","")))</f>
        <v>0</v>
      </c>
    </row>
    <row r="553" spans="1:12">
      <c r="A553" s="13"/>
      <c r="B553" s="13"/>
      <c r="C553" s="13"/>
      <c r="D553" s="17"/>
      <c r="E553" s="18"/>
      <c r="F553" s="17"/>
      <c r="G553" s="18"/>
      <c r="H553" s="13"/>
      <c r="I553" s="19">
        <f>IF($E553="","",IF($K553&lt;=0.005,"Pago",IF($D553="","Sem vencimento",IF($D553&lt;Hoje,"Vencida",IF($D553=Hoje,"Vence hoje",IF($D553-Hoje&lt;=DiasAlerta,"Vence em breve","A vencer"))))))</f>
        <v>0</v>
      </c>
      <c r="J553" s="20">
        <f>IF(OR($E553="",$D553=""),"",IF($K553&lt;=0.005,"",$D553-Hoje))</f>
        <v>0</v>
      </c>
      <c r="K553" s="21">
        <f>IF($E553="","",MAX(0,$E553-N($G553)))</f>
        <v>0</v>
      </c>
      <c r="L553" s="20">
        <f>IF($I553="Vencida","PAGAR JÁ (multa e juros)",IF($I553="Vence hoje","Pagar hoje",IF($I553="Vence em breve","Programar pagamento","")))</f>
        <v>0</v>
      </c>
    </row>
    <row r="554" spans="1:12">
      <c r="A554" s="13"/>
      <c r="B554" s="13"/>
      <c r="C554" s="13"/>
      <c r="D554" s="17"/>
      <c r="E554" s="18"/>
      <c r="F554" s="17"/>
      <c r="G554" s="18"/>
      <c r="H554" s="13"/>
      <c r="I554" s="19">
        <f>IF($E554="","",IF($K554&lt;=0.005,"Pago",IF($D554="","Sem vencimento",IF($D554&lt;Hoje,"Vencida",IF($D554=Hoje,"Vence hoje",IF($D554-Hoje&lt;=DiasAlerta,"Vence em breve","A vencer"))))))</f>
        <v>0</v>
      </c>
      <c r="J554" s="20">
        <f>IF(OR($E554="",$D554=""),"",IF($K554&lt;=0.005,"",$D554-Hoje))</f>
        <v>0</v>
      </c>
      <c r="K554" s="21">
        <f>IF($E554="","",MAX(0,$E554-N($G554)))</f>
        <v>0</v>
      </c>
      <c r="L554" s="20">
        <f>IF($I554="Vencida","PAGAR JÁ (multa e juros)",IF($I554="Vence hoje","Pagar hoje",IF($I554="Vence em breve","Programar pagamento","")))</f>
        <v>0</v>
      </c>
    </row>
    <row r="555" spans="1:12">
      <c r="A555" s="13"/>
      <c r="B555" s="13"/>
      <c r="C555" s="13"/>
      <c r="D555" s="17"/>
      <c r="E555" s="18"/>
      <c r="F555" s="17"/>
      <c r="G555" s="18"/>
      <c r="H555" s="13"/>
      <c r="I555" s="19">
        <f>IF($E555="","",IF($K555&lt;=0.005,"Pago",IF($D555="","Sem vencimento",IF($D555&lt;Hoje,"Vencida",IF($D555=Hoje,"Vence hoje",IF($D555-Hoje&lt;=DiasAlerta,"Vence em breve","A vencer"))))))</f>
        <v>0</v>
      </c>
      <c r="J555" s="20">
        <f>IF(OR($E555="",$D555=""),"",IF($K555&lt;=0.005,"",$D555-Hoje))</f>
        <v>0</v>
      </c>
      <c r="K555" s="21">
        <f>IF($E555="","",MAX(0,$E555-N($G555)))</f>
        <v>0</v>
      </c>
      <c r="L555" s="20">
        <f>IF($I555="Vencida","PAGAR JÁ (multa e juros)",IF($I555="Vence hoje","Pagar hoje",IF($I555="Vence em breve","Programar pagamento","")))</f>
        <v>0</v>
      </c>
    </row>
    <row r="556" spans="1:12">
      <c r="A556" s="13"/>
      <c r="B556" s="13"/>
      <c r="C556" s="13"/>
      <c r="D556" s="17"/>
      <c r="E556" s="18"/>
      <c r="F556" s="17"/>
      <c r="G556" s="18"/>
      <c r="H556" s="13"/>
      <c r="I556" s="19">
        <f>IF($E556="","",IF($K556&lt;=0.005,"Pago",IF($D556="","Sem vencimento",IF($D556&lt;Hoje,"Vencida",IF($D556=Hoje,"Vence hoje",IF($D556-Hoje&lt;=DiasAlerta,"Vence em breve","A vencer"))))))</f>
        <v>0</v>
      </c>
      <c r="J556" s="20">
        <f>IF(OR($E556="",$D556=""),"",IF($K556&lt;=0.005,"",$D556-Hoje))</f>
        <v>0</v>
      </c>
      <c r="K556" s="21">
        <f>IF($E556="","",MAX(0,$E556-N($G556)))</f>
        <v>0</v>
      </c>
      <c r="L556" s="20">
        <f>IF($I556="Vencida","PAGAR JÁ (multa e juros)",IF($I556="Vence hoje","Pagar hoje",IF($I556="Vence em breve","Programar pagamento","")))</f>
        <v>0</v>
      </c>
    </row>
    <row r="557" spans="1:12">
      <c r="A557" s="13"/>
      <c r="B557" s="13"/>
      <c r="C557" s="13"/>
      <c r="D557" s="17"/>
      <c r="E557" s="18"/>
      <c r="F557" s="17"/>
      <c r="G557" s="18"/>
      <c r="H557" s="13"/>
      <c r="I557" s="19">
        <f>IF($E557="","",IF($K557&lt;=0.005,"Pago",IF($D557="","Sem vencimento",IF($D557&lt;Hoje,"Vencida",IF($D557=Hoje,"Vence hoje",IF($D557-Hoje&lt;=DiasAlerta,"Vence em breve","A vencer"))))))</f>
        <v>0</v>
      </c>
      <c r="J557" s="20">
        <f>IF(OR($E557="",$D557=""),"",IF($K557&lt;=0.005,"",$D557-Hoje))</f>
        <v>0</v>
      </c>
      <c r="K557" s="21">
        <f>IF($E557="","",MAX(0,$E557-N($G557)))</f>
        <v>0</v>
      </c>
      <c r="L557" s="20">
        <f>IF($I557="Vencida","PAGAR JÁ (multa e juros)",IF($I557="Vence hoje","Pagar hoje",IF($I557="Vence em breve","Programar pagamento","")))</f>
        <v>0</v>
      </c>
    </row>
    <row r="558" spans="1:12">
      <c r="A558" s="13"/>
      <c r="B558" s="13"/>
      <c r="C558" s="13"/>
      <c r="D558" s="17"/>
      <c r="E558" s="18"/>
      <c r="F558" s="17"/>
      <c r="G558" s="18"/>
      <c r="H558" s="13"/>
      <c r="I558" s="19">
        <f>IF($E558="","",IF($K558&lt;=0.005,"Pago",IF($D558="","Sem vencimento",IF($D558&lt;Hoje,"Vencida",IF($D558=Hoje,"Vence hoje",IF($D558-Hoje&lt;=DiasAlerta,"Vence em breve","A vencer"))))))</f>
        <v>0</v>
      </c>
      <c r="J558" s="20">
        <f>IF(OR($E558="",$D558=""),"",IF($K558&lt;=0.005,"",$D558-Hoje))</f>
        <v>0</v>
      </c>
      <c r="K558" s="21">
        <f>IF($E558="","",MAX(0,$E558-N($G558)))</f>
        <v>0</v>
      </c>
      <c r="L558" s="20">
        <f>IF($I558="Vencida","PAGAR JÁ (multa e juros)",IF($I558="Vence hoje","Pagar hoje",IF($I558="Vence em breve","Programar pagamento","")))</f>
        <v>0</v>
      </c>
    </row>
    <row r="559" spans="1:12">
      <c r="A559" s="13"/>
      <c r="B559" s="13"/>
      <c r="C559" s="13"/>
      <c r="D559" s="17"/>
      <c r="E559" s="18"/>
      <c r="F559" s="17"/>
      <c r="G559" s="18"/>
      <c r="H559" s="13"/>
      <c r="I559" s="19">
        <f>IF($E559="","",IF($K559&lt;=0.005,"Pago",IF($D559="","Sem vencimento",IF($D559&lt;Hoje,"Vencida",IF($D559=Hoje,"Vence hoje",IF($D559-Hoje&lt;=DiasAlerta,"Vence em breve","A vencer"))))))</f>
        <v>0</v>
      </c>
      <c r="J559" s="20">
        <f>IF(OR($E559="",$D559=""),"",IF($K559&lt;=0.005,"",$D559-Hoje))</f>
        <v>0</v>
      </c>
      <c r="K559" s="21">
        <f>IF($E559="","",MAX(0,$E559-N($G559)))</f>
        <v>0</v>
      </c>
      <c r="L559" s="20">
        <f>IF($I559="Vencida","PAGAR JÁ (multa e juros)",IF($I559="Vence hoje","Pagar hoje",IF($I559="Vence em breve","Programar pagamento","")))</f>
        <v>0</v>
      </c>
    </row>
    <row r="560" spans="1:12">
      <c r="A560" s="13"/>
      <c r="B560" s="13"/>
      <c r="C560" s="13"/>
      <c r="D560" s="17"/>
      <c r="E560" s="18"/>
      <c r="F560" s="17"/>
      <c r="G560" s="18"/>
      <c r="H560" s="13"/>
      <c r="I560" s="19">
        <f>IF($E560="","",IF($K560&lt;=0.005,"Pago",IF($D560="","Sem vencimento",IF($D560&lt;Hoje,"Vencida",IF($D560=Hoje,"Vence hoje",IF($D560-Hoje&lt;=DiasAlerta,"Vence em breve","A vencer"))))))</f>
        <v>0</v>
      </c>
      <c r="J560" s="20">
        <f>IF(OR($E560="",$D560=""),"",IF($K560&lt;=0.005,"",$D560-Hoje))</f>
        <v>0</v>
      </c>
      <c r="K560" s="21">
        <f>IF($E560="","",MAX(0,$E560-N($G560)))</f>
        <v>0</v>
      </c>
      <c r="L560" s="20">
        <f>IF($I560="Vencida","PAGAR JÁ (multa e juros)",IF($I560="Vence hoje","Pagar hoje",IF($I560="Vence em breve","Programar pagamento","")))</f>
        <v>0</v>
      </c>
    </row>
    <row r="561" spans="1:12">
      <c r="A561" s="13"/>
      <c r="B561" s="13"/>
      <c r="C561" s="13"/>
      <c r="D561" s="17"/>
      <c r="E561" s="18"/>
      <c r="F561" s="17"/>
      <c r="G561" s="18"/>
      <c r="H561" s="13"/>
      <c r="I561" s="19">
        <f>IF($E561="","",IF($K561&lt;=0.005,"Pago",IF($D561="","Sem vencimento",IF($D561&lt;Hoje,"Vencida",IF($D561=Hoje,"Vence hoje",IF($D561-Hoje&lt;=DiasAlerta,"Vence em breve","A vencer"))))))</f>
        <v>0</v>
      </c>
      <c r="J561" s="20">
        <f>IF(OR($E561="",$D561=""),"",IF($K561&lt;=0.005,"",$D561-Hoje))</f>
        <v>0</v>
      </c>
      <c r="K561" s="21">
        <f>IF($E561="","",MAX(0,$E561-N($G561)))</f>
        <v>0</v>
      </c>
      <c r="L561" s="20">
        <f>IF($I561="Vencida","PAGAR JÁ (multa e juros)",IF($I561="Vence hoje","Pagar hoje",IF($I561="Vence em breve","Programar pagamento","")))</f>
        <v>0</v>
      </c>
    </row>
    <row r="562" spans="1:12">
      <c r="A562" s="13"/>
      <c r="B562" s="13"/>
      <c r="C562" s="13"/>
      <c r="D562" s="17"/>
      <c r="E562" s="18"/>
      <c r="F562" s="17"/>
      <c r="G562" s="18"/>
      <c r="H562" s="13"/>
      <c r="I562" s="19">
        <f>IF($E562="","",IF($K562&lt;=0.005,"Pago",IF($D562="","Sem vencimento",IF($D562&lt;Hoje,"Vencida",IF($D562=Hoje,"Vence hoje",IF($D562-Hoje&lt;=DiasAlerta,"Vence em breve","A vencer"))))))</f>
        <v>0</v>
      </c>
      <c r="J562" s="20">
        <f>IF(OR($E562="",$D562=""),"",IF($K562&lt;=0.005,"",$D562-Hoje))</f>
        <v>0</v>
      </c>
      <c r="K562" s="21">
        <f>IF($E562="","",MAX(0,$E562-N($G562)))</f>
        <v>0</v>
      </c>
      <c r="L562" s="20">
        <f>IF($I562="Vencida","PAGAR JÁ (multa e juros)",IF($I562="Vence hoje","Pagar hoje",IF($I562="Vence em breve","Programar pagamento","")))</f>
        <v>0</v>
      </c>
    </row>
    <row r="563" spans="1:12">
      <c r="A563" s="13"/>
      <c r="B563" s="13"/>
      <c r="C563" s="13"/>
      <c r="D563" s="17"/>
      <c r="E563" s="18"/>
      <c r="F563" s="17"/>
      <c r="G563" s="18"/>
      <c r="H563" s="13"/>
      <c r="I563" s="19">
        <f>IF($E563="","",IF($K563&lt;=0.005,"Pago",IF($D563="","Sem vencimento",IF($D563&lt;Hoje,"Vencida",IF($D563=Hoje,"Vence hoje",IF($D563-Hoje&lt;=DiasAlerta,"Vence em breve","A vencer"))))))</f>
        <v>0</v>
      </c>
      <c r="J563" s="20">
        <f>IF(OR($E563="",$D563=""),"",IF($K563&lt;=0.005,"",$D563-Hoje))</f>
        <v>0</v>
      </c>
      <c r="K563" s="21">
        <f>IF($E563="","",MAX(0,$E563-N($G563)))</f>
        <v>0</v>
      </c>
      <c r="L563" s="20">
        <f>IF($I563="Vencida","PAGAR JÁ (multa e juros)",IF($I563="Vence hoje","Pagar hoje",IF($I563="Vence em breve","Programar pagamento","")))</f>
        <v>0</v>
      </c>
    </row>
    <row r="564" spans="1:12">
      <c r="A564" s="13"/>
      <c r="B564" s="13"/>
      <c r="C564" s="13"/>
      <c r="D564" s="17"/>
      <c r="E564" s="18"/>
      <c r="F564" s="17"/>
      <c r="G564" s="18"/>
      <c r="H564" s="13"/>
      <c r="I564" s="19">
        <f>IF($E564="","",IF($K564&lt;=0.005,"Pago",IF($D564="","Sem vencimento",IF($D564&lt;Hoje,"Vencida",IF($D564=Hoje,"Vence hoje",IF($D564-Hoje&lt;=DiasAlerta,"Vence em breve","A vencer"))))))</f>
        <v>0</v>
      </c>
      <c r="J564" s="20">
        <f>IF(OR($E564="",$D564=""),"",IF($K564&lt;=0.005,"",$D564-Hoje))</f>
        <v>0</v>
      </c>
      <c r="K564" s="21">
        <f>IF($E564="","",MAX(0,$E564-N($G564)))</f>
        <v>0</v>
      </c>
      <c r="L564" s="20">
        <f>IF($I564="Vencida","PAGAR JÁ (multa e juros)",IF($I564="Vence hoje","Pagar hoje",IF($I564="Vence em breve","Programar pagamento","")))</f>
        <v>0</v>
      </c>
    </row>
    <row r="565" spans="1:12">
      <c r="A565" s="13"/>
      <c r="B565" s="13"/>
      <c r="C565" s="13"/>
      <c r="D565" s="17"/>
      <c r="E565" s="18"/>
      <c r="F565" s="17"/>
      <c r="G565" s="18"/>
      <c r="H565" s="13"/>
      <c r="I565" s="19">
        <f>IF($E565="","",IF($K565&lt;=0.005,"Pago",IF($D565="","Sem vencimento",IF($D565&lt;Hoje,"Vencida",IF($D565=Hoje,"Vence hoje",IF($D565-Hoje&lt;=DiasAlerta,"Vence em breve","A vencer"))))))</f>
        <v>0</v>
      </c>
      <c r="J565" s="20">
        <f>IF(OR($E565="",$D565=""),"",IF($K565&lt;=0.005,"",$D565-Hoje))</f>
        <v>0</v>
      </c>
      <c r="K565" s="21">
        <f>IF($E565="","",MAX(0,$E565-N($G565)))</f>
        <v>0</v>
      </c>
      <c r="L565" s="20">
        <f>IF($I565="Vencida","PAGAR JÁ (multa e juros)",IF($I565="Vence hoje","Pagar hoje",IF($I565="Vence em breve","Programar pagamento","")))</f>
        <v>0</v>
      </c>
    </row>
    <row r="566" spans="1:12">
      <c r="A566" s="13"/>
      <c r="B566" s="13"/>
      <c r="C566" s="13"/>
      <c r="D566" s="17"/>
      <c r="E566" s="18"/>
      <c r="F566" s="17"/>
      <c r="G566" s="18"/>
      <c r="H566" s="13"/>
      <c r="I566" s="19">
        <f>IF($E566="","",IF($K566&lt;=0.005,"Pago",IF($D566="","Sem vencimento",IF($D566&lt;Hoje,"Vencida",IF($D566=Hoje,"Vence hoje",IF($D566-Hoje&lt;=DiasAlerta,"Vence em breve","A vencer"))))))</f>
        <v>0</v>
      </c>
      <c r="J566" s="20">
        <f>IF(OR($E566="",$D566=""),"",IF($K566&lt;=0.005,"",$D566-Hoje))</f>
        <v>0</v>
      </c>
      <c r="K566" s="21">
        <f>IF($E566="","",MAX(0,$E566-N($G566)))</f>
        <v>0</v>
      </c>
      <c r="L566" s="20">
        <f>IF($I566="Vencida","PAGAR JÁ (multa e juros)",IF($I566="Vence hoje","Pagar hoje",IF($I566="Vence em breve","Programar pagamento","")))</f>
        <v>0</v>
      </c>
    </row>
    <row r="567" spans="1:12">
      <c r="A567" s="13"/>
      <c r="B567" s="13"/>
      <c r="C567" s="13"/>
      <c r="D567" s="17"/>
      <c r="E567" s="18"/>
      <c r="F567" s="17"/>
      <c r="G567" s="18"/>
      <c r="H567" s="13"/>
      <c r="I567" s="19">
        <f>IF($E567="","",IF($K567&lt;=0.005,"Pago",IF($D567="","Sem vencimento",IF($D567&lt;Hoje,"Vencida",IF($D567=Hoje,"Vence hoje",IF($D567-Hoje&lt;=DiasAlerta,"Vence em breve","A vencer"))))))</f>
        <v>0</v>
      </c>
      <c r="J567" s="20">
        <f>IF(OR($E567="",$D567=""),"",IF($K567&lt;=0.005,"",$D567-Hoje))</f>
        <v>0</v>
      </c>
      <c r="K567" s="21">
        <f>IF($E567="","",MAX(0,$E567-N($G567)))</f>
        <v>0</v>
      </c>
      <c r="L567" s="20">
        <f>IF($I567="Vencida","PAGAR JÁ (multa e juros)",IF($I567="Vence hoje","Pagar hoje",IF($I567="Vence em breve","Programar pagamento","")))</f>
        <v>0</v>
      </c>
    </row>
    <row r="568" spans="1:12">
      <c r="A568" s="13"/>
      <c r="B568" s="13"/>
      <c r="C568" s="13"/>
      <c r="D568" s="17"/>
      <c r="E568" s="18"/>
      <c r="F568" s="17"/>
      <c r="G568" s="18"/>
      <c r="H568" s="13"/>
      <c r="I568" s="19">
        <f>IF($E568="","",IF($K568&lt;=0.005,"Pago",IF($D568="","Sem vencimento",IF($D568&lt;Hoje,"Vencida",IF($D568=Hoje,"Vence hoje",IF($D568-Hoje&lt;=DiasAlerta,"Vence em breve","A vencer"))))))</f>
        <v>0</v>
      </c>
      <c r="J568" s="20">
        <f>IF(OR($E568="",$D568=""),"",IF($K568&lt;=0.005,"",$D568-Hoje))</f>
        <v>0</v>
      </c>
      <c r="K568" s="21">
        <f>IF($E568="","",MAX(0,$E568-N($G568)))</f>
        <v>0</v>
      </c>
      <c r="L568" s="20">
        <f>IF($I568="Vencida","PAGAR JÁ (multa e juros)",IF($I568="Vence hoje","Pagar hoje",IF($I568="Vence em breve","Programar pagamento","")))</f>
        <v>0</v>
      </c>
    </row>
    <row r="569" spans="1:12">
      <c r="A569" s="13"/>
      <c r="B569" s="13"/>
      <c r="C569" s="13"/>
      <c r="D569" s="17"/>
      <c r="E569" s="18"/>
      <c r="F569" s="17"/>
      <c r="G569" s="18"/>
      <c r="H569" s="13"/>
      <c r="I569" s="19">
        <f>IF($E569="","",IF($K569&lt;=0.005,"Pago",IF($D569="","Sem vencimento",IF($D569&lt;Hoje,"Vencida",IF($D569=Hoje,"Vence hoje",IF($D569-Hoje&lt;=DiasAlerta,"Vence em breve","A vencer"))))))</f>
        <v>0</v>
      </c>
      <c r="J569" s="20">
        <f>IF(OR($E569="",$D569=""),"",IF($K569&lt;=0.005,"",$D569-Hoje))</f>
        <v>0</v>
      </c>
      <c r="K569" s="21">
        <f>IF($E569="","",MAX(0,$E569-N($G569)))</f>
        <v>0</v>
      </c>
      <c r="L569" s="20">
        <f>IF($I569="Vencida","PAGAR JÁ (multa e juros)",IF($I569="Vence hoje","Pagar hoje",IF($I569="Vence em breve","Programar pagamento","")))</f>
        <v>0</v>
      </c>
    </row>
    <row r="570" spans="1:12">
      <c r="A570" s="13"/>
      <c r="B570" s="13"/>
      <c r="C570" s="13"/>
      <c r="D570" s="17"/>
      <c r="E570" s="18"/>
      <c r="F570" s="17"/>
      <c r="G570" s="18"/>
      <c r="H570" s="13"/>
      <c r="I570" s="19">
        <f>IF($E570="","",IF($K570&lt;=0.005,"Pago",IF($D570="","Sem vencimento",IF($D570&lt;Hoje,"Vencida",IF($D570=Hoje,"Vence hoje",IF($D570-Hoje&lt;=DiasAlerta,"Vence em breve","A vencer"))))))</f>
        <v>0</v>
      </c>
      <c r="J570" s="20">
        <f>IF(OR($E570="",$D570=""),"",IF($K570&lt;=0.005,"",$D570-Hoje))</f>
        <v>0</v>
      </c>
      <c r="K570" s="21">
        <f>IF($E570="","",MAX(0,$E570-N($G570)))</f>
        <v>0</v>
      </c>
      <c r="L570" s="20">
        <f>IF($I570="Vencida","PAGAR JÁ (multa e juros)",IF($I570="Vence hoje","Pagar hoje",IF($I570="Vence em breve","Programar pagamento","")))</f>
        <v>0</v>
      </c>
    </row>
    <row r="571" spans="1:12">
      <c r="A571" s="13"/>
      <c r="B571" s="13"/>
      <c r="C571" s="13"/>
      <c r="D571" s="17"/>
      <c r="E571" s="18"/>
      <c r="F571" s="17"/>
      <c r="G571" s="18"/>
      <c r="H571" s="13"/>
      <c r="I571" s="19">
        <f>IF($E571="","",IF($K571&lt;=0.005,"Pago",IF($D571="","Sem vencimento",IF($D571&lt;Hoje,"Vencida",IF($D571=Hoje,"Vence hoje",IF($D571-Hoje&lt;=DiasAlerta,"Vence em breve","A vencer"))))))</f>
        <v>0</v>
      </c>
      <c r="J571" s="20">
        <f>IF(OR($E571="",$D571=""),"",IF($K571&lt;=0.005,"",$D571-Hoje))</f>
        <v>0</v>
      </c>
      <c r="K571" s="21">
        <f>IF($E571="","",MAX(0,$E571-N($G571)))</f>
        <v>0</v>
      </c>
      <c r="L571" s="20">
        <f>IF($I571="Vencida","PAGAR JÁ (multa e juros)",IF($I571="Vence hoje","Pagar hoje",IF($I571="Vence em breve","Programar pagamento","")))</f>
        <v>0</v>
      </c>
    </row>
    <row r="572" spans="1:12">
      <c r="A572" s="13"/>
      <c r="B572" s="13"/>
      <c r="C572" s="13"/>
      <c r="D572" s="17"/>
      <c r="E572" s="18"/>
      <c r="F572" s="17"/>
      <c r="G572" s="18"/>
      <c r="H572" s="13"/>
      <c r="I572" s="19">
        <f>IF($E572="","",IF($K572&lt;=0.005,"Pago",IF($D572="","Sem vencimento",IF($D572&lt;Hoje,"Vencida",IF($D572=Hoje,"Vence hoje",IF($D572-Hoje&lt;=DiasAlerta,"Vence em breve","A vencer"))))))</f>
        <v>0</v>
      </c>
      <c r="J572" s="20">
        <f>IF(OR($E572="",$D572=""),"",IF($K572&lt;=0.005,"",$D572-Hoje))</f>
        <v>0</v>
      </c>
      <c r="K572" s="21">
        <f>IF($E572="","",MAX(0,$E572-N($G572)))</f>
        <v>0</v>
      </c>
      <c r="L572" s="20">
        <f>IF($I572="Vencida","PAGAR JÁ (multa e juros)",IF($I572="Vence hoje","Pagar hoje",IF($I572="Vence em breve","Programar pagamento","")))</f>
        <v>0</v>
      </c>
    </row>
    <row r="573" spans="1:12">
      <c r="A573" s="13"/>
      <c r="B573" s="13"/>
      <c r="C573" s="13"/>
      <c r="D573" s="17"/>
      <c r="E573" s="18"/>
      <c r="F573" s="17"/>
      <c r="G573" s="18"/>
      <c r="H573" s="13"/>
      <c r="I573" s="19">
        <f>IF($E573="","",IF($K573&lt;=0.005,"Pago",IF($D573="","Sem vencimento",IF($D573&lt;Hoje,"Vencida",IF($D573=Hoje,"Vence hoje",IF($D573-Hoje&lt;=DiasAlerta,"Vence em breve","A vencer"))))))</f>
        <v>0</v>
      </c>
      <c r="J573" s="20">
        <f>IF(OR($E573="",$D573=""),"",IF($K573&lt;=0.005,"",$D573-Hoje))</f>
        <v>0</v>
      </c>
      <c r="K573" s="21">
        <f>IF($E573="","",MAX(0,$E573-N($G573)))</f>
        <v>0</v>
      </c>
      <c r="L573" s="20">
        <f>IF($I573="Vencida","PAGAR JÁ (multa e juros)",IF($I573="Vence hoje","Pagar hoje",IF($I573="Vence em breve","Programar pagamento","")))</f>
        <v>0</v>
      </c>
    </row>
    <row r="574" spans="1:12">
      <c r="A574" s="13"/>
      <c r="B574" s="13"/>
      <c r="C574" s="13"/>
      <c r="D574" s="17"/>
      <c r="E574" s="18"/>
      <c r="F574" s="17"/>
      <c r="G574" s="18"/>
      <c r="H574" s="13"/>
      <c r="I574" s="19">
        <f>IF($E574="","",IF($K574&lt;=0.005,"Pago",IF($D574="","Sem vencimento",IF($D574&lt;Hoje,"Vencida",IF($D574=Hoje,"Vence hoje",IF($D574-Hoje&lt;=DiasAlerta,"Vence em breve","A vencer"))))))</f>
        <v>0</v>
      </c>
      <c r="J574" s="20">
        <f>IF(OR($E574="",$D574=""),"",IF($K574&lt;=0.005,"",$D574-Hoje))</f>
        <v>0</v>
      </c>
      <c r="K574" s="21">
        <f>IF($E574="","",MAX(0,$E574-N($G574)))</f>
        <v>0</v>
      </c>
      <c r="L574" s="20">
        <f>IF($I574="Vencida","PAGAR JÁ (multa e juros)",IF($I574="Vence hoje","Pagar hoje",IF($I574="Vence em breve","Programar pagamento","")))</f>
        <v>0</v>
      </c>
    </row>
    <row r="575" spans="1:12">
      <c r="A575" s="13"/>
      <c r="B575" s="13"/>
      <c r="C575" s="13"/>
      <c r="D575" s="17"/>
      <c r="E575" s="18"/>
      <c r="F575" s="17"/>
      <c r="G575" s="18"/>
      <c r="H575" s="13"/>
      <c r="I575" s="19">
        <f>IF($E575="","",IF($K575&lt;=0.005,"Pago",IF($D575="","Sem vencimento",IF($D575&lt;Hoje,"Vencida",IF($D575=Hoje,"Vence hoje",IF($D575-Hoje&lt;=DiasAlerta,"Vence em breve","A vencer"))))))</f>
        <v>0</v>
      </c>
      <c r="J575" s="20">
        <f>IF(OR($E575="",$D575=""),"",IF($K575&lt;=0.005,"",$D575-Hoje))</f>
        <v>0</v>
      </c>
      <c r="K575" s="21">
        <f>IF($E575="","",MAX(0,$E575-N($G575)))</f>
        <v>0</v>
      </c>
      <c r="L575" s="20">
        <f>IF($I575="Vencida","PAGAR JÁ (multa e juros)",IF($I575="Vence hoje","Pagar hoje",IF($I575="Vence em breve","Programar pagamento","")))</f>
        <v>0</v>
      </c>
    </row>
    <row r="576" spans="1:12">
      <c r="A576" s="13"/>
      <c r="B576" s="13"/>
      <c r="C576" s="13"/>
      <c r="D576" s="17"/>
      <c r="E576" s="18"/>
      <c r="F576" s="17"/>
      <c r="G576" s="18"/>
      <c r="H576" s="13"/>
      <c r="I576" s="19">
        <f>IF($E576="","",IF($K576&lt;=0.005,"Pago",IF($D576="","Sem vencimento",IF($D576&lt;Hoje,"Vencida",IF($D576=Hoje,"Vence hoje",IF($D576-Hoje&lt;=DiasAlerta,"Vence em breve","A vencer"))))))</f>
        <v>0</v>
      </c>
      <c r="J576" s="20">
        <f>IF(OR($E576="",$D576=""),"",IF($K576&lt;=0.005,"",$D576-Hoje))</f>
        <v>0</v>
      </c>
      <c r="K576" s="21">
        <f>IF($E576="","",MAX(0,$E576-N($G576)))</f>
        <v>0</v>
      </c>
      <c r="L576" s="20">
        <f>IF($I576="Vencida","PAGAR JÁ (multa e juros)",IF($I576="Vence hoje","Pagar hoje",IF($I576="Vence em breve","Programar pagamento","")))</f>
        <v>0</v>
      </c>
    </row>
    <row r="577" spans="1:12">
      <c r="A577" s="13"/>
      <c r="B577" s="13"/>
      <c r="C577" s="13"/>
      <c r="D577" s="17"/>
      <c r="E577" s="18"/>
      <c r="F577" s="17"/>
      <c r="G577" s="18"/>
      <c r="H577" s="13"/>
      <c r="I577" s="19">
        <f>IF($E577="","",IF($K577&lt;=0.005,"Pago",IF($D577="","Sem vencimento",IF($D577&lt;Hoje,"Vencida",IF($D577=Hoje,"Vence hoje",IF($D577-Hoje&lt;=DiasAlerta,"Vence em breve","A vencer"))))))</f>
        <v>0</v>
      </c>
      <c r="J577" s="20">
        <f>IF(OR($E577="",$D577=""),"",IF($K577&lt;=0.005,"",$D577-Hoje))</f>
        <v>0</v>
      </c>
      <c r="K577" s="21">
        <f>IF($E577="","",MAX(0,$E577-N($G577)))</f>
        <v>0</v>
      </c>
      <c r="L577" s="20">
        <f>IF($I577="Vencida","PAGAR JÁ (multa e juros)",IF($I577="Vence hoje","Pagar hoje",IF($I577="Vence em breve","Programar pagamento","")))</f>
        <v>0</v>
      </c>
    </row>
    <row r="578" spans="1:12">
      <c r="A578" s="13"/>
      <c r="B578" s="13"/>
      <c r="C578" s="13"/>
      <c r="D578" s="17"/>
      <c r="E578" s="18"/>
      <c r="F578" s="17"/>
      <c r="G578" s="18"/>
      <c r="H578" s="13"/>
      <c r="I578" s="19">
        <f>IF($E578="","",IF($K578&lt;=0.005,"Pago",IF($D578="","Sem vencimento",IF($D578&lt;Hoje,"Vencida",IF($D578=Hoje,"Vence hoje",IF($D578-Hoje&lt;=DiasAlerta,"Vence em breve","A vencer"))))))</f>
        <v>0</v>
      </c>
      <c r="J578" s="20">
        <f>IF(OR($E578="",$D578=""),"",IF($K578&lt;=0.005,"",$D578-Hoje))</f>
        <v>0</v>
      </c>
      <c r="K578" s="21">
        <f>IF($E578="","",MAX(0,$E578-N($G578)))</f>
        <v>0</v>
      </c>
      <c r="L578" s="20">
        <f>IF($I578="Vencida","PAGAR JÁ (multa e juros)",IF($I578="Vence hoje","Pagar hoje",IF($I578="Vence em breve","Programar pagamento","")))</f>
        <v>0</v>
      </c>
    </row>
    <row r="579" spans="1:12">
      <c r="A579" s="13"/>
      <c r="B579" s="13"/>
      <c r="C579" s="13"/>
      <c r="D579" s="17"/>
      <c r="E579" s="18"/>
      <c r="F579" s="17"/>
      <c r="G579" s="18"/>
      <c r="H579" s="13"/>
      <c r="I579" s="19">
        <f>IF($E579="","",IF($K579&lt;=0.005,"Pago",IF($D579="","Sem vencimento",IF($D579&lt;Hoje,"Vencida",IF($D579=Hoje,"Vence hoje",IF($D579-Hoje&lt;=DiasAlerta,"Vence em breve","A vencer"))))))</f>
        <v>0</v>
      </c>
      <c r="J579" s="20">
        <f>IF(OR($E579="",$D579=""),"",IF($K579&lt;=0.005,"",$D579-Hoje))</f>
        <v>0</v>
      </c>
      <c r="K579" s="21">
        <f>IF($E579="","",MAX(0,$E579-N($G579)))</f>
        <v>0</v>
      </c>
      <c r="L579" s="20">
        <f>IF($I579="Vencida","PAGAR JÁ (multa e juros)",IF($I579="Vence hoje","Pagar hoje",IF($I579="Vence em breve","Programar pagamento","")))</f>
        <v>0</v>
      </c>
    </row>
    <row r="580" spans="1:12">
      <c r="A580" s="13"/>
      <c r="B580" s="13"/>
      <c r="C580" s="13"/>
      <c r="D580" s="17"/>
      <c r="E580" s="18"/>
      <c r="F580" s="17"/>
      <c r="G580" s="18"/>
      <c r="H580" s="13"/>
      <c r="I580" s="19">
        <f>IF($E580="","",IF($K580&lt;=0.005,"Pago",IF($D580="","Sem vencimento",IF($D580&lt;Hoje,"Vencida",IF($D580=Hoje,"Vence hoje",IF($D580-Hoje&lt;=DiasAlerta,"Vence em breve","A vencer"))))))</f>
        <v>0</v>
      </c>
      <c r="J580" s="20">
        <f>IF(OR($E580="",$D580=""),"",IF($K580&lt;=0.005,"",$D580-Hoje))</f>
        <v>0</v>
      </c>
      <c r="K580" s="21">
        <f>IF($E580="","",MAX(0,$E580-N($G580)))</f>
        <v>0</v>
      </c>
      <c r="L580" s="20">
        <f>IF($I580="Vencida","PAGAR JÁ (multa e juros)",IF($I580="Vence hoje","Pagar hoje",IF($I580="Vence em breve","Programar pagamento","")))</f>
        <v>0</v>
      </c>
    </row>
    <row r="581" spans="1:12">
      <c r="A581" s="13"/>
      <c r="B581" s="13"/>
      <c r="C581" s="13"/>
      <c r="D581" s="17"/>
      <c r="E581" s="18"/>
      <c r="F581" s="17"/>
      <c r="G581" s="18"/>
      <c r="H581" s="13"/>
      <c r="I581" s="19">
        <f>IF($E581="","",IF($K581&lt;=0.005,"Pago",IF($D581="","Sem vencimento",IF($D581&lt;Hoje,"Vencida",IF($D581=Hoje,"Vence hoje",IF($D581-Hoje&lt;=DiasAlerta,"Vence em breve","A vencer"))))))</f>
        <v>0</v>
      </c>
      <c r="J581" s="20">
        <f>IF(OR($E581="",$D581=""),"",IF($K581&lt;=0.005,"",$D581-Hoje))</f>
        <v>0</v>
      </c>
      <c r="K581" s="21">
        <f>IF($E581="","",MAX(0,$E581-N($G581)))</f>
        <v>0</v>
      </c>
      <c r="L581" s="20">
        <f>IF($I581="Vencida","PAGAR JÁ (multa e juros)",IF($I581="Vence hoje","Pagar hoje",IF($I581="Vence em breve","Programar pagamento","")))</f>
        <v>0</v>
      </c>
    </row>
    <row r="582" spans="1:12">
      <c r="A582" s="13"/>
      <c r="B582" s="13"/>
      <c r="C582" s="13"/>
      <c r="D582" s="17"/>
      <c r="E582" s="18"/>
      <c r="F582" s="17"/>
      <c r="G582" s="18"/>
      <c r="H582" s="13"/>
      <c r="I582" s="19">
        <f>IF($E582="","",IF($K582&lt;=0.005,"Pago",IF($D582="","Sem vencimento",IF($D582&lt;Hoje,"Vencida",IF($D582=Hoje,"Vence hoje",IF($D582-Hoje&lt;=DiasAlerta,"Vence em breve","A vencer"))))))</f>
        <v>0</v>
      </c>
      <c r="J582" s="20">
        <f>IF(OR($E582="",$D582=""),"",IF($K582&lt;=0.005,"",$D582-Hoje))</f>
        <v>0</v>
      </c>
      <c r="K582" s="21">
        <f>IF($E582="","",MAX(0,$E582-N($G582)))</f>
        <v>0</v>
      </c>
      <c r="L582" s="20">
        <f>IF($I582="Vencida","PAGAR JÁ (multa e juros)",IF($I582="Vence hoje","Pagar hoje",IF($I582="Vence em breve","Programar pagamento","")))</f>
        <v>0</v>
      </c>
    </row>
    <row r="583" spans="1:12">
      <c r="A583" s="13"/>
      <c r="B583" s="13"/>
      <c r="C583" s="13"/>
      <c r="D583" s="17"/>
      <c r="E583" s="18"/>
      <c r="F583" s="17"/>
      <c r="G583" s="18"/>
      <c r="H583" s="13"/>
      <c r="I583" s="19">
        <f>IF($E583="","",IF($K583&lt;=0.005,"Pago",IF($D583="","Sem vencimento",IF($D583&lt;Hoje,"Vencida",IF($D583=Hoje,"Vence hoje",IF($D583-Hoje&lt;=DiasAlerta,"Vence em breve","A vencer"))))))</f>
        <v>0</v>
      </c>
      <c r="J583" s="20">
        <f>IF(OR($E583="",$D583=""),"",IF($K583&lt;=0.005,"",$D583-Hoje))</f>
        <v>0</v>
      </c>
      <c r="K583" s="21">
        <f>IF($E583="","",MAX(0,$E583-N($G583)))</f>
        <v>0</v>
      </c>
      <c r="L583" s="20">
        <f>IF($I583="Vencida","PAGAR JÁ (multa e juros)",IF($I583="Vence hoje","Pagar hoje",IF($I583="Vence em breve","Programar pagamento","")))</f>
        <v>0</v>
      </c>
    </row>
    <row r="584" spans="1:12">
      <c r="A584" s="13"/>
      <c r="B584" s="13"/>
      <c r="C584" s="13"/>
      <c r="D584" s="17"/>
      <c r="E584" s="18"/>
      <c r="F584" s="17"/>
      <c r="G584" s="18"/>
      <c r="H584" s="13"/>
      <c r="I584" s="19">
        <f>IF($E584="","",IF($K584&lt;=0.005,"Pago",IF($D584="","Sem vencimento",IF($D584&lt;Hoje,"Vencida",IF($D584=Hoje,"Vence hoje",IF($D584-Hoje&lt;=DiasAlerta,"Vence em breve","A vencer"))))))</f>
        <v>0</v>
      </c>
      <c r="J584" s="20">
        <f>IF(OR($E584="",$D584=""),"",IF($K584&lt;=0.005,"",$D584-Hoje))</f>
        <v>0</v>
      </c>
      <c r="K584" s="21">
        <f>IF($E584="","",MAX(0,$E584-N($G584)))</f>
        <v>0</v>
      </c>
      <c r="L584" s="20">
        <f>IF($I584="Vencida","PAGAR JÁ (multa e juros)",IF($I584="Vence hoje","Pagar hoje",IF($I584="Vence em breve","Programar pagamento","")))</f>
        <v>0</v>
      </c>
    </row>
    <row r="585" spans="1:12">
      <c r="A585" s="13"/>
      <c r="B585" s="13"/>
      <c r="C585" s="13"/>
      <c r="D585" s="17"/>
      <c r="E585" s="18"/>
      <c r="F585" s="17"/>
      <c r="G585" s="18"/>
      <c r="H585" s="13"/>
      <c r="I585" s="19">
        <f>IF($E585="","",IF($K585&lt;=0.005,"Pago",IF($D585="","Sem vencimento",IF($D585&lt;Hoje,"Vencida",IF($D585=Hoje,"Vence hoje",IF($D585-Hoje&lt;=DiasAlerta,"Vence em breve","A vencer"))))))</f>
        <v>0</v>
      </c>
      <c r="J585" s="20">
        <f>IF(OR($E585="",$D585=""),"",IF($K585&lt;=0.005,"",$D585-Hoje))</f>
        <v>0</v>
      </c>
      <c r="K585" s="21">
        <f>IF($E585="","",MAX(0,$E585-N($G585)))</f>
        <v>0</v>
      </c>
      <c r="L585" s="20">
        <f>IF($I585="Vencida","PAGAR JÁ (multa e juros)",IF($I585="Vence hoje","Pagar hoje",IF($I585="Vence em breve","Programar pagamento","")))</f>
        <v>0</v>
      </c>
    </row>
    <row r="586" spans="1:12">
      <c r="A586" s="13"/>
      <c r="B586" s="13"/>
      <c r="C586" s="13"/>
      <c r="D586" s="17"/>
      <c r="E586" s="18"/>
      <c r="F586" s="17"/>
      <c r="G586" s="18"/>
      <c r="H586" s="13"/>
      <c r="I586" s="19">
        <f>IF($E586="","",IF($K586&lt;=0.005,"Pago",IF($D586="","Sem vencimento",IF($D586&lt;Hoje,"Vencida",IF($D586=Hoje,"Vence hoje",IF($D586-Hoje&lt;=DiasAlerta,"Vence em breve","A vencer"))))))</f>
        <v>0</v>
      </c>
      <c r="J586" s="20">
        <f>IF(OR($E586="",$D586=""),"",IF($K586&lt;=0.005,"",$D586-Hoje))</f>
        <v>0</v>
      </c>
      <c r="K586" s="21">
        <f>IF($E586="","",MAX(0,$E586-N($G586)))</f>
        <v>0</v>
      </c>
      <c r="L586" s="20">
        <f>IF($I586="Vencida","PAGAR JÁ (multa e juros)",IF($I586="Vence hoje","Pagar hoje",IF($I586="Vence em breve","Programar pagamento","")))</f>
        <v>0</v>
      </c>
    </row>
    <row r="587" spans="1:12">
      <c r="A587" s="13"/>
      <c r="B587" s="13"/>
      <c r="C587" s="13"/>
      <c r="D587" s="17"/>
      <c r="E587" s="18"/>
      <c r="F587" s="17"/>
      <c r="G587" s="18"/>
      <c r="H587" s="13"/>
      <c r="I587" s="19">
        <f>IF($E587="","",IF($K587&lt;=0.005,"Pago",IF($D587="","Sem vencimento",IF($D587&lt;Hoje,"Vencida",IF($D587=Hoje,"Vence hoje",IF($D587-Hoje&lt;=DiasAlerta,"Vence em breve","A vencer"))))))</f>
        <v>0</v>
      </c>
      <c r="J587" s="20">
        <f>IF(OR($E587="",$D587=""),"",IF($K587&lt;=0.005,"",$D587-Hoje))</f>
        <v>0</v>
      </c>
      <c r="K587" s="21">
        <f>IF($E587="","",MAX(0,$E587-N($G587)))</f>
        <v>0</v>
      </c>
      <c r="L587" s="20">
        <f>IF($I587="Vencida","PAGAR JÁ (multa e juros)",IF($I587="Vence hoje","Pagar hoje",IF($I587="Vence em breve","Programar pagamento","")))</f>
        <v>0</v>
      </c>
    </row>
    <row r="588" spans="1:12">
      <c r="A588" s="13"/>
      <c r="B588" s="13"/>
      <c r="C588" s="13"/>
      <c r="D588" s="17"/>
      <c r="E588" s="18"/>
      <c r="F588" s="17"/>
      <c r="G588" s="18"/>
      <c r="H588" s="13"/>
      <c r="I588" s="19">
        <f>IF($E588="","",IF($K588&lt;=0.005,"Pago",IF($D588="","Sem vencimento",IF($D588&lt;Hoje,"Vencida",IF($D588=Hoje,"Vence hoje",IF($D588-Hoje&lt;=DiasAlerta,"Vence em breve","A vencer"))))))</f>
        <v>0</v>
      </c>
      <c r="J588" s="20">
        <f>IF(OR($E588="",$D588=""),"",IF($K588&lt;=0.005,"",$D588-Hoje))</f>
        <v>0</v>
      </c>
      <c r="K588" s="21">
        <f>IF($E588="","",MAX(0,$E588-N($G588)))</f>
        <v>0</v>
      </c>
      <c r="L588" s="20">
        <f>IF($I588="Vencida","PAGAR JÁ (multa e juros)",IF($I588="Vence hoje","Pagar hoje",IF($I588="Vence em breve","Programar pagamento","")))</f>
        <v>0</v>
      </c>
    </row>
    <row r="589" spans="1:12">
      <c r="A589" s="13"/>
      <c r="B589" s="13"/>
      <c r="C589" s="13"/>
      <c r="D589" s="17"/>
      <c r="E589" s="18"/>
      <c r="F589" s="17"/>
      <c r="G589" s="18"/>
      <c r="H589" s="13"/>
      <c r="I589" s="19">
        <f>IF($E589="","",IF($K589&lt;=0.005,"Pago",IF($D589="","Sem vencimento",IF($D589&lt;Hoje,"Vencida",IF($D589=Hoje,"Vence hoje",IF($D589-Hoje&lt;=DiasAlerta,"Vence em breve","A vencer"))))))</f>
        <v>0</v>
      </c>
      <c r="J589" s="20">
        <f>IF(OR($E589="",$D589=""),"",IF($K589&lt;=0.005,"",$D589-Hoje))</f>
        <v>0</v>
      </c>
      <c r="K589" s="21">
        <f>IF($E589="","",MAX(0,$E589-N($G589)))</f>
        <v>0</v>
      </c>
      <c r="L589" s="20">
        <f>IF($I589="Vencida","PAGAR JÁ (multa e juros)",IF($I589="Vence hoje","Pagar hoje",IF($I589="Vence em breve","Programar pagamento","")))</f>
        <v>0</v>
      </c>
    </row>
    <row r="590" spans="1:12">
      <c r="A590" s="13"/>
      <c r="B590" s="13"/>
      <c r="C590" s="13"/>
      <c r="D590" s="17"/>
      <c r="E590" s="18"/>
      <c r="F590" s="17"/>
      <c r="G590" s="18"/>
      <c r="H590" s="13"/>
      <c r="I590" s="19">
        <f>IF($E590="","",IF($K590&lt;=0.005,"Pago",IF($D590="","Sem vencimento",IF($D590&lt;Hoje,"Vencida",IF($D590=Hoje,"Vence hoje",IF($D590-Hoje&lt;=DiasAlerta,"Vence em breve","A vencer"))))))</f>
        <v>0</v>
      </c>
      <c r="J590" s="20">
        <f>IF(OR($E590="",$D590=""),"",IF($K590&lt;=0.005,"",$D590-Hoje))</f>
        <v>0</v>
      </c>
      <c r="K590" s="21">
        <f>IF($E590="","",MAX(0,$E590-N($G590)))</f>
        <v>0</v>
      </c>
      <c r="L590" s="20">
        <f>IF($I590="Vencida","PAGAR JÁ (multa e juros)",IF($I590="Vence hoje","Pagar hoje",IF($I590="Vence em breve","Programar pagamento","")))</f>
        <v>0</v>
      </c>
    </row>
    <row r="591" spans="1:12">
      <c r="A591" s="13"/>
      <c r="B591" s="13"/>
      <c r="C591" s="13"/>
      <c r="D591" s="17"/>
      <c r="E591" s="18"/>
      <c r="F591" s="17"/>
      <c r="G591" s="18"/>
      <c r="H591" s="13"/>
      <c r="I591" s="19">
        <f>IF($E591="","",IF($K591&lt;=0.005,"Pago",IF($D591="","Sem vencimento",IF($D591&lt;Hoje,"Vencida",IF($D591=Hoje,"Vence hoje",IF($D591-Hoje&lt;=DiasAlerta,"Vence em breve","A vencer"))))))</f>
        <v>0</v>
      </c>
      <c r="J591" s="20">
        <f>IF(OR($E591="",$D591=""),"",IF($K591&lt;=0.005,"",$D591-Hoje))</f>
        <v>0</v>
      </c>
      <c r="K591" s="21">
        <f>IF($E591="","",MAX(0,$E591-N($G591)))</f>
        <v>0</v>
      </c>
      <c r="L591" s="20">
        <f>IF($I591="Vencida","PAGAR JÁ (multa e juros)",IF($I591="Vence hoje","Pagar hoje",IF($I591="Vence em breve","Programar pagamento","")))</f>
        <v>0</v>
      </c>
    </row>
    <row r="592" spans="1:12">
      <c r="A592" s="13"/>
      <c r="B592" s="13"/>
      <c r="C592" s="13"/>
      <c r="D592" s="17"/>
      <c r="E592" s="18"/>
      <c r="F592" s="17"/>
      <c r="G592" s="18"/>
      <c r="H592" s="13"/>
      <c r="I592" s="19">
        <f>IF($E592="","",IF($K592&lt;=0.005,"Pago",IF($D592="","Sem vencimento",IF($D592&lt;Hoje,"Vencida",IF($D592=Hoje,"Vence hoje",IF($D592-Hoje&lt;=DiasAlerta,"Vence em breve","A vencer"))))))</f>
        <v>0</v>
      </c>
      <c r="J592" s="20">
        <f>IF(OR($E592="",$D592=""),"",IF($K592&lt;=0.005,"",$D592-Hoje))</f>
        <v>0</v>
      </c>
      <c r="K592" s="21">
        <f>IF($E592="","",MAX(0,$E592-N($G592)))</f>
        <v>0</v>
      </c>
      <c r="L592" s="20">
        <f>IF($I592="Vencida","PAGAR JÁ (multa e juros)",IF($I592="Vence hoje","Pagar hoje",IF($I592="Vence em breve","Programar pagamento","")))</f>
        <v>0</v>
      </c>
    </row>
    <row r="593" spans="1:12">
      <c r="A593" s="13"/>
      <c r="B593" s="13"/>
      <c r="C593" s="13"/>
      <c r="D593" s="17"/>
      <c r="E593" s="18"/>
      <c r="F593" s="17"/>
      <c r="G593" s="18"/>
      <c r="H593" s="13"/>
      <c r="I593" s="19">
        <f>IF($E593="","",IF($K593&lt;=0.005,"Pago",IF($D593="","Sem vencimento",IF($D593&lt;Hoje,"Vencida",IF($D593=Hoje,"Vence hoje",IF($D593-Hoje&lt;=DiasAlerta,"Vence em breve","A vencer"))))))</f>
        <v>0</v>
      </c>
      <c r="J593" s="20">
        <f>IF(OR($E593="",$D593=""),"",IF($K593&lt;=0.005,"",$D593-Hoje))</f>
        <v>0</v>
      </c>
      <c r="K593" s="21">
        <f>IF($E593="","",MAX(0,$E593-N($G593)))</f>
        <v>0</v>
      </c>
      <c r="L593" s="20">
        <f>IF($I593="Vencida","PAGAR JÁ (multa e juros)",IF($I593="Vence hoje","Pagar hoje",IF($I593="Vence em breve","Programar pagamento","")))</f>
        <v>0</v>
      </c>
    </row>
    <row r="594" spans="1:12">
      <c r="A594" s="13"/>
      <c r="B594" s="13"/>
      <c r="C594" s="13"/>
      <c r="D594" s="17"/>
      <c r="E594" s="18"/>
      <c r="F594" s="17"/>
      <c r="G594" s="18"/>
      <c r="H594" s="13"/>
      <c r="I594" s="19">
        <f>IF($E594="","",IF($K594&lt;=0.005,"Pago",IF($D594="","Sem vencimento",IF($D594&lt;Hoje,"Vencida",IF($D594=Hoje,"Vence hoje",IF($D594-Hoje&lt;=DiasAlerta,"Vence em breve","A vencer"))))))</f>
        <v>0</v>
      </c>
      <c r="J594" s="20">
        <f>IF(OR($E594="",$D594=""),"",IF($K594&lt;=0.005,"",$D594-Hoje))</f>
        <v>0</v>
      </c>
      <c r="K594" s="21">
        <f>IF($E594="","",MAX(0,$E594-N($G594)))</f>
        <v>0</v>
      </c>
      <c r="L594" s="20">
        <f>IF($I594="Vencida","PAGAR JÁ (multa e juros)",IF($I594="Vence hoje","Pagar hoje",IF($I594="Vence em breve","Programar pagamento","")))</f>
        <v>0</v>
      </c>
    </row>
    <row r="595" spans="1:12">
      <c r="A595" s="13"/>
      <c r="B595" s="13"/>
      <c r="C595" s="13"/>
      <c r="D595" s="17"/>
      <c r="E595" s="18"/>
      <c r="F595" s="17"/>
      <c r="G595" s="18"/>
      <c r="H595" s="13"/>
      <c r="I595" s="19">
        <f>IF($E595="","",IF($K595&lt;=0.005,"Pago",IF($D595="","Sem vencimento",IF($D595&lt;Hoje,"Vencida",IF($D595=Hoje,"Vence hoje",IF($D595-Hoje&lt;=DiasAlerta,"Vence em breve","A vencer"))))))</f>
        <v>0</v>
      </c>
      <c r="J595" s="20">
        <f>IF(OR($E595="",$D595=""),"",IF($K595&lt;=0.005,"",$D595-Hoje))</f>
        <v>0</v>
      </c>
      <c r="K595" s="21">
        <f>IF($E595="","",MAX(0,$E595-N($G595)))</f>
        <v>0</v>
      </c>
      <c r="L595" s="20">
        <f>IF($I595="Vencida","PAGAR JÁ (multa e juros)",IF($I595="Vence hoje","Pagar hoje",IF($I595="Vence em breve","Programar pagamento","")))</f>
        <v>0</v>
      </c>
    </row>
    <row r="596" spans="1:12">
      <c r="A596" s="13"/>
      <c r="B596" s="13"/>
      <c r="C596" s="13"/>
      <c r="D596" s="17"/>
      <c r="E596" s="18"/>
      <c r="F596" s="17"/>
      <c r="G596" s="18"/>
      <c r="H596" s="13"/>
      <c r="I596" s="19">
        <f>IF($E596="","",IF($K596&lt;=0.005,"Pago",IF($D596="","Sem vencimento",IF($D596&lt;Hoje,"Vencida",IF($D596=Hoje,"Vence hoje",IF($D596-Hoje&lt;=DiasAlerta,"Vence em breve","A vencer"))))))</f>
        <v>0</v>
      </c>
      <c r="J596" s="20">
        <f>IF(OR($E596="",$D596=""),"",IF($K596&lt;=0.005,"",$D596-Hoje))</f>
        <v>0</v>
      </c>
      <c r="K596" s="21">
        <f>IF($E596="","",MAX(0,$E596-N($G596)))</f>
        <v>0</v>
      </c>
      <c r="L596" s="20">
        <f>IF($I596="Vencida","PAGAR JÁ (multa e juros)",IF($I596="Vence hoje","Pagar hoje",IF($I596="Vence em breve","Programar pagamento","")))</f>
        <v>0</v>
      </c>
    </row>
    <row r="597" spans="1:12">
      <c r="A597" s="13"/>
      <c r="B597" s="13"/>
      <c r="C597" s="13"/>
      <c r="D597" s="17"/>
      <c r="E597" s="18"/>
      <c r="F597" s="17"/>
      <c r="G597" s="18"/>
      <c r="H597" s="13"/>
      <c r="I597" s="19">
        <f>IF($E597="","",IF($K597&lt;=0.005,"Pago",IF($D597="","Sem vencimento",IF($D597&lt;Hoje,"Vencida",IF($D597=Hoje,"Vence hoje",IF($D597-Hoje&lt;=DiasAlerta,"Vence em breve","A vencer"))))))</f>
        <v>0</v>
      </c>
      <c r="J597" s="20">
        <f>IF(OR($E597="",$D597=""),"",IF($K597&lt;=0.005,"",$D597-Hoje))</f>
        <v>0</v>
      </c>
      <c r="K597" s="21">
        <f>IF($E597="","",MAX(0,$E597-N($G597)))</f>
        <v>0</v>
      </c>
      <c r="L597" s="20">
        <f>IF($I597="Vencida","PAGAR JÁ (multa e juros)",IF($I597="Vence hoje","Pagar hoje",IF($I597="Vence em breve","Programar pagamento","")))</f>
        <v>0</v>
      </c>
    </row>
    <row r="598" spans="1:12">
      <c r="A598" s="13"/>
      <c r="B598" s="13"/>
      <c r="C598" s="13"/>
      <c r="D598" s="17"/>
      <c r="E598" s="18"/>
      <c r="F598" s="17"/>
      <c r="G598" s="18"/>
      <c r="H598" s="13"/>
      <c r="I598" s="19">
        <f>IF($E598="","",IF($K598&lt;=0.005,"Pago",IF($D598="","Sem vencimento",IF($D598&lt;Hoje,"Vencida",IF($D598=Hoje,"Vence hoje",IF($D598-Hoje&lt;=DiasAlerta,"Vence em breve","A vencer"))))))</f>
        <v>0</v>
      </c>
      <c r="J598" s="20">
        <f>IF(OR($E598="",$D598=""),"",IF($K598&lt;=0.005,"",$D598-Hoje))</f>
        <v>0</v>
      </c>
      <c r="K598" s="21">
        <f>IF($E598="","",MAX(0,$E598-N($G598)))</f>
        <v>0</v>
      </c>
      <c r="L598" s="20">
        <f>IF($I598="Vencida","PAGAR JÁ (multa e juros)",IF($I598="Vence hoje","Pagar hoje",IF($I598="Vence em breve","Programar pagamento","")))</f>
        <v>0</v>
      </c>
    </row>
    <row r="599" spans="1:12">
      <c r="A599" s="13"/>
      <c r="B599" s="13"/>
      <c r="C599" s="13"/>
      <c r="D599" s="17"/>
      <c r="E599" s="18"/>
      <c r="F599" s="17"/>
      <c r="G599" s="18"/>
      <c r="H599" s="13"/>
      <c r="I599" s="19">
        <f>IF($E599="","",IF($K599&lt;=0.005,"Pago",IF($D599="","Sem vencimento",IF($D599&lt;Hoje,"Vencida",IF($D599=Hoje,"Vence hoje",IF($D599-Hoje&lt;=DiasAlerta,"Vence em breve","A vencer"))))))</f>
        <v>0</v>
      </c>
      <c r="J599" s="20">
        <f>IF(OR($E599="",$D599=""),"",IF($K599&lt;=0.005,"",$D599-Hoje))</f>
        <v>0</v>
      </c>
      <c r="K599" s="21">
        <f>IF($E599="","",MAX(0,$E599-N($G599)))</f>
        <v>0</v>
      </c>
      <c r="L599" s="20">
        <f>IF($I599="Vencida","PAGAR JÁ (multa e juros)",IF($I599="Vence hoje","Pagar hoje",IF($I599="Vence em breve","Programar pagamento","")))</f>
        <v>0</v>
      </c>
    </row>
    <row r="600" spans="1:12">
      <c r="A600" s="13"/>
      <c r="B600" s="13"/>
      <c r="C600" s="13"/>
      <c r="D600" s="17"/>
      <c r="E600" s="18"/>
      <c r="F600" s="17"/>
      <c r="G600" s="18"/>
      <c r="H600" s="13"/>
      <c r="I600" s="19">
        <f>IF($E600="","",IF($K600&lt;=0.005,"Pago",IF($D600="","Sem vencimento",IF($D600&lt;Hoje,"Vencida",IF($D600=Hoje,"Vence hoje",IF($D600-Hoje&lt;=DiasAlerta,"Vence em breve","A vencer"))))))</f>
        <v>0</v>
      </c>
      <c r="J600" s="20">
        <f>IF(OR($E600="",$D600=""),"",IF($K600&lt;=0.005,"",$D600-Hoje))</f>
        <v>0</v>
      </c>
      <c r="K600" s="21">
        <f>IF($E600="","",MAX(0,$E600-N($G600)))</f>
        <v>0</v>
      </c>
      <c r="L600" s="20">
        <f>IF($I600="Vencida","PAGAR JÁ (multa e juros)",IF($I600="Vence hoje","Pagar hoje",IF($I600="Vence em breve","Programar pagamento","")))</f>
        <v>0</v>
      </c>
    </row>
    <row r="601" spans="1:12">
      <c r="A601" s="13"/>
      <c r="B601" s="13"/>
      <c r="C601" s="13"/>
      <c r="D601" s="17"/>
      <c r="E601" s="18"/>
      <c r="F601" s="17"/>
      <c r="G601" s="18"/>
      <c r="H601" s="13"/>
      <c r="I601" s="19">
        <f>IF($E601="","",IF($K601&lt;=0.005,"Pago",IF($D601="","Sem vencimento",IF($D601&lt;Hoje,"Vencida",IF($D601=Hoje,"Vence hoje",IF($D601-Hoje&lt;=DiasAlerta,"Vence em breve","A vencer"))))))</f>
        <v>0</v>
      </c>
      <c r="J601" s="20">
        <f>IF(OR($E601="",$D601=""),"",IF($K601&lt;=0.005,"",$D601-Hoje))</f>
        <v>0</v>
      </c>
      <c r="K601" s="21">
        <f>IF($E601="","",MAX(0,$E601-N($G601)))</f>
        <v>0</v>
      </c>
      <c r="L601" s="20">
        <f>IF($I601="Vencida","PAGAR JÁ (multa e juros)",IF($I601="Vence hoje","Pagar hoje",IF($I601="Vence em breve","Programar pagamento","")))</f>
        <v>0</v>
      </c>
    </row>
    <row r="602" spans="1:12">
      <c r="A602" s="13"/>
      <c r="B602" s="13"/>
      <c r="C602" s="13"/>
      <c r="D602" s="17"/>
      <c r="E602" s="18"/>
      <c r="F602" s="17"/>
      <c r="G602" s="18"/>
      <c r="H602" s="13"/>
      <c r="I602" s="19">
        <f>IF($E602="","",IF($K602&lt;=0.005,"Pago",IF($D602="","Sem vencimento",IF($D602&lt;Hoje,"Vencida",IF($D602=Hoje,"Vence hoje",IF($D602-Hoje&lt;=DiasAlerta,"Vence em breve","A vencer"))))))</f>
        <v>0</v>
      </c>
      <c r="J602" s="20">
        <f>IF(OR($E602="",$D602=""),"",IF($K602&lt;=0.005,"",$D602-Hoje))</f>
        <v>0</v>
      </c>
      <c r="K602" s="21">
        <f>IF($E602="","",MAX(0,$E602-N($G602)))</f>
        <v>0</v>
      </c>
      <c r="L602" s="20">
        <f>IF($I602="Vencida","PAGAR JÁ (multa e juros)",IF($I602="Vence hoje","Pagar hoje",IF($I602="Vence em breve","Programar pagamento","")))</f>
        <v>0</v>
      </c>
    </row>
    <row r="603" spans="1:12">
      <c r="A603" s="13"/>
      <c r="B603" s="13"/>
      <c r="C603" s="13"/>
      <c r="D603" s="17"/>
      <c r="E603" s="18"/>
      <c r="F603" s="17"/>
      <c r="G603" s="18"/>
      <c r="H603" s="13"/>
      <c r="I603" s="19">
        <f>IF($E603="","",IF($K603&lt;=0.005,"Pago",IF($D603="","Sem vencimento",IF($D603&lt;Hoje,"Vencida",IF($D603=Hoje,"Vence hoje",IF($D603-Hoje&lt;=DiasAlerta,"Vence em breve","A vencer"))))))</f>
        <v>0</v>
      </c>
      <c r="J603" s="20">
        <f>IF(OR($E603="",$D603=""),"",IF($K603&lt;=0.005,"",$D603-Hoje))</f>
        <v>0</v>
      </c>
      <c r="K603" s="21">
        <f>IF($E603="","",MAX(0,$E603-N($G603)))</f>
        <v>0</v>
      </c>
      <c r="L603" s="20">
        <f>IF($I603="Vencida","PAGAR JÁ (multa e juros)",IF($I603="Vence hoje","Pagar hoje",IF($I603="Vence em breve","Programar pagamento","")))</f>
        <v>0</v>
      </c>
    </row>
    <row r="604" spans="1:12">
      <c r="A604" s="13"/>
      <c r="B604" s="13"/>
      <c r="C604" s="13"/>
      <c r="D604" s="17"/>
      <c r="E604" s="18"/>
      <c r="F604" s="17"/>
      <c r="G604" s="18"/>
      <c r="H604" s="13"/>
      <c r="I604" s="19">
        <f>IF($E604="","",IF($K604&lt;=0.005,"Pago",IF($D604="","Sem vencimento",IF($D604&lt;Hoje,"Vencida",IF($D604=Hoje,"Vence hoje",IF($D604-Hoje&lt;=DiasAlerta,"Vence em breve","A vencer"))))))</f>
        <v>0</v>
      </c>
      <c r="J604" s="20">
        <f>IF(OR($E604="",$D604=""),"",IF($K604&lt;=0.005,"",$D604-Hoje))</f>
        <v>0</v>
      </c>
      <c r="K604" s="21">
        <f>IF($E604="","",MAX(0,$E604-N($G604)))</f>
        <v>0</v>
      </c>
      <c r="L604" s="20">
        <f>IF($I604="Vencida","PAGAR JÁ (multa e juros)",IF($I604="Vence hoje","Pagar hoje",IF($I604="Vence em breve","Programar pagamento","")))</f>
        <v>0</v>
      </c>
    </row>
    <row r="605" spans="1:12">
      <c r="A605" s="13"/>
      <c r="B605" s="13"/>
      <c r="C605" s="13"/>
      <c r="D605" s="17"/>
      <c r="E605" s="18"/>
      <c r="F605" s="17"/>
      <c r="G605" s="18"/>
      <c r="H605" s="13"/>
      <c r="I605" s="19">
        <f>IF($E605="","",IF($K605&lt;=0.005,"Pago",IF($D605="","Sem vencimento",IF($D605&lt;Hoje,"Vencida",IF($D605=Hoje,"Vence hoje",IF($D605-Hoje&lt;=DiasAlerta,"Vence em breve","A vencer"))))))</f>
        <v>0</v>
      </c>
      <c r="J605" s="20">
        <f>IF(OR($E605="",$D605=""),"",IF($K605&lt;=0.005,"",$D605-Hoje))</f>
        <v>0</v>
      </c>
      <c r="K605" s="21">
        <f>IF($E605="","",MAX(0,$E605-N($G605)))</f>
        <v>0</v>
      </c>
      <c r="L605" s="20">
        <f>IF($I605="Vencida","PAGAR JÁ (multa e juros)",IF($I605="Vence hoje","Pagar hoje",IF($I605="Vence em breve","Programar pagamento","")))</f>
        <v>0</v>
      </c>
    </row>
    <row r="606" spans="1:12">
      <c r="A606" s="13"/>
      <c r="B606" s="13"/>
      <c r="C606" s="13"/>
      <c r="D606" s="17"/>
      <c r="E606" s="18"/>
      <c r="F606" s="17"/>
      <c r="G606" s="18"/>
      <c r="H606" s="13"/>
      <c r="I606" s="19">
        <f>IF($E606="","",IF($K606&lt;=0.005,"Pago",IF($D606="","Sem vencimento",IF($D606&lt;Hoje,"Vencida",IF($D606=Hoje,"Vence hoje",IF($D606-Hoje&lt;=DiasAlerta,"Vence em breve","A vencer"))))))</f>
        <v>0</v>
      </c>
      <c r="J606" s="20">
        <f>IF(OR($E606="",$D606=""),"",IF($K606&lt;=0.005,"",$D606-Hoje))</f>
        <v>0</v>
      </c>
      <c r="K606" s="21">
        <f>IF($E606="","",MAX(0,$E606-N($G606)))</f>
        <v>0</v>
      </c>
      <c r="L606" s="20">
        <f>IF($I606="Vencida","PAGAR JÁ (multa e juros)",IF($I606="Vence hoje","Pagar hoje",IF($I606="Vence em breve","Programar pagamento","")))</f>
        <v>0</v>
      </c>
    </row>
    <row r="607" spans="1:12">
      <c r="A607" s="13"/>
      <c r="B607" s="13"/>
      <c r="C607" s="13"/>
      <c r="D607" s="17"/>
      <c r="E607" s="18"/>
      <c r="F607" s="17"/>
      <c r="G607" s="18"/>
      <c r="H607" s="13"/>
      <c r="I607" s="19">
        <f>IF($E607="","",IF($K607&lt;=0.005,"Pago",IF($D607="","Sem vencimento",IF($D607&lt;Hoje,"Vencida",IF($D607=Hoje,"Vence hoje",IF($D607-Hoje&lt;=DiasAlerta,"Vence em breve","A vencer"))))))</f>
        <v>0</v>
      </c>
      <c r="J607" s="20">
        <f>IF(OR($E607="",$D607=""),"",IF($K607&lt;=0.005,"",$D607-Hoje))</f>
        <v>0</v>
      </c>
      <c r="K607" s="21">
        <f>IF($E607="","",MAX(0,$E607-N($G607)))</f>
        <v>0</v>
      </c>
      <c r="L607" s="20">
        <f>IF($I607="Vencida","PAGAR JÁ (multa e juros)",IF($I607="Vence hoje","Pagar hoje",IF($I607="Vence em breve","Programar pagamento","")))</f>
        <v>0</v>
      </c>
    </row>
    <row r="608" spans="1:12">
      <c r="A608" s="13"/>
      <c r="B608" s="13"/>
      <c r="C608" s="13"/>
      <c r="D608" s="17"/>
      <c r="E608" s="18"/>
      <c r="F608" s="17"/>
      <c r="G608" s="18"/>
      <c r="H608" s="13"/>
      <c r="I608" s="19">
        <f>IF($E608="","",IF($K608&lt;=0.005,"Pago",IF($D608="","Sem vencimento",IF($D608&lt;Hoje,"Vencida",IF($D608=Hoje,"Vence hoje",IF($D608-Hoje&lt;=DiasAlerta,"Vence em breve","A vencer"))))))</f>
        <v>0</v>
      </c>
      <c r="J608" s="20">
        <f>IF(OR($E608="",$D608=""),"",IF($K608&lt;=0.005,"",$D608-Hoje))</f>
        <v>0</v>
      </c>
      <c r="K608" s="21">
        <f>IF($E608="","",MAX(0,$E608-N($G608)))</f>
        <v>0</v>
      </c>
      <c r="L608" s="20">
        <f>IF($I608="Vencida","PAGAR JÁ (multa e juros)",IF($I608="Vence hoje","Pagar hoje",IF($I608="Vence em breve","Programar pagamento","")))</f>
        <v>0</v>
      </c>
    </row>
    <row r="609" spans="1:12">
      <c r="A609" s="13"/>
      <c r="B609" s="13"/>
      <c r="C609" s="13"/>
      <c r="D609" s="17"/>
      <c r="E609" s="18"/>
      <c r="F609" s="17"/>
      <c r="G609" s="18"/>
      <c r="H609" s="13"/>
      <c r="I609" s="19">
        <f>IF($E609="","",IF($K609&lt;=0.005,"Pago",IF($D609="","Sem vencimento",IF($D609&lt;Hoje,"Vencida",IF($D609=Hoje,"Vence hoje",IF($D609-Hoje&lt;=DiasAlerta,"Vence em breve","A vencer"))))))</f>
        <v>0</v>
      </c>
      <c r="J609" s="20">
        <f>IF(OR($E609="",$D609=""),"",IF($K609&lt;=0.005,"",$D609-Hoje))</f>
        <v>0</v>
      </c>
      <c r="K609" s="21">
        <f>IF($E609="","",MAX(0,$E609-N($G609)))</f>
        <v>0</v>
      </c>
      <c r="L609" s="20">
        <f>IF($I609="Vencida","PAGAR JÁ (multa e juros)",IF($I609="Vence hoje","Pagar hoje",IF($I609="Vence em breve","Programar pagamento","")))</f>
        <v>0</v>
      </c>
    </row>
    <row r="610" spans="1:12">
      <c r="A610" s="13"/>
      <c r="B610" s="13"/>
      <c r="C610" s="13"/>
      <c r="D610" s="17"/>
      <c r="E610" s="18"/>
      <c r="F610" s="17"/>
      <c r="G610" s="18"/>
      <c r="H610" s="13"/>
      <c r="I610" s="19">
        <f>IF($E610="","",IF($K610&lt;=0.005,"Pago",IF($D610="","Sem vencimento",IF($D610&lt;Hoje,"Vencida",IF($D610=Hoje,"Vence hoje",IF($D610-Hoje&lt;=DiasAlerta,"Vence em breve","A vencer"))))))</f>
        <v>0</v>
      </c>
      <c r="J610" s="20">
        <f>IF(OR($E610="",$D610=""),"",IF($K610&lt;=0.005,"",$D610-Hoje))</f>
        <v>0</v>
      </c>
      <c r="K610" s="21">
        <f>IF($E610="","",MAX(0,$E610-N($G610)))</f>
        <v>0</v>
      </c>
      <c r="L610" s="20">
        <f>IF($I610="Vencida","PAGAR JÁ (multa e juros)",IF($I610="Vence hoje","Pagar hoje",IF($I610="Vence em breve","Programar pagamento","")))</f>
        <v>0</v>
      </c>
    </row>
    <row r="611" spans="1:12">
      <c r="A611" s="13"/>
      <c r="B611" s="13"/>
      <c r="C611" s="13"/>
      <c r="D611" s="17"/>
      <c r="E611" s="18"/>
      <c r="F611" s="17"/>
      <c r="G611" s="18"/>
      <c r="H611" s="13"/>
      <c r="I611" s="19">
        <f>IF($E611="","",IF($K611&lt;=0.005,"Pago",IF($D611="","Sem vencimento",IF($D611&lt;Hoje,"Vencida",IF($D611=Hoje,"Vence hoje",IF($D611-Hoje&lt;=DiasAlerta,"Vence em breve","A vencer"))))))</f>
        <v>0</v>
      </c>
      <c r="J611" s="20">
        <f>IF(OR($E611="",$D611=""),"",IF($K611&lt;=0.005,"",$D611-Hoje))</f>
        <v>0</v>
      </c>
      <c r="K611" s="21">
        <f>IF($E611="","",MAX(0,$E611-N($G611)))</f>
        <v>0</v>
      </c>
      <c r="L611" s="20">
        <f>IF($I611="Vencida","PAGAR JÁ (multa e juros)",IF($I611="Vence hoje","Pagar hoje",IF($I611="Vence em breve","Programar pagamento","")))</f>
        <v>0</v>
      </c>
    </row>
    <row r="612" spans="1:12">
      <c r="A612" s="13"/>
      <c r="B612" s="13"/>
      <c r="C612" s="13"/>
      <c r="D612" s="17"/>
      <c r="E612" s="18"/>
      <c r="F612" s="17"/>
      <c r="G612" s="18"/>
      <c r="H612" s="13"/>
      <c r="I612" s="19">
        <f>IF($E612="","",IF($K612&lt;=0.005,"Pago",IF($D612="","Sem vencimento",IF($D612&lt;Hoje,"Vencida",IF($D612=Hoje,"Vence hoje",IF($D612-Hoje&lt;=DiasAlerta,"Vence em breve","A vencer"))))))</f>
        <v>0</v>
      </c>
      <c r="J612" s="20">
        <f>IF(OR($E612="",$D612=""),"",IF($K612&lt;=0.005,"",$D612-Hoje))</f>
        <v>0</v>
      </c>
      <c r="K612" s="21">
        <f>IF($E612="","",MAX(0,$E612-N($G612)))</f>
        <v>0</v>
      </c>
      <c r="L612" s="20">
        <f>IF($I612="Vencida","PAGAR JÁ (multa e juros)",IF($I612="Vence hoje","Pagar hoje",IF($I612="Vence em breve","Programar pagamento","")))</f>
        <v>0</v>
      </c>
    </row>
    <row r="613" spans="1:12">
      <c r="A613" s="13"/>
      <c r="B613" s="13"/>
      <c r="C613" s="13"/>
      <c r="D613" s="17"/>
      <c r="E613" s="18"/>
      <c r="F613" s="17"/>
      <c r="G613" s="18"/>
      <c r="H613" s="13"/>
      <c r="I613" s="19">
        <f>IF($E613="","",IF($K613&lt;=0.005,"Pago",IF($D613="","Sem vencimento",IF($D613&lt;Hoje,"Vencida",IF($D613=Hoje,"Vence hoje",IF($D613-Hoje&lt;=DiasAlerta,"Vence em breve","A vencer"))))))</f>
        <v>0</v>
      </c>
      <c r="J613" s="20">
        <f>IF(OR($E613="",$D613=""),"",IF($K613&lt;=0.005,"",$D613-Hoje))</f>
        <v>0</v>
      </c>
      <c r="K613" s="21">
        <f>IF($E613="","",MAX(0,$E613-N($G613)))</f>
        <v>0</v>
      </c>
      <c r="L613" s="20">
        <f>IF($I613="Vencida","PAGAR JÁ (multa e juros)",IF($I613="Vence hoje","Pagar hoje",IF($I613="Vence em breve","Programar pagamento","")))</f>
        <v>0</v>
      </c>
    </row>
    <row r="614" spans="1:12">
      <c r="A614" s="13"/>
      <c r="B614" s="13"/>
      <c r="C614" s="13"/>
      <c r="D614" s="17"/>
      <c r="E614" s="18"/>
      <c r="F614" s="17"/>
      <c r="G614" s="18"/>
      <c r="H614" s="13"/>
      <c r="I614" s="19">
        <f>IF($E614="","",IF($K614&lt;=0.005,"Pago",IF($D614="","Sem vencimento",IF($D614&lt;Hoje,"Vencida",IF($D614=Hoje,"Vence hoje",IF($D614-Hoje&lt;=DiasAlerta,"Vence em breve","A vencer"))))))</f>
        <v>0</v>
      </c>
      <c r="J614" s="20">
        <f>IF(OR($E614="",$D614=""),"",IF($K614&lt;=0.005,"",$D614-Hoje))</f>
        <v>0</v>
      </c>
      <c r="K614" s="21">
        <f>IF($E614="","",MAX(0,$E614-N($G614)))</f>
        <v>0</v>
      </c>
      <c r="L614" s="20">
        <f>IF($I614="Vencida","PAGAR JÁ (multa e juros)",IF($I614="Vence hoje","Pagar hoje",IF($I614="Vence em breve","Programar pagamento","")))</f>
        <v>0</v>
      </c>
    </row>
    <row r="615" spans="1:12">
      <c r="A615" s="13"/>
      <c r="B615" s="13"/>
      <c r="C615" s="13"/>
      <c r="D615" s="17"/>
      <c r="E615" s="18"/>
      <c r="F615" s="17"/>
      <c r="G615" s="18"/>
      <c r="H615" s="13"/>
      <c r="I615" s="19">
        <f>IF($E615="","",IF($K615&lt;=0.005,"Pago",IF($D615="","Sem vencimento",IF($D615&lt;Hoje,"Vencida",IF($D615=Hoje,"Vence hoje",IF($D615-Hoje&lt;=DiasAlerta,"Vence em breve","A vencer"))))))</f>
        <v>0</v>
      </c>
      <c r="J615" s="20">
        <f>IF(OR($E615="",$D615=""),"",IF($K615&lt;=0.005,"",$D615-Hoje))</f>
        <v>0</v>
      </c>
      <c r="K615" s="21">
        <f>IF($E615="","",MAX(0,$E615-N($G615)))</f>
        <v>0</v>
      </c>
      <c r="L615" s="20">
        <f>IF($I615="Vencida","PAGAR JÁ (multa e juros)",IF($I615="Vence hoje","Pagar hoje",IF($I615="Vence em breve","Programar pagamento","")))</f>
        <v>0</v>
      </c>
    </row>
    <row r="616" spans="1:12">
      <c r="A616" s="13"/>
      <c r="B616" s="13"/>
      <c r="C616" s="13"/>
      <c r="D616" s="17"/>
      <c r="E616" s="18"/>
      <c r="F616" s="17"/>
      <c r="G616" s="18"/>
      <c r="H616" s="13"/>
      <c r="I616" s="19">
        <f>IF($E616="","",IF($K616&lt;=0.005,"Pago",IF($D616="","Sem vencimento",IF($D616&lt;Hoje,"Vencida",IF($D616=Hoje,"Vence hoje",IF($D616-Hoje&lt;=DiasAlerta,"Vence em breve","A vencer"))))))</f>
        <v>0</v>
      </c>
      <c r="J616" s="20">
        <f>IF(OR($E616="",$D616=""),"",IF($K616&lt;=0.005,"",$D616-Hoje))</f>
        <v>0</v>
      </c>
      <c r="K616" s="21">
        <f>IF($E616="","",MAX(0,$E616-N($G616)))</f>
        <v>0</v>
      </c>
      <c r="L616" s="20">
        <f>IF($I616="Vencida","PAGAR JÁ (multa e juros)",IF($I616="Vence hoje","Pagar hoje",IF($I616="Vence em breve","Programar pagamento","")))</f>
        <v>0</v>
      </c>
    </row>
    <row r="617" spans="1:12">
      <c r="A617" s="13"/>
      <c r="B617" s="13"/>
      <c r="C617" s="13"/>
      <c r="D617" s="17"/>
      <c r="E617" s="18"/>
      <c r="F617" s="17"/>
      <c r="G617" s="18"/>
      <c r="H617" s="13"/>
      <c r="I617" s="19">
        <f>IF($E617="","",IF($K617&lt;=0.005,"Pago",IF($D617="","Sem vencimento",IF($D617&lt;Hoje,"Vencida",IF($D617=Hoje,"Vence hoje",IF($D617-Hoje&lt;=DiasAlerta,"Vence em breve","A vencer"))))))</f>
        <v>0</v>
      </c>
      <c r="J617" s="20">
        <f>IF(OR($E617="",$D617=""),"",IF($K617&lt;=0.005,"",$D617-Hoje))</f>
        <v>0</v>
      </c>
      <c r="K617" s="21">
        <f>IF($E617="","",MAX(0,$E617-N($G617)))</f>
        <v>0</v>
      </c>
      <c r="L617" s="20">
        <f>IF($I617="Vencida","PAGAR JÁ (multa e juros)",IF($I617="Vence hoje","Pagar hoje",IF($I617="Vence em breve","Programar pagamento","")))</f>
        <v>0</v>
      </c>
    </row>
    <row r="618" spans="1:12">
      <c r="A618" s="13"/>
      <c r="B618" s="13"/>
      <c r="C618" s="13"/>
      <c r="D618" s="17"/>
      <c r="E618" s="18"/>
      <c r="F618" s="17"/>
      <c r="G618" s="18"/>
      <c r="H618" s="13"/>
      <c r="I618" s="19">
        <f>IF($E618="","",IF($K618&lt;=0.005,"Pago",IF($D618="","Sem vencimento",IF($D618&lt;Hoje,"Vencida",IF($D618=Hoje,"Vence hoje",IF($D618-Hoje&lt;=DiasAlerta,"Vence em breve","A vencer"))))))</f>
        <v>0</v>
      </c>
      <c r="J618" s="20">
        <f>IF(OR($E618="",$D618=""),"",IF($K618&lt;=0.005,"",$D618-Hoje))</f>
        <v>0</v>
      </c>
      <c r="K618" s="21">
        <f>IF($E618="","",MAX(0,$E618-N($G618)))</f>
        <v>0</v>
      </c>
      <c r="L618" s="20">
        <f>IF($I618="Vencida","PAGAR JÁ (multa e juros)",IF($I618="Vence hoje","Pagar hoje",IF($I618="Vence em breve","Programar pagamento","")))</f>
        <v>0</v>
      </c>
    </row>
    <row r="619" spans="1:12">
      <c r="A619" s="13"/>
      <c r="B619" s="13"/>
      <c r="C619" s="13"/>
      <c r="D619" s="17"/>
      <c r="E619" s="18"/>
      <c r="F619" s="17"/>
      <c r="G619" s="18"/>
      <c r="H619" s="13"/>
      <c r="I619" s="19">
        <f>IF($E619="","",IF($K619&lt;=0.005,"Pago",IF($D619="","Sem vencimento",IF($D619&lt;Hoje,"Vencida",IF($D619=Hoje,"Vence hoje",IF($D619-Hoje&lt;=DiasAlerta,"Vence em breve","A vencer"))))))</f>
        <v>0</v>
      </c>
      <c r="J619" s="20">
        <f>IF(OR($E619="",$D619=""),"",IF($K619&lt;=0.005,"",$D619-Hoje))</f>
        <v>0</v>
      </c>
      <c r="K619" s="21">
        <f>IF($E619="","",MAX(0,$E619-N($G619)))</f>
        <v>0</v>
      </c>
      <c r="L619" s="20">
        <f>IF($I619="Vencida","PAGAR JÁ (multa e juros)",IF($I619="Vence hoje","Pagar hoje",IF($I619="Vence em breve","Programar pagamento","")))</f>
        <v>0</v>
      </c>
    </row>
    <row r="620" spans="1:12">
      <c r="A620" s="13"/>
      <c r="B620" s="13"/>
      <c r="C620" s="13"/>
      <c r="D620" s="17"/>
      <c r="E620" s="18"/>
      <c r="F620" s="17"/>
      <c r="G620" s="18"/>
      <c r="H620" s="13"/>
      <c r="I620" s="19">
        <f>IF($E620="","",IF($K620&lt;=0.005,"Pago",IF($D620="","Sem vencimento",IF($D620&lt;Hoje,"Vencida",IF($D620=Hoje,"Vence hoje",IF($D620-Hoje&lt;=DiasAlerta,"Vence em breve","A vencer"))))))</f>
        <v>0</v>
      </c>
      <c r="J620" s="20">
        <f>IF(OR($E620="",$D620=""),"",IF($K620&lt;=0.005,"",$D620-Hoje))</f>
        <v>0</v>
      </c>
      <c r="K620" s="21">
        <f>IF($E620="","",MAX(0,$E620-N($G620)))</f>
        <v>0</v>
      </c>
      <c r="L620" s="20">
        <f>IF($I620="Vencida","PAGAR JÁ (multa e juros)",IF($I620="Vence hoje","Pagar hoje",IF($I620="Vence em breve","Programar pagamento","")))</f>
        <v>0</v>
      </c>
    </row>
    <row r="621" spans="1:12">
      <c r="A621" s="13"/>
      <c r="B621" s="13"/>
      <c r="C621" s="13"/>
      <c r="D621" s="17"/>
      <c r="E621" s="18"/>
      <c r="F621" s="17"/>
      <c r="G621" s="18"/>
      <c r="H621" s="13"/>
      <c r="I621" s="19">
        <f>IF($E621="","",IF($K621&lt;=0.005,"Pago",IF($D621="","Sem vencimento",IF($D621&lt;Hoje,"Vencida",IF($D621=Hoje,"Vence hoje",IF($D621-Hoje&lt;=DiasAlerta,"Vence em breve","A vencer"))))))</f>
        <v>0</v>
      </c>
      <c r="J621" s="20">
        <f>IF(OR($E621="",$D621=""),"",IF($K621&lt;=0.005,"",$D621-Hoje))</f>
        <v>0</v>
      </c>
      <c r="K621" s="21">
        <f>IF($E621="","",MAX(0,$E621-N($G621)))</f>
        <v>0</v>
      </c>
      <c r="L621" s="20">
        <f>IF($I621="Vencida","PAGAR JÁ (multa e juros)",IF($I621="Vence hoje","Pagar hoje",IF($I621="Vence em breve","Programar pagamento","")))</f>
        <v>0</v>
      </c>
    </row>
    <row r="622" spans="1:12">
      <c r="A622" s="13"/>
      <c r="B622" s="13"/>
      <c r="C622" s="13"/>
      <c r="D622" s="17"/>
      <c r="E622" s="18"/>
      <c r="F622" s="17"/>
      <c r="G622" s="18"/>
      <c r="H622" s="13"/>
      <c r="I622" s="19">
        <f>IF($E622="","",IF($K622&lt;=0.005,"Pago",IF($D622="","Sem vencimento",IF($D622&lt;Hoje,"Vencida",IF($D622=Hoje,"Vence hoje",IF($D622-Hoje&lt;=DiasAlerta,"Vence em breve","A vencer"))))))</f>
        <v>0</v>
      </c>
      <c r="J622" s="20">
        <f>IF(OR($E622="",$D622=""),"",IF($K622&lt;=0.005,"",$D622-Hoje))</f>
        <v>0</v>
      </c>
      <c r="K622" s="21">
        <f>IF($E622="","",MAX(0,$E622-N($G622)))</f>
        <v>0</v>
      </c>
      <c r="L622" s="20">
        <f>IF($I622="Vencida","PAGAR JÁ (multa e juros)",IF($I622="Vence hoje","Pagar hoje",IF($I622="Vence em breve","Programar pagamento","")))</f>
        <v>0</v>
      </c>
    </row>
    <row r="623" spans="1:12">
      <c r="A623" s="13"/>
      <c r="B623" s="13"/>
      <c r="C623" s="13"/>
      <c r="D623" s="17"/>
      <c r="E623" s="18"/>
      <c r="F623" s="17"/>
      <c r="G623" s="18"/>
      <c r="H623" s="13"/>
      <c r="I623" s="19">
        <f>IF($E623="","",IF($K623&lt;=0.005,"Pago",IF($D623="","Sem vencimento",IF($D623&lt;Hoje,"Vencida",IF($D623=Hoje,"Vence hoje",IF($D623-Hoje&lt;=DiasAlerta,"Vence em breve","A vencer"))))))</f>
        <v>0</v>
      </c>
      <c r="J623" s="20">
        <f>IF(OR($E623="",$D623=""),"",IF($K623&lt;=0.005,"",$D623-Hoje))</f>
        <v>0</v>
      </c>
      <c r="K623" s="21">
        <f>IF($E623="","",MAX(0,$E623-N($G623)))</f>
        <v>0</v>
      </c>
      <c r="L623" s="20">
        <f>IF($I623="Vencida","PAGAR JÁ (multa e juros)",IF($I623="Vence hoje","Pagar hoje",IF($I623="Vence em breve","Programar pagamento","")))</f>
        <v>0</v>
      </c>
    </row>
    <row r="624" spans="1:12">
      <c r="A624" s="13"/>
      <c r="B624" s="13"/>
      <c r="C624" s="13"/>
      <c r="D624" s="17"/>
      <c r="E624" s="18"/>
      <c r="F624" s="17"/>
      <c r="G624" s="18"/>
      <c r="H624" s="13"/>
      <c r="I624" s="19">
        <f>IF($E624="","",IF($K624&lt;=0.005,"Pago",IF($D624="","Sem vencimento",IF($D624&lt;Hoje,"Vencida",IF($D624=Hoje,"Vence hoje",IF($D624-Hoje&lt;=DiasAlerta,"Vence em breve","A vencer"))))))</f>
        <v>0</v>
      </c>
      <c r="J624" s="20">
        <f>IF(OR($E624="",$D624=""),"",IF($K624&lt;=0.005,"",$D624-Hoje))</f>
        <v>0</v>
      </c>
      <c r="K624" s="21">
        <f>IF($E624="","",MAX(0,$E624-N($G624)))</f>
        <v>0</v>
      </c>
      <c r="L624" s="20">
        <f>IF($I624="Vencida","PAGAR JÁ (multa e juros)",IF($I624="Vence hoje","Pagar hoje",IF($I624="Vence em breve","Programar pagamento","")))</f>
        <v>0</v>
      </c>
    </row>
    <row r="625" spans="1:12">
      <c r="A625" s="13"/>
      <c r="B625" s="13"/>
      <c r="C625" s="13"/>
      <c r="D625" s="17"/>
      <c r="E625" s="18"/>
      <c r="F625" s="17"/>
      <c r="G625" s="18"/>
      <c r="H625" s="13"/>
      <c r="I625" s="19">
        <f>IF($E625="","",IF($K625&lt;=0.005,"Pago",IF($D625="","Sem vencimento",IF($D625&lt;Hoje,"Vencida",IF($D625=Hoje,"Vence hoje",IF($D625-Hoje&lt;=DiasAlerta,"Vence em breve","A vencer"))))))</f>
        <v>0</v>
      </c>
      <c r="J625" s="20">
        <f>IF(OR($E625="",$D625=""),"",IF($K625&lt;=0.005,"",$D625-Hoje))</f>
        <v>0</v>
      </c>
      <c r="K625" s="21">
        <f>IF($E625="","",MAX(0,$E625-N($G625)))</f>
        <v>0</v>
      </c>
      <c r="L625" s="20">
        <f>IF($I625="Vencida","PAGAR JÁ (multa e juros)",IF($I625="Vence hoje","Pagar hoje",IF($I625="Vence em breve","Programar pagamento","")))</f>
        <v>0</v>
      </c>
    </row>
    <row r="626" spans="1:12">
      <c r="A626" s="13"/>
      <c r="B626" s="13"/>
      <c r="C626" s="13"/>
      <c r="D626" s="17"/>
      <c r="E626" s="18"/>
      <c r="F626" s="17"/>
      <c r="G626" s="18"/>
      <c r="H626" s="13"/>
      <c r="I626" s="19">
        <f>IF($E626="","",IF($K626&lt;=0.005,"Pago",IF($D626="","Sem vencimento",IF($D626&lt;Hoje,"Vencida",IF($D626=Hoje,"Vence hoje",IF($D626-Hoje&lt;=DiasAlerta,"Vence em breve","A vencer"))))))</f>
        <v>0</v>
      </c>
      <c r="J626" s="20">
        <f>IF(OR($E626="",$D626=""),"",IF($K626&lt;=0.005,"",$D626-Hoje))</f>
        <v>0</v>
      </c>
      <c r="K626" s="21">
        <f>IF($E626="","",MAX(0,$E626-N($G626)))</f>
        <v>0</v>
      </c>
      <c r="L626" s="20">
        <f>IF($I626="Vencida","PAGAR JÁ (multa e juros)",IF($I626="Vence hoje","Pagar hoje",IF($I626="Vence em breve","Programar pagamento","")))</f>
        <v>0</v>
      </c>
    </row>
    <row r="627" spans="1:12">
      <c r="A627" s="13"/>
      <c r="B627" s="13"/>
      <c r="C627" s="13"/>
      <c r="D627" s="17"/>
      <c r="E627" s="18"/>
      <c r="F627" s="17"/>
      <c r="G627" s="18"/>
      <c r="H627" s="13"/>
      <c r="I627" s="19">
        <f>IF($E627="","",IF($K627&lt;=0.005,"Pago",IF($D627="","Sem vencimento",IF($D627&lt;Hoje,"Vencida",IF($D627=Hoje,"Vence hoje",IF($D627-Hoje&lt;=DiasAlerta,"Vence em breve","A vencer"))))))</f>
        <v>0</v>
      </c>
      <c r="J627" s="20">
        <f>IF(OR($E627="",$D627=""),"",IF($K627&lt;=0.005,"",$D627-Hoje))</f>
        <v>0</v>
      </c>
      <c r="K627" s="21">
        <f>IF($E627="","",MAX(0,$E627-N($G627)))</f>
        <v>0</v>
      </c>
      <c r="L627" s="20">
        <f>IF($I627="Vencida","PAGAR JÁ (multa e juros)",IF($I627="Vence hoje","Pagar hoje",IF($I627="Vence em breve","Programar pagamento","")))</f>
        <v>0</v>
      </c>
    </row>
    <row r="628" spans="1:12">
      <c r="A628" s="13"/>
      <c r="B628" s="13"/>
      <c r="C628" s="13"/>
      <c r="D628" s="17"/>
      <c r="E628" s="18"/>
      <c r="F628" s="17"/>
      <c r="G628" s="18"/>
      <c r="H628" s="13"/>
      <c r="I628" s="19">
        <f>IF($E628="","",IF($K628&lt;=0.005,"Pago",IF($D628="","Sem vencimento",IF($D628&lt;Hoje,"Vencida",IF($D628=Hoje,"Vence hoje",IF($D628-Hoje&lt;=DiasAlerta,"Vence em breve","A vencer"))))))</f>
        <v>0</v>
      </c>
      <c r="J628" s="20">
        <f>IF(OR($E628="",$D628=""),"",IF($K628&lt;=0.005,"",$D628-Hoje))</f>
        <v>0</v>
      </c>
      <c r="K628" s="21">
        <f>IF($E628="","",MAX(0,$E628-N($G628)))</f>
        <v>0</v>
      </c>
      <c r="L628" s="20">
        <f>IF($I628="Vencida","PAGAR JÁ (multa e juros)",IF($I628="Vence hoje","Pagar hoje",IF($I628="Vence em breve","Programar pagamento","")))</f>
        <v>0</v>
      </c>
    </row>
    <row r="629" spans="1:12">
      <c r="A629" s="13"/>
      <c r="B629" s="13"/>
      <c r="C629" s="13"/>
      <c r="D629" s="17"/>
      <c r="E629" s="18"/>
      <c r="F629" s="17"/>
      <c r="G629" s="18"/>
      <c r="H629" s="13"/>
      <c r="I629" s="19">
        <f>IF($E629="","",IF($K629&lt;=0.005,"Pago",IF($D629="","Sem vencimento",IF($D629&lt;Hoje,"Vencida",IF($D629=Hoje,"Vence hoje",IF($D629-Hoje&lt;=DiasAlerta,"Vence em breve","A vencer"))))))</f>
        <v>0</v>
      </c>
      <c r="J629" s="20">
        <f>IF(OR($E629="",$D629=""),"",IF($K629&lt;=0.005,"",$D629-Hoje))</f>
        <v>0</v>
      </c>
      <c r="K629" s="21">
        <f>IF($E629="","",MAX(0,$E629-N($G629)))</f>
        <v>0</v>
      </c>
      <c r="L629" s="20">
        <f>IF($I629="Vencida","PAGAR JÁ (multa e juros)",IF($I629="Vence hoje","Pagar hoje",IF($I629="Vence em breve","Programar pagamento","")))</f>
        <v>0</v>
      </c>
    </row>
    <row r="630" spans="1:12">
      <c r="A630" s="13"/>
      <c r="B630" s="13"/>
      <c r="C630" s="13"/>
      <c r="D630" s="17"/>
      <c r="E630" s="18"/>
      <c r="F630" s="17"/>
      <c r="G630" s="18"/>
      <c r="H630" s="13"/>
      <c r="I630" s="19">
        <f>IF($E630="","",IF($K630&lt;=0.005,"Pago",IF($D630="","Sem vencimento",IF($D630&lt;Hoje,"Vencida",IF($D630=Hoje,"Vence hoje",IF($D630-Hoje&lt;=DiasAlerta,"Vence em breve","A vencer"))))))</f>
        <v>0</v>
      </c>
      <c r="J630" s="20">
        <f>IF(OR($E630="",$D630=""),"",IF($K630&lt;=0.005,"",$D630-Hoje))</f>
        <v>0</v>
      </c>
      <c r="K630" s="21">
        <f>IF($E630="","",MAX(0,$E630-N($G630)))</f>
        <v>0</v>
      </c>
      <c r="L630" s="20">
        <f>IF($I630="Vencida","PAGAR JÁ (multa e juros)",IF($I630="Vence hoje","Pagar hoje",IF($I630="Vence em breve","Programar pagamento","")))</f>
        <v>0</v>
      </c>
    </row>
    <row r="631" spans="1:12">
      <c r="A631" s="13"/>
      <c r="B631" s="13"/>
      <c r="C631" s="13"/>
      <c r="D631" s="17"/>
      <c r="E631" s="18"/>
      <c r="F631" s="17"/>
      <c r="G631" s="18"/>
      <c r="H631" s="13"/>
      <c r="I631" s="19">
        <f>IF($E631="","",IF($K631&lt;=0.005,"Pago",IF($D631="","Sem vencimento",IF($D631&lt;Hoje,"Vencida",IF($D631=Hoje,"Vence hoje",IF($D631-Hoje&lt;=DiasAlerta,"Vence em breve","A vencer"))))))</f>
        <v>0</v>
      </c>
      <c r="J631" s="20">
        <f>IF(OR($E631="",$D631=""),"",IF($K631&lt;=0.005,"",$D631-Hoje))</f>
        <v>0</v>
      </c>
      <c r="K631" s="21">
        <f>IF($E631="","",MAX(0,$E631-N($G631)))</f>
        <v>0</v>
      </c>
      <c r="L631" s="20">
        <f>IF($I631="Vencida","PAGAR JÁ (multa e juros)",IF($I631="Vence hoje","Pagar hoje",IF($I631="Vence em breve","Programar pagamento","")))</f>
        <v>0</v>
      </c>
    </row>
    <row r="632" spans="1:12">
      <c r="A632" s="13"/>
      <c r="B632" s="13"/>
      <c r="C632" s="13"/>
      <c r="D632" s="17"/>
      <c r="E632" s="18"/>
      <c r="F632" s="17"/>
      <c r="G632" s="18"/>
      <c r="H632" s="13"/>
      <c r="I632" s="19">
        <f>IF($E632="","",IF($K632&lt;=0.005,"Pago",IF($D632="","Sem vencimento",IF($D632&lt;Hoje,"Vencida",IF($D632=Hoje,"Vence hoje",IF($D632-Hoje&lt;=DiasAlerta,"Vence em breve","A vencer"))))))</f>
        <v>0</v>
      </c>
      <c r="J632" s="20">
        <f>IF(OR($E632="",$D632=""),"",IF($K632&lt;=0.005,"",$D632-Hoje))</f>
        <v>0</v>
      </c>
      <c r="K632" s="21">
        <f>IF($E632="","",MAX(0,$E632-N($G632)))</f>
        <v>0</v>
      </c>
      <c r="L632" s="20">
        <f>IF($I632="Vencida","PAGAR JÁ (multa e juros)",IF($I632="Vence hoje","Pagar hoje",IF($I632="Vence em breve","Programar pagamento","")))</f>
        <v>0</v>
      </c>
    </row>
    <row r="633" spans="1:12">
      <c r="A633" s="13"/>
      <c r="B633" s="13"/>
      <c r="C633" s="13"/>
      <c r="D633" s="17"/>
      <c r="E633" s="18"/>
      <c r="F633" s="17"/>
      <c r="G633" s="18"/>
      <c r="H633" s="13"/>
      <c r="I633" s="19">
        <f>IF($E633="","",IF($K633&lt;=0.005,"Pago",IF($D633="","Sem vencimento",IF($D633&lt;Hoje,"Vencida",IF($D633=Hoje,"Vence hoje",IF($D633-Hoje&lt;=DiasAlerta,"Vence em breve","A vencer"))))))</f>
        <v>0</v>
      </c>
      <c r="J633" s="20">
        <f>IF(OR($E633="",$D633=""),"",IF($K633&lt;=0.005,"",$D633-Hoje))</f>
        <v>0</v>
      </c>
      <c r="K633" s="21">
        <f>IF($E633="","",MAX(0,$E633-N($G633)))</f>
        <v>0</v>
      </c>
      <c r="L633" s="20">
        <f>IF($I633="Vencida","PAGAR JÁ (multa e juros)",IF($I633="Vence hoje","Pagar hoje",IF($I633="Vence em breve","Programar pagamento","")))</f>
        <v>0</v>
      </c>
    </row>
    <row r="634" spans="1:12">
      <c r="A634" s="13"/>
      <c r="B634" s="13"/>
      <c r="C634" s="13"/>
      <c r="D634" s="17"/>
      <c r="E634" s="18"/>
      <c r="F634" s="17"/>
      <c r="G634" s="18"/>
      <c r="H634" s="13"/>
      <c r="I634" s="19">
        <f>IF($E634="","",IF($K634&lt;=0.005,"Pago",IF($D634="","Sem vencimento",IF($D634&lt;Hoje,"Vencida",IF($D634=Hoje,"Vence hoje",IF($D634-Hoje&lt;=DiasAlerta,"Vence em breve","A vencer"))))))</f>
        <v>0</v>
      </c>
      <c r="J634" s="20">
        <f>IF(OR($E634="",$D634=""),"",IF($K634&lt;=0.005,"",$D634-Hoje))</f>
        <v>0</v>
      </c>
      <c r="K634" s="21">
        <f>IF($E634="","",MAX(0,$E634-N($G634)))</f>
        <v>0</v>
      </c>
      <c r="L634" s="20">
        <f>IF($I634="Vencida","PAGAR JÁ (multa e juros)",IF($I634="Vence hoje","Pagar hoje",IF($I634="Vence em breve","Programar pagamento","")))</f>
        <v>0</v>
      </c>
    </row>
    <row r="635" spans="1:12">
      <c r="A635" s="13"/>
      <c r="B635" s="13"/>
      <c r="C635" s="13"/>
      <c r="D635" s="17"/>
      <c r="E635" s="18"/>
      <c r="F635" s="17"/>
      <c r="G635" s="18"/>
      <c r="H635" s="13"/>
      <c r="I635" s="19">
        <f>IF($E635="","",IF($K635&lt;=0.005,"Pago",IF($D635="","Sem vencimento",IF($D635&lt;Hoje,"Vencida",IF($D635=Hoje,"Vence hoje",IF($D635-Hoje&lt;=DiasAlerta,"Vence em breve","A vencer"))))))</f>
        <v>0</v>
      </c>
      <c r="J635" s="20">
        <f>IF(OR($E635="",$D635=""),"",IF($K635&lt;=0.005,"",$D635-Hoje))</f>
        <v>0</v>
      </c>
      <c r="K635" s="21">
        <f>IF($E635="","",MAX(0,$E635-N($G635)))</f>
        <v>0</v>
      </c>
      <c r="L635" s="20">
        <f>IF($I635="Vencida","PAGAR JÁ (multa e juros)",IF($I635="Vence hoje","Pagar hoje",IF($I635="Vence em breve","Programar pagamento","")))</f>
        <v>0</v>
      </c>
    </row>
    <row r="636" spans="1:12">
      <c r="A636" s="13"/>
      <c r="B636" s="13"/>
      <c r="C636" s="13"/>
      <c r="D636" s="17"/>
      <c r="E636" s="18"/>
      <c r="F636" s="17"/>
      <c r="G636" s="18"/>
      <c r="H636" s="13"/>
      <c r="I636" s="19">
        <f>IF($E636="","",IF($K636&lt;=0.005,"Pago",IF($D636="","Sem vencimento",IF($D636&lt;Hoje,"Vencida",IF($D636=Hoje,"Vence hoje",IF($D636-Hoje&lt;=DiasAlerta,"Vence em breve","A vencer"))))))</f>
        <v>0</v>
      </c>
      <c r="J636" s="20">
        <f>IF(OR($E636="",$D636=""),"",IF($K636&lt;=0.005,"",$D636-Hoje))</f>
        <v>0</v>
      </c>
      <c r="K636" s="21">
        <f>IF($E636="","",MAX(0,$E636-N($G636)))</f>
        <v>0</v>
      </c>
      <c r="L636" s="20">
        <f>IF($I636="Vencida","PAGAR JÁ (multa e juros)",IF($I636="Vence hoje","Pagar hoje",IF($I636="Vence em breve","Programar pagamento","")))</f>
        <v>0</v>
      </c>
    </row>
    <row r="637" spans="1:12">
      <c r="A637" s="13"/>
      <c r="B637" s="13"/>
      <c r="C637" s="13"/>
      <c r="D637" s="17"/>
      <c r="E637" s="18"/>
      <c r="F637" s="17"/>
      <c r="G637" s="18"/>
      <c r="H637" s="13"/>
      <c r="I637" s="19">
        <f>IF($E637="","",IF($K637&lt;=0.005,"Pago",IF($D637="","Sem vencimento",IF($D637&lt;Hoje,"Vencida",IF($D637=Hoje,"Vence hoje",IF($D637-Hoje&lt;=DiasAlerta,"Vence em breve","A vencer"))))))</f>
        <v>0</v>
      </c>
      <c r="J637" s="20">
        <f>IF(OR($E637="",$D637=""),"",IF($K637&lt;=0.005,"",$D637-Hoje))</f>
        <v>0</v>
      </c>
      <c r="K637" s="21">
        <f>IF($E637="","",MAX(0,$E637-N($G637)))</f>
        <v>0</v>
      </c>
      <c r="L637" s="20">
        <f>IF($I637="Vencida","PAGAR JÁ (multa e juros)",IF($I637="Vence hoje","Pagar hoje",IF($I637="Vence em breve","Programar pagamento","")))</f>
        <v>0</v>
      </c>
    </row>
    <row r="638" spans="1:12">
      <c r="A638" s="13"/>
      <c r="B638" s="13"/>
      <c r="C638" s="13"/>
      <c r="D638" s="17"/>
      <c r="E638" s="18"/>
      <c r="F638" s="17"/>
      <c r="G638" s="18"/>
      <c r="H638" s="13"/>
      <c r="I638" s="19">
        <f>IF($E638="","",IF($K638&lt;=0.005,"Pago",IF($D638="","Sem vencimento",IF($D638&lt;Hoje,"Vencida",IF($D638=Hoje,"Vence hoje",IF($D638-Hoje&lt;=DiasAlerta,"Vence em breve","A vencer"))))))</f>
        <v>0</v>
      </c>
      <c r="J638" s="20">
        <f>IF(OR($E638="",$D638=""),"",IF($K638&lt;=0.005,"",$D638-Hoje))</f>
        <v>0</v>
      </c>
      <c r="K638" s="21">
        <f>IF($E638="","",MAX(0,$E638-N($G638)))</f>
        <v>0</v>
      </c>
      <c r="L638" s="20">
        <f>IF($I638="Vencida","PAGAR JÁ (multa e juros)",IF($I638="Vence hoje","Pagar hoje",IF($I638="Vence em breve","Programar pagamento","")))</f>
        <v>0</v>
      </c>
    </row>
    <row r="639" spans="1:12">
      <c r="A639" s="13"/>
      <c r="B639" s="13"/>
      <c r="C639" s="13"/>
      <c r="D639" s="17"/>
      <c r="E639" s="18"/>
      <c r="F639" s="17"/>
      <c r="G639" s="18"/>
      <c r="H639" s="13"/>
      <c r="I639" s="19">
        <f>IF($E639="","",IF($K639&lt;=0.005,"Pago",IF($D639="","Sem vencimento",IF($D639&lt;Hoje,"Vencida",IF($D639=Hoje,"Vence hoje",IF($D639-Hoje&lt;=DiasAlerta,"Vence em breve","A vencer"))))))</f>
        <v>0</v>
      </c>
      <c r="J639" s="20">
        <f>IF(OR($E639="",$D639=""),"",IF($K639&lt;=0.005,"",$D639-Hoje))</f>
        <v>0</v>
      </c>
      <c r="K639" s="21">
        <f>IF($E639="","",MAX(0,$E639-N($G639)))</f>
        <v>0</v>
      </c>
      <c r="L639" s="20">
        <f>IF($I639="Vencida","PAGAR JÁ (multa e juros)",IF($I639="Vence hoje","Pagar hoje",IF($I639="Vence em breve","Programar pagamento","")))</f>
        <v>0</v>
      </c>
    </row>
    <row r="640" spans="1:12">
      <c r="A640" s="13"/>
      <c r="B640" s="13"/>
      <c r="C640" s="13"/>
      <c r="D640" s="17"/>
      <c r="E640" s="18"/>
      <c r="F640" s="17"/>
      <c r="G640" s="18"/>
      <c r="H640" s="13"/>
      <c r="I640" s="19">
        <f>IF($E640="","",IF($K640&lt;=0.005,"Pago",IF($D640="","Sem vencimento",IF($D640&lt;Hoje,"Vencida",IF($D640=Hoje,"Vence hoje",IF($D640-Hoje&lt;=DiasAlerta,"Vence em breve","A vencer"))))))</f>
        <v>0</v>
      </c>
      <c r="J640" s="20">
        <f>IF(OR($E640="",$D640=""),"",IF($K640&lt;=0.005,"",$D640-Hoje))</f>
        <v>0</v>
      </c>
      <c r="K640" s="21">
        <f>IF($E640="","",MAX(0,$E640-N($G640)))</f>
        <v>0</v>
      </c>
      <c r="L640" s="20">
        <f>IF($I640="Vencida","PAGAR JÁ (multa e juros)",IF($I640="Vence hoje","Pagar hoje",IF($I640="Vence em breve","Programar pagamento","")))</f>
        <v>0</v>
      </c>
    </row>
    <row r="641" spans="1:12">
      <c r="A641" s="13"/>
      <c r="B641" s="13"/>
      <c r="C641" s="13"/>
      <c r="D641" s="17"/>
      <c r="E641" s="18"/>
      <c r="F641" s="17"/>
      <c r="G641" s="18"/>
      <c r="H641" s="13"/>
      <c r="I641" s="19">
        <f>IF($E641="","",IF($K641&lt;=0.005,"Pago",IF($D641="","Sem vencimento",IF($D641&lt;Hoje,"Vencida",IF($D641=Hoje,"Vence hoje",IF($D641-Hoje&lt;=DiasAlerta,"Vence em breve","A vencer"))))))</f>
        <v>0</v>
      </c>
      <c r="J641" s="20">
        <f>IF(OR($E641="",$D641=""),"",IF($K641&lt;=0.005,"",$D641-Hoje))</f>
        <v>0</v>
      </c>
      <c r="K641" s="21">
        <f>IF($E641="","",MAX(0,$E641-N($G641)))</f>
        <v>0</v>
      </c>
      <c r="L641" s="20">
        <f>IF($I641="Vencida","PAGAR JÁ (multa e juros)",IF($I641="Vence hoje","Pagar hoje",IF($I641="Vence em breve","Programar pagamento","")))</f>
        <v>0</v>
      </c>
    </row>
    <row r="642" spans="1:12">
      <c r="A642" s="13"/>
      <c r="B642" s="13"/>
      <c r="C642" s="13"/>
      <c r="D642" s="17"/>
      <c r="E642" s="18"/>
      <c r="F642" s="17"/>
      <c r="G642" s="18"/>
      <c r="H642" s="13"/>
      <c r="I642" s="19">
        <f>IF($E642="","",IF($K642&lt;=0.005,"Pago",IF($D642="","Sem vencimento",IF($D642&lt;Hoje,"Vencida",IF($D642=Hoje,"Vence hoje",IF($D642-Hoje&lt;=DiasAlerta,"Vence em breve","A vencer"))))))</f>
        <v>0</v>
      </c>
      <c r="J642" s="20">
        <f>IF(OR($E642="",$D642=""),"",IF($K642&lt;=0.005,"",$D642-Hoje))</f>
        <v>0</v>
      </c>
      <c r="K642" s="21">
        <f>IF($E642="","",MAX(0,$E642-N($G642)))</f>
        <v>0</v>
      </c>
      <c r="L642" s="20">
        <f>IF($I642="Vencida","PAGAR JÁ (multa e juros)",IF($I642="Vence hoje","Pagar hoje",IF($I642="Vence em breve","Programar pagamento","")))</f>
        <v>0</v>
      </c>
    </row>
    <row r="643" spans="1:12">
      <c r="A643" s="13"/>
      <c r="B643" s="13"/>
      <c r="C643" s="13"/>
      <c r="D643" s="17"/>
      <c r="E643" s="18"/>
      <c r="F643" s="17"/>
      <c r="G643" s="18"/>
      <c r="H643" s="13"/>
      <c r="I643" s="19">
        <f>IF($E643="","",IF($K643&lt;=0.005,"Pago",IF($D643="","Sem vencimento",IF($D643&lt;Hoje,"Vencida",IF($D643=Hoje,"Vence hoje",IF($D643-Hoje&lt;=DiasAlerta,"Vence em breve","A vencer"))))))</f>
        <v>0</v>
      </c>
      <c r="J643" s="20">
        <f>IF(OR($E643="",$D643=""),"",IF($K643&lt;=0.005,"",$D643-Hoje))</f>
        <v>0</v>
      </c>
      <c r="K643" s="21">
        <f>IF($E643="","",MAX(0,$E643-N($G643)))</f>
        <v>0</v>
      </c>
      <c r="L643" s="20">
        <f>IF($I643="Vencida","PAGAR JÁ (multa e juros)",IF($I643="Vence hoje","Pagar hoje",IF($I643="Vence em breve","Programar pagamento","")))</f>
        <v>0</v>
      </c>
    </row>
    <row r="644" spans="1:12">
      <c r="A644" s="13"/>
      <c r="B644" s="13"/>
      <c r="C644" s="13"/>
      <c r="D644" s="17"/>
      <c r="E644" s="18"/>
      <c r="F644" s="17"/>
      <c r="G644" s="18"/>
      <c r="H644" s="13"/>
      <c r="I644" s="19">
        <f>IF($E644="","",IF($K644&lt;=0.005,"Pago",IF($D644="","Sem vencimento",IF($D644&lt;Hoje,"Vencida",IF($D644=Hoje,"Vence hoje",IF($D644-Hoje&lt;=DiasAlerta,"Vence em breve","A vencer"))))))</f>
        <v>0</v>
      </c>
      <c r="J644" s="20">
        <f>IF(OR($E644="",$D644=""),"",IF($K644&lt;=0.005,"",$D644-Hoje))</f>
        <v>0</v>
      </c>
      <c r="K644" s="21">
        <f>IF($E644="","",MAX(0,$E644-N($G644)))</f>
        <v>0</v>
      </c>
      <c r="L644" s="20">
        <f>IF($I644="Vencida","PAGAR JÁ (multa e juros)",IF($I644="Vence hoje","Pagar hoje",IF($I644="Vence em breve","Programar pagamento","")))</f>
        <v>0</v>
      </c>
    </row>
    <row r="645" spans="1:12">
      <c r="A645" s="13"/>
      <c r="B645" s="13"/>
      <c r="C645" s="13"/>
      <c r="D645" s="17"/>
      <c r="E645" s="18"/>
      <c r="F645" s="17"/>
      <c r="G645" s="18"/>
      <c r="H645" s="13"/>
      <c r="I645" s="19">
        <f>IF($E645="","",IF($K645&lt;=0.005,"Pago",IF($D645="","Sem vencimento",IF($D645&lt;Hoje,"Vencida",IF($D645=Hoje,"Vence hoje",IF($D645-Hoje&lt;=DiasAlerta,"Vence em breve","A vencer"))))))</f>
        <v>0</v>
      </c>
      <c r="J645" s="20">
        <f>IF(OR($E645="",$D645=""),"",IF($K645&lt;=0.005,"",$D645-Hoje))</f>
        <v>0</v>
      </c>
      <c r="K645" s="21">
        <f>IF($E645="","",MAX(0,$E645-N($G645)))</f>
        <v>0</v>
      </c>
      <c r="L645" s="20">
        <f>IF($I645="Vencida","PAGAR JÁ (multa e juros)",IF($I645="Vence hoje","Pagar hoje",IF($I645="Vence em breve","Programar pagamento","")))</f>
        <v>0</v>
      </c>
    </row>
    <row r="646" spans="1:12">
      <c r="A646" s="13"/>
      <c r="B646" s="13"/>
      <c r="C646" s="13"/>
      <c r="D646" s="17"/>
      <c r="E646" s="18"/>
      <c r="F646" s="17"/>
      <c r="G646" s="18"/>
      <c r="H646" s="13"/>
      <c r="I646" s="19">
        <f>IF($E646="","",IF($K646&lt;=0.005,"Pago",IF($D646="","Sem vencimento",IF($D646&lt;Hoje,"Vencida",IF($D646=Hoje,"Vence hoje",IF($D646-Hoje&lt;=DiasAlerta,"Vence em breve","A vencer"))))))</f>
        <v>0</v>
      </c>
      <c r="J646" s="20">
        <f>IF(OR($E646="",$D646=""),"",IF($K646&lt;=0.005,"",$D646-Hoje))</f>
        <v>0</v>
      </c>
      <c r="K646" s="21">
        <f>IF($E646="","",MAX(0,$E646-N($G646)))</f>
        <v>0</v>
      </c>
      <c r="L646" s="20">
        <f>IF($I646="Vencida","PAGAR JÁ (multa e juros)",IF($I646="Vence hoje","Pagar hoje",IF($I646="Vence em breve","Programar pagamento","")))</f>
        <v>0</v>
      </c>
    </row>
    <row r="647" spans="1:12">
      <c r="A647" s="13"/>
      <c r="B647" s="13"/>
      <c r="C647" s="13"/>
      <c r="D647" s="17"/>
      <c r="E647" s="18"/>
      <c r="F647" s="17"/>
      <c r="G647" s="18"/>
      <c r="H647" s="13"/>
      <c r="I647" s="19">
        <f>IF($E647="","",IF($K647&lt;=0.005,"Pago",IF($D647="","Sem vencimento",IF($D647&lt;Hoje,"Vencida",IF($D647=Hoje,"Vence hoje",IF($D647-Hoje&lt;=DiasAlerta,"Vence em breve","A vencer"))))))</f>
        <v>0</v>
      </c>
      <c r="J647" s="20">
        <f>IF(OR($E647="",$D647=""),"",IF($K647&lt;=0.005,"",$D647-Hoje))</f>
        <v>0</v>
      </c>
      <c r="K647" s="21">
        <f>IF($E647="","",MAX(0,$E647-N($G647)))</f>
        <v>0</v>
      </c>
      <c r="L647" s="20">
        <f>IF($I647="Vencida","PAGAR JÁ (multa e juros)",IF($I647="Vence hoje","Pagar hoje",IF($I647="Vence em breve","Programar pagamento","")))</f>
        <v>0</v>
      </c>
    </row>
    <row r="648" spans="1:12">
      <c r="A648" s="13"/>
      <c r="B648" s="13"/>
      <c r="C648" s="13"/>
      <c r="D648" s="17"/>
      <c r="E648" s="18"/>
      <c r="F648" s="17"/>
      <c r="G648" s="18"/>
      <c r="H648" s="13"/>
      <c r="I648" s="19">
        <f>IF($E648="","",IF($K648&lt;=0.005,"Pago",IF($D648="","Sem vencimento",IF($D648&lt;Hoje,"Vencida",IF($D648=Hoje,"Vence hoje",IF($D648-Hoje&lt;=DiasAlerta,"Vence em breve","A vencer"))))))</f>
        <v>0</v>
      </c>
      <c r="J648" s="20">
        <f>IF(OR($E648="",$D648=""),"",IF($K648&lt;=0.005,"",$D648-Hoje))</f>
        <v>0</v>
      </c>
      <c r="K648" s="21">
        <f>IF($E648="","",MAX(0,$E648-N($G648)))</f>
        <v>0</v>
      </c>
      <c r="L648" s="20">
        <f>IF($I648="Vencida","PAGAR JÁ (multa e juros)",IF($I648="Vence hoje","Pagar hoje",IF($I648="Vence em breve","Programar pagamento","")))</f>
        <v>0</v>
      </c>
    </row>
    <row r="649" spans="1:12">
      <c r="A649" s="13"/>
      <c r="B649" s="13"/>
      <c r="C649" s="13"/>
      <c r="D649" s="17"/>
      <c r="E649" s="18"/>
      <c r="F649" s="17"/>
      <c r="G649" s="18"/>
      <c r="H649" s="13"/>
      <c r="I649" s="19">
        <f>IF($E649="","",IF($K649&lt;=0.005,"Pago",IF($D649="","Sem vencimento",IF($D649&lt;Hoje,"Vencida",IF($D649=Hoje,"Vence hoje",IF($D649-Hoje&lt;=DiasAlerta,"Vence em breve","A vencer"))))))</f>
        <v>0</v>
      </c>
      <c r="J649" s="20">
        <f>IF(OR($E649="",$D649=""),"",IF($K649&lt;=0.005,"",$D649-Hoje))</f>
        <v>0</v>
      </c>
      <c r="K649" s="21">
        <f>IF($E649="","",MAX(0,$E649-N($G649)))</f>
        <v>0</v>
      </c>
      <c r="L649" s="20">
        <f>IF($I649="Vencida","PAGAR JÁ (multa e juros)",IF($I649="Vence hoje","Pagar hoje",IF($I649="Vence em breve","Programar pagamento","")))</f>
        <v>0</v>
      </c>
    </row>
    <row r="650" spans="1:12">
      <c r="A650" s="13"/>
      <c r="B650" s="13"/>
      <c r="C650" s="13"/>
      <c r="D650" s="17"/>
      <c r="E650" s="18"/>
      <c r="F650" s="17"/>
      <c r="G650" s="18"/>
      <c r="H650" s="13"/>
      <c r="I650" s="19">
        <f>IF($E650="","",IF($K650&lt;=0.005,"Pago",IF($D650="","Sem vencimento",IF($D650&lt;Hoje,"Vencida",IF($D650=Hoje,"Vence hoje",IF($D650-Hoje&lt;=DiasAlerta,"Vence em breve","A vencer"))))))</f>
        <v>0</v>
      </c>
      <c r="J650" s="20">
        <f>IF(OR($E650="",$D650=""),"",IF($K650&lt;=0.005,"",$D650-Hoje))</f>
        <v>0</v>
      </c>
      <c r="K650" s="21">
        <f>IF($E650="","",MAX(0,$E650-N($G650)))</f>
        <v>0</v>
      </c>
      <c r="L650" s="20">
        <f>IF($I650="Vencida","PAGAR JÁ (multa e juros)",IF($I650="Vence hoje","Pagar hoje",IF($I650="Vence em breve","Programar pagamento","")))</f>
        <v>0</v>
      </c>
    </row>
    <row r="651" spans="1:12">
      <c r="A651" s="13"/>
      <c r="B651" s="13"/>
      <c r="C651" s="13"/>
      <c r="D651" s="17"/>
      <c r="E651" s="18"/>
      <c r="F651" s="17"/>
      <c r="G651" s="18"/>
      <c r="H651" s="13"/>
      <c r="I651" s="19">
        <f>IF($E651="","",IF($K651&lt;=0.005,"Pago",IF($D651="","Sem vencimento",IF($D651&lt;Hoje,"Vencida",IF($D651=Hoje,"Vence hoje",IF($D651-Hoje&lt;=DiasAlerta,"Vence em breve","A vencer"))))))</f>
        <v>0</v>
      </c>
      <c r="J651" s="20">
        <f>IF(OR($E651="",$D651=""),"",IF($K651&lt;=0.005,"",$D651-Hoje))</f>
        <v>0</v>
      </c>
      <c r="K651" s="21">
        <f>IF($E651="","",MAX(0,$E651-N($G651)))</f>
        <v>0</v>
      </c>
      <c r="L651" s="20">
        <f>IF($I651="Vencida","PAGAR JÁ (multa e juros)",IF($I651="Vence hoje","Pagar hoje",IF($I651="Vence em breve","Programar pagamento","")))</f>
        <v>0</v>
      </c>
    </row>
    <row r="652" spans="1:12">
      <c r="A652" s="13"/>
      <c r="B652" s="13"/>
      <c r="C652" s="13"/>
      <c r="D652" s="17"/>
      <c r="E652" s="18"/>
      <c r="F652" s="17"/>
      <c r="G652" s="18"/>
      <c r="H652" s="13"/>
      <c r="I652" s="19">
        <f>IF($E652="","",IF($K652&lt;=0.005,"Pago",IF($D652="","Sem vencimento",IF($D652&lt;Hoje,"Vencida",IF($D652=Hoje,"Vence hoje",IF($D652-Hoje&lt;=DiasAlerta,"Vence em breve","A vencer"))))))</f>
        <v>0</v>
      </c>
      <c r="J652" s="20">
        <f>IF(OR($E652="",$D652=""),"",IF($K652&lt;=0.005,"",$D652-Hoje))</f>
        <v>0</v>
      </c>
      <c r="K652" s="21">
        <f>IF($E652="","",MAX(0,$E652-N($G652)))</f>
        <v>0</v>
      </c>
      <c r="L652" s="20">
        <f>IF($I652="Vencida","PAGAR JÁ (multa e juros)",IF($I652="Vence hoje","Pagar hoje",IF($I652="Vence em breve","Programar pagamento","")))</f>
        <v>0</v>
      </c>
    </row>
    <row r="653" spans="1:12">
      <c r="A653" s="13"/>
      <c r="B653" s="13"/>
      <c r="C653" s="13"/>
      <c r="D653" s="17"/>
      <c r="E653" s="18"/>
      <c r="F653" s="17"/>
      <c r="G653" s="18"/>
      <c r="H653" s="13"/>
      <c r="I653" s="19">
        <f>IF($E653="","",IF($K653&lt;=0.005,"Pago",IF($D653="","Sem vencimento",IF($D653&lt;Hoje,"Vencida",IF($D653=Hoje,"Vence hoje",IF($D653-Hoje&lt;=DiasAlerta,"Vence em breve","A vencer"))))))</f>
        <v>0</v>
      </c>
      <c r="J653" s="20">
        <f>IF(OR($E653="",$D653=""),"",IF($K653&lt;=0.005,"",$D653-Hoje))</f>
        <v>0</v>
      </c>
      <c r="K653" s="21">
        <f>IF($E653="","",MAX(0,$E653-N($G653)))</f>
        <v>0</v>
      </c>
      <c r="L653" s="20">
        <f>IF($I653="Vencida","PAGAR JÁ (multa e juros)",IF($I653="Vence hoje","Pagar hoje",IF($I653="Vence em breve","Programar pagamento","")))</f>
        <v>0</v>
      </c>
    </row>
    <row r="654" spans="1:12">
      <c r="A654" s="13"/>
      <c r="B654" s="13"/>
      <c r="C654" s="13"/>
      <c r="D654" s="17"/>
      <c r="E654" s="18"/>
      <c r="F654" s="17"/>
      <c r="G654" s="18"/>
      <c r="H654" s="13"/>
      <c r="I654" s="19">
        <f>IF($E654="","",IF($K654&lt;=0.005,"Pago",IF($D654="","Sem vencimento",IF($D654&lt;Hoje,"Vencida",IF($D654=Hoje,"Vence hoje",IF($D654-Hoje&lt;=DiasAlerta,"Vence em breve","A vencer"))))))</f>
        <v>0</v>
      </c>
      <c r="J654" s="20">
        <f>IF(OR($E654="",$D654=""),"",IF($K654&lt;=0.005,"",$D654-Hoje))</f>
        <v>0</v>
      </c>
      <c r="K654" s="21">
        <f>IF($E654="","",MAX(0,$E654-N($G654)))</f>
        <v>0</v>
      </c>
      <c r="L654" s="20">
        <f>IF($I654="Vencida","PAGAR JÁ (multa e juros)",IF($I654="Vence hoje","Pagar hoje",IF($I654="Vence em breve","Programar pagamento","")))</f>
        <v>0</v>
      </c>
    </row>
    <row r="655" spans="1:12">
      <c r="A655" s="13"/>
      <c r="B655" s="13"/>
      <c r="C655" s="13"/>
      <c r="D655" s="17"/>
      <c r="E655" s="18"/>
      <c r="F655" s="17"/>
      <c r="G655" s="18"/>
      <c r="H655" s="13"/>
      <c r="I655" s="19">
        <f>IF($E655="","",IF($K655&lt;=0.005,"Pago",IF($D655="","Sem vencimento",IF($D655&lt;Hoje,"Vencida",IF($D655=Hoje,"Vence hoje",IF($D655-Hoje&lt;=DiasAlerta,"Vence em breve","A vencer"))))))</f>
        <v>0</v>
      </c>
      <c r="J655" s="20">
        <f>IF(OR($E655="",$D655=""),"",IF($K655&lt;=0.005,"",$D655-Hoje))</f>
        <v>0</v>
      </c>
      <c r="K655" s="21">
        <f>IF($E655="","",MAX(0,$E655-N($G655)))</f>
        <v>0</v>
      </c>
      <c r="L655" s="20">
        <f>IF($I655="Vencida","PAGAR JÁ (multa e juros)",IF($I655="Vence hoje","Pagar hoje",IF($I655="Vence em breve","Programar pagamento","")))</f>
        <v>0</v>
      </c>
    </row>
    <row r="656" spans="1:12">
      <c r="A656" s="13"/>
      <c r="B656" s="13"/>
      <c r="C656" s="13"/>
      <c r="D656" s="17"/>
      <c r="E656" s="18"/>
      <c r="F656" s="17"/>
      <c r="G656" s="18"/>
      <c r="H656" s="13"/>
      <c r="I656" s="19">
        <f>IF($E656="","",IF($K656&lt;=0.005,"Pago",IF($D656="","Sem vencimento",IF($D656&lt;Hoje,"Vencida",IF($D656=Hoje,"Vence hoje",IF($D656-Hoje&lt;=DiasAlerta,"Vence em breve","A vencer"))))))</f>
        <v>0</v>
      </c>
      <c r="J656" s="20">
        <f>IF(OR($E656="",$D656=""),"",IF($K656&lt;=0.005,"",$D656-Hoje))</f>
        <v>0</v>
      </c>
      <c r="K656" s="21">
        <f>IF($E656="","",MAX(0,$E656-N($G656)))</f>
        <v>0</v>
      </c>
      <c r="L656" s="20">
        <f>IF($I656="Vencida","PAGAR JÁ (multa e juros)",IF($I656="Vence hoje","Pagar hoje",IF($I656="Vence em breve","Programar pagamento","")))</f>
        <v>0</v>
      </c>
    </row>
    <row r="657" spans="1:12">
      <c r="A657" s="13"/>
      <c r="B657" s="13"/>
      <c r="C657" s="13"/>
      <c r="D657" s="17"/>
      <c r="E657" s="18"/>
      <c r="F657" s="17"/>
      <c r="G657" s="18"/>
      <c r="H657" s="13"/>
      <c r="I657" s="19">
        <f>IF($E657="","",IF($K657&lt;=0.005,"Pago",IF($D657="","Sem vencimento",IF($D657&lt;Hoje,"Vencida",IF($D657=Hoje,"Vence hoje",IF($D657-Hoje&lt;=DiasAlerta,"Vence em breve","A vencer"))))))</f>
        <v>0</v>
      </c>
      <c r="J657" s="20">
        <f>IF(OR($E657="",$D657=""),"",IF($K657&lt;=0.005,"",$D657-Hoje))</f>
        <v>0</v>
      </c>
      <c r="K657" s="21">
        <f>IF($E657="","",MAX(0,$E657-N($G657)))</f>
        <v>0</v>
      </c>
      <c r="L657" s="20">
        <f>IF($I657="Vencida","PAGAR JÁ (multa e juros)",IF($I657="Vence hoje","Pagar hoje",IF($I657="Vence em breve","Programar pagamento","")))</f>
        <v>0</v>
      </c>
    </row>
    <row r="658" spans="1:12">
      <c r="A658" s="13"/>
      <c r="B658" s="13"/>
      <c r="C658" s="13"/>
      <c r="D658" s="17"/>
      <c r="E658" s="18"/>
      <c r="F658" s="17"/>
      <c r="G658" s="18"/>
      <c r="H658" s="13"/>
      <c r="I658" s="19">
        <f>IF($E658="","",IF($K658&lt;=0.005,"Pago",IF($D658="","Sem vencimento",IF($D658&lt;Hoje,"Vencida",IF($D658=Hoje,"Vence hoje",IF($D658-Hoje&lt;=DiasAlerta,"Vence em breve","A vencer"))))))</f>
        <v>0</v>
      </c>
      <c r="J658" s="20">
        <f>IF(OR($E658="",$D658=""),"",IF($K658&lt;=0.005,"",$D658-Hoje))</f>
        <v>0</v>
      </c>
      <c r="K658" s="21">
        <f>IF($E658="","",MAX(0,$E658-N($G658)))</f>
        <v>0</v>
      </c>
      <c r="L658" s="20">
        <f>IF($I658="Vencida","PAGAR JÁ (multa e juros)",IF($I658="Vence hoje","Pagar hoje",IF($I658="Vence em breve","Programar pagamento","")))</f>
        <v>0</v>
      </c>
    </row>
    <row r="659" spans="1:12">
      <c r="A659" s="13"/>
      <c r="B659" s="13"/>
      <c r="C659" s="13"/>
      <c r="D659" s="17"/>
      <c r="E659" s="18"/>
      <c r="F659" s="17"/>
      <c r="G659" s="18"/>
      <c r="H659" s="13"/>
      <c r="I659" s="19">
        <f>IF($E659="","",IF($K659&lt;=0.005,"Pago",IF($D659="","Sem vencimento",IF($D659&lt;Hoje,"Vencida",IF($D659=Hoje,"Vence hoje",IF($D659-Hoje&lt;=DiasAlerta,"Vence em breve","A vencer"))))))</f>
        <v>0</v>
      </c>
      <c r="J659" s="20">
        <f>IF(OR($E659="",$D659=""),"",IF($K659&lt;=0.005,"",$D659-Hoje))</f>
        <v>0</v>
      </c>
      <c r="K659" s="21">
        <f>IF($E659="","",MAX(0,$E659-N($G659)))</f>
        <v>0</v>
      </c>
      <c r="L659" s="20">
        <f>IF($I659="Vencida","PAGAR JÁ (multa e juros)",IF($I659="Vence hoje","Pagar hoje",IF($I659="Vence em breve","Programar pagamento","")))</f>
        <v>0</v>
      </c>
    </row>
    <row r="660" spans="1:12">
      <c r="A660" s="13"/>
      <c r="B660" s="13"/>
      <c r="C660" s="13"/>
      <c r="D660" s="17"/>
      <c r="E660" s="18"/>
      <c r="F660" s="17"/>
      <c r="G660" s="18"/>
      <c r="H660" s="13"/>
      <c r="I660" s="19">
        <f>IF($E660="","",IF($K660&lt;=0.005,"Pago",IF($D660="","Sem vencimento",IF($D660&lt;Hoje,"Vencida",IF($D660=Hoje,"Vence hoje",IF($D660-Hoje&lt;=DiasAlerta,"Vence em breve","A vencer"))))))</f>
        <v>0</v>
      </c>
      <c r="J660" s="20">
        <f>IF(OR($E660="",$D660=""),"",IF($K660&lt;=0.005,"",$D660-Hoje))</f>
        <v>0</v>
      </c>
      <c r="K660" s="21">
        <f>IF($E660="","",MAX(0,$E660-N($G660)))</f>
        <v>0</v>
      </c>
      <c r="L660" s="20">
        <f>IF($I660="Vencida","PAGAR JÁ (multa e juros)",IF($I660="Vence hoje","Pagar hoje",IF($I660="Vence em breve","Programar pagamento","")))</f>
        <v>0</v>
      </c>
    </row>
    <row r="661" spans="1:12">
      <c r="A661" s="13"/>
      <c r="B661" s="13"/>
      <c r="C661" s="13"/>
      <c r="D661" s="17"/>
      <c r="E661" s="18"/>
      <c r="F661" s="17"/>
      <c r="G661" s="18"/>
      <c r="H661" s="13"/>
      <c r="I661" s="19">
        <f>IF($E661="","",IF($K661&lt;=0.005,"Pago",IF($D661="","Sem vencimento",IF($D661&lt;Hoje,"Vencida",IF($D661=Hoje,"Vence hoje",IF($D661-Hoje&lt;=DiasAlerta,"Vence em breve","A vencer"))))))</f>
        <v>0</v>
      </c>
      <c r="J661" s="20">
        <f>IF(OR($E661="",$D661=""),"",IF($K661&lt;=0.005,"",$D661-Hoje))</f>
        <v>0</v>
      </c>
      <c r="K661" s="21">
        <f>IF($E661="","",MAX(0,$E661-N($G661)))</f>
        <v>0</v>
      </c>
      <c r="L661" s="20">
        <f>IF($I661="Vencida","PAGAR JÁ (multa e juros)",IF($I661="Vence hoje","Pagar hoje",IF($I661="Vence em breve","Programar pagamento","")))</f>
        <v>0</v>
      </c>
    </row>
    <row r="662" spans="1:12">
      <c r="A662" s="13"/>
      <c r="B662" s="13"/>
      <c r="C662" s="13"/>
      <c r="D662" s="17"/>
      <c r="E662" s="18"/>
      <c r="F662" s="17"/>
      <c r="G662" s="18"/>
      <c r="H662" s="13"/>
      <c r="I662" s="19">
        <f>IF($E662="","",IF($K662&lt;=0.005,"Pago",IF($D662="","Sem vencimento",IF($D662&lt;Hoje,"Vencida",IF($D662=Hoje,"Vence hoje",IF($D662-Hoje&lt;=DiasAlerta,"Vence em breve","A vencer"))))))</f>
        <v>0</v>
      </c>
      <c r="J662" s="20">
        <f>IF(OR($E662="",$D662=""),"",IF($K662&lt;=0.005,"",$D662-Hoje))</f>
        <v>0</v>
      </c>
      <c r="K662" s="21">
        <f>IF($E662="","",MAX(0,$E662-N($G662)))</f>
        <v>0</v>
      </c>
      <c r="L662" s="20">
        <f>IF($I662="Vencida","PAGAR JÁ (multa e juros)",IF($I662="Vence hoje","Pagar hoje",IF($I662="Vence em breve","Programar pagamento","")))</f>
        <v>0</v>
      </c>
    </row>
    <row r="663" spans="1:12">
      <c r="A663" s="13"/>
      <c r="B663" s="13"/>
      <c r="C663" s="13"/>
      <c r="D663" s="17"/>
      <c r="E663" s="18"/>
      <c r="F663" s="17"/>
      <c r="G663" s="18"/>
      <c r="H663" s="13"/>
      <c r="I663" s="19">
        <f>IF($E663="","",IF($K663&lt;=0.005,"Pago",IF($D663="","Sem vencimento",IF($D663&lt;Hoje,"Vencida",IF($D663=Hoje,"Vence hoje",IF($D663-Hoje&lt;=DiasAlerta,"Vence em breve","A vencer"))))))</f>
        <v>0</v>
      </c>
      <c r="J663" s="20">
        <f>IF(OR($E663="",$D663=""),"",IF($K663&lt;=0.005,"",$D663-Hoje))</f>
        <v>0</v>
      </c>
      <c r="K663" s="21">
        <f>IF($E663="","",MAX(0,$E663-N($G663)))</f>
        <v>0</v>
      </c>
      <c r="L663" s="20">
        <f>IF($I663="Vencida","PAGAR JÁ (multa e juros)",IF($I663="Vence hoje","Pagar hoje",IF($I663="Vence em breve","Programar pagamento","")))</f>
        <v>0</v>
      </c>
    </row>
    <row r="664" spans="1:12">
      <c r="A664" s="13"/>
      <c r="B664" s="13"/>
      <c r="C664" s="13"/>
      <c r="D664" s="17"/>
      <c r="E664" s="18"/>
      <c r="F664" s="17"/>
      <c r="G664" s="18"/>
      <c r="H664" s="13"/>
      <c r="I664" s="19">
        <f>IF($E664="","",IF($K664&lt;=0.005,"Pago",IF($D664="","Sem vencimento",IF($D664&lt;Hoje,"Vencida",IF($D664=Hoje,"Vence hoje",IF($D664-Hoje&lt;=DiasAlerta,"Vence em breve","A vencer"))))))</f>
        <v>0</v>
      </c>
      <c r="J664" s="20">
        <f>IF(OR($E664="",$D664=""),"",IF($K664&lt;=0.005,"",$D664-Hoje))</f>
        <v>0</v>
      </c>
      <c r="K664" s="21">
        <f>IF($E664="","",MAX(0,$E664-N($G664)))</f>
        <v>0</v>
      </c>
      <c r="L664" s="20">
        <f>IF($I664="Vencida","PAGAR JÁ (multa e juros)",IF($I664="Vence hoje","Pagar hoje",IF($I664="Vence em breve","Programar pagamento","")))</f>
        <v>0</v>
      </c>
    </row>
    <row r="665" spans="1:12">
      <c r="A665" s="13"/>
      <c r="B665" s="13"/>
      <c r="C665" s="13"/>
      <c r="D665" s="17"/>
      <c r="E665" s="18"/>
      <c r="F665" s="17"/>
      <c r="G665" s="18"/>
      <c r="H665" s="13"/>
      <c r="I665" s="19">
        <f>IF($E665="","",IF($K665&lt;=0.005,"Pago",IF($D665="","Sem vencimento",IF($D665&lt;Hoje,"Vencida",IF($D665=Hoje,"Vence hoje",IF($D665-Hoje&lt;=DiasAlerta,"Vence em breve","A vencer"))))))</f>
        <v>0</v>
      </c>
      <c r="J665" s="20">
        <f>IF(OR($E665="",$D665=""),"",IF($K665&lt;=0.005,"",$D665-Hoje))</f>
        <v>0</v>
      </c>
      <c r="K665" s="21">
        <f>IF($E665="","",MAX(0,$E665-N($G665)))</f>
        <v>0</v>
      </c>
      <c r="L665" s="20">
        <f>IF($I665="Vencida","PAGAR JÁ (multa e juros)",IF($I665="Vence hoje","Pagar hoje",IF($I665="Vence em breve","Programar pagamento","")))</f>
        <v>0</v>
      </c>
    </row>
    <row r="666" spans="1:12">
      <c r="A666" s="13"/>
      <c r="B666" s="13"/>
      <c r="C666" s="13"/>
      <c r="D666" s="17"/>
      <c r="E666" s="18"/>
      <c r="F666" s="17"/>
      <c r="G666" s="18"/>
      <c r="H666" s="13"/>
      <c r="I666" s="19">
        <f>IF($E666="","",IF($K666&lt;=0.005,"Pago",IF($D666="","Sem vencimento",IF($D666&lt;Hoje,"Vencida",IF($D666=Hoje,"Vence hoje",IF($D666-Hoje&lt;=DiasAlerta,"Vence em breve","A vencer"))))))</f>
        <v>0</v>
      </c>
      <c r="J666" s="20">
        <f>IF(OR($E666="",$D666=""),"",IF($K666&lt;=0.005,"",$D666-Hoje))</f>
        <v>0</v>
      </c>
      <c r="K666" s="21">
        <f>IF($E666="","",MAX(0,$E666-N($G666)))</f>
        <v>0</v>
      </c>
      <c r="L666" s="20">
        <f>IF($I666="Vencida","PAGAR JÁ (multa e juros)",IF($I666="Vence hoje","Pagar hoje",IF($I666="Vence em breve","Programar pagamento","")))</f>
        <v>0</v>
      </c>
    </row>
    <row r="667" spans="1:12">
      <c r="A667" s="13"/>
      <c r="B667" s="13"/>
      <c r="C667" s="13"/>
      <c r="D667" s="17"/>
      <c r="E667" s="18"/>
      <c r="F667" s="17"/>
      <c r="G667" s="18"/>
      <c r="H667" s="13"/>
      <c r="I667" s="19">
        <f>IF($E667="","",IF($K667&lt;=0.005,"Pago",IF($D667="","Sem vencimento",IF($D667&lt;Hoje,"Vencida",IF($D667=Hoje,"Vence hoje",IF($D667-Hoje&lt;=DiasAlerta,"Vence em breve","A vencer"))))))</f>
        <v>0</v>
      </c>
      <c r="J667" s="20">
        <f>IF(OR($E667="",$D667=""),"",IF($K667&lt;=0.005,"",$D667-Hoje))</f>
        <v>0</v>
      </c>
      <c r="K667" s="21">
        <f>IF($E667="","",MAX(0,$E667-N($G667)))</f>
        <v>0</v>
      </c>
      <c r="L667" s="20">
        <f>IF($I667="Vencida","PAGAR JÁ (multa e juros)",IF($I667="Vence hoje","Pagar hoje",IF($I667="Vence em breve","Programar pagamento","")))</f>
        <v>0</v>
      </c>
    </row>
    <row r="668" spans="1:12">
      <c r="A668" s="13"/>
      <c r="B668" s="13"/>
      <c r="C668" s="13"/>
      <c r="D668" s="17"/>
      <c r="E668" s="18"/>
      <c r="F668" s="17"/>
      <c r="G668" s="18"/>
      <c r="H668" s="13"/>
      <c r="I668" s="19">
        <f>IF($E668="","",IF($K668&lt;=0.005,"Pago",IF($D668="","Sem vencimento",IF($D668&lt;Hoje,"Vencida",IF($D668=Hoje,"Vence hoje",IF($D668-Hoje&lt;=DiasAlerta,"Vence em breve","A vencer"))))))</f>
        <v>0</v>
      </c>
      <c r="J668" s="20">
        <f>IF(OR($E668="",$D668=""),"",IF($K668&lt;=0.005,"",$D668-Hoje))</f>
        <v>0</v>
      </c>
      <c r="K668" s="21">
        <f>IF($E668="","",MAX(0,$E668-N($G668)))</f>
        <v>0</v>
      </c>
      <c r="L668" s="20">
        <f>IF($I668="Vencida","PAGAR JÁ (multa e juros)",IF($I668="Vence hoje","Pagar hoje",IF($I668="Vence em breve","Programar pagamento","")))</f>
        <v>0</v>
      </c>
    </row>
    <row r="669" spans="1:12">
      <c r="A669" s="13"/>
      <c r="B669" s="13"/>
      <c r="C669" s="13"/>
      <c r="D669" s="17"/>
      <c r="E669" s="18"/>
      <c r="F669" s="17"/>
      <c r="G669" s="18"/>
      <c r="H669" s="13"/>
      <c r="I669" s="19">
        <f>IF($E669="","",IF($K669&lt;=0.005,"Pago",IF($D669="","Sem vencimento",IF($D669&lt;Hoje,"Vencida",IF($D669=Hoje,"Vence hoje",IF($D669-Hoje&lt;=DiasAlerta,"Vence em breve","A vencer"))))))</f>
        <v>0</v>
      </c>
      <c r="J669" s="20">
        <f>IF(OR($E669="",$D669=""),"",IF($K669&lt;=0.005,"",$D669-Hoje))</f>
        <v>0</v>
      </c>
      <c r="K669" s="21">
        <f>IF($E669="","",MAX(0,$E669-N($G669)))</f>
        <v>0</v>
      </c>
      <c r="L669" s="20">
        <f>IF($I669="Vencida","PAGAR JÁ (multa e juros)",IF($I669="Vence hoje","Pagar hoje",IF($I669="Vence em breve","Programar pagamento","")))</f>
        <v>0</v>
      </c>
    </row>
    <row r="670" spans="1:12">
      <c r="A670" s="13"/>
      <c r="B670" s="13"/>
      <c r="C670" s="13"/>
      <c r="D670" s="17"/>
      <c r="E670" s="18"/>
      <c r="F670" s="17"/>
      <c r="G670" s="18"/>
      <c r="H670" s="13"/>
      <c r="I670" s="19">
        <f>IF($E670="","",IF($K670&lt;=0.005,"Pago",IF($D670="","Sem vencimento",IF($D670&lt;Hoje,"Vencida",IF($D670=Hoje,"Vence hoje",IF($D670-Hoje&lt;=DiasAlerta,"Vence em breve","A vencer"))))))</f>
        <v>0</v>
      </c>
      <c r="J670" s="20">
        <f>IF(OR($E670="",$D670=""),"",IF($K670&lt;=0.005,"",$D670-Hoje))</f>
        <v>0</v>
      </c>
      <c r="K670" s="21">
        <f>IF($E670="","",MAX(0,$E670-N($G670)))</f>
        <v>0</v>
      </c>
      <c r="L670" s="20">
        <f>IF($I670="Vencida","PAGAR JÁ (multa e juros)",IF($I670="Vence hoje","Pagar hoje",IF($I670="Vence em breve","Programar pagamento","")))</f>
        <v>0</v>
      </c>
    </row>
    <row r="671" spans="1:12">
      <c r="A671" s="13"/>
      <c r="B671" s="13"/>
      <c r="C671" s="13"/>
      <c r="D671" s="17"/>
      <c r="E671" s="18"/>
      <c r="F671" s="17"/>
      <c r="G671" s="18"/>
      <c r="H671" s="13"/>
      <c r="I671" s="19">
        <f>IF($E671="","",IF($K671&lt;=0.005,"Pago",IF($D671="","Sem vencimento",IF($D671&lt;Hoje,"Vencida",IF($D671=Hoje,"Vence hoje",IF($D671-Hoje&lt;=DiasAlerta,"Vence em breve","A vencer"))))))</f>
        <v>0</v>
      </c>
      <c r="J671" s="20">
        <f>IF(OR($E671="",$D671=""),"",IF($K671&lt;=0.005,"",$D671-Hoje))</f>
        <v>0</v>
      </c>
      <c r="K671" s="21">
        <f>IF($E671="","",MAX(0,$E671-N($G671)))</f>
        <v>0</v>
      </c>
      <c r="L671" s="20">
        <f>IF($I671="Vencida","PAGAR JÁ (multa e juros)",IF($I671="Vence hoje","Pagar hoje",IF($I671="Vence em breve","Programar pagamento","")))</f>
        <v>0</v>
      </c>
    </row>
    <row r="672" spans="1:12">
      <c r="A672" s="13"/>
      <c r="B672" s="13"/>
      <c r="C672" s="13"/>
      <c r="D672" s="17"/>
      <c r="E672" s="18"/>
      <c r="F672" s="17"/>
      <c r="G672" s="18"/>
      <c r="H672" s="13"/>
      <c r="I672" s="19">
        <f>IF($E672="","",IF($K672&lt;=0.005,"Pago",IF($D672="","Sem vencimento",IF($D672&lt;Hoje,"Vencida",IF($D672=Hoje,"Vence hoje",IF($D672-Hoje&lt;=DiasAlerta,"Vence em breve","A vencer"))))))</f>
        <v>0</v>
      </c>
      <c r="J672" s="20">
        <f>IF(OR($E672="",$D672=""),"",IF($K672&lt;=0.005,"",$D672-Hoje))</f>
        <v>0</v>
      </c>
      <c r="K672" s="21">
        <f>IF($E672="","",MAX(0,$E672-N($G672)))</f>
        <v>0</v>
      </c>
      <c r="L672" s="20">
        <f>IF($I672="Vencida","PAGAR JÁ (multa e juros)",IF($I672="Vence hoje","Pagar hoje",IF($I672="Vence em breve","Programar pagamento","")))</f>
        <v>0</v>
      </c>
    </row>
    <row r="673" spans="1:12">
      <c r="A673" s="13"/>
      <c r="B673" s="13"/>
      <c r="C673" s="13"/>
      <c r="D673" s="17"/>
      <c r="E673" s="18"/>
      <c r="F673" s="17"/>
      <c r="G673" s="18"/>
      <c r="H673" s="13"/>
      <c r="I673" s="19">
        <f>IF($E673="","",IF($K673&lt;=0.005,"Pago",IF($D673="","Sem vencimento",IF($D673&lt;Hoje,"Vencida",IF($D673=Hoje,"Vence hoje",IF($D673-Hoje&lt;=DiasAlerta,"Vence em breve","A vencer"))))))</f>
        <v>0</v>
      </c>
      <c r="J673" s="20">
        <f>IF(OR($E673="",$D673=""),"",IF($K673&lt;=0.005,"",$D673-Hoje))</f>
        <v>0</v>
      </c>
      <c r="K673" s="21">
        <f>IF($E673="","",MAX(0,$E673-N($G673)))</f>
        <v>0</v>
      </c>
      <c r="L673" s="20">
        <f>IF($I673="Vencida","PAGAR JÁ (multa e juros)",IF($I673="Vence hoje","Pagar hoje",IF($I673="Vence em breve","Programar pagamento","")))</f>
        <v>0</v>
      </c>
    </row>
    <row r="674" spans="1:12">
      <c r="A674" s="13"/>
      <c r="B674" s="13"/>
      <c r="C674" s="13"/>
      <c r="D674" s="17"/>
      <c r="E674" s="18"/>
      <c r="F674" s="17"/>
      <c r="G674" s="18"/>
      <c r="H674" s="13"/>
      <c r="I674" s="19">
        <f>IF($E674="","",IF($K674&lt;=0.005,"Pago",IF($D674="","Sem vencimento",IF($D674&lt;Hoje,"Vencida",IF($D674=Hoje,"Vence hoje",IF($D674-Hoje&lt;=DiasAlerta,"Vence em breve","A vencer"))))))</f>
        <v>0</v>
      </c>
      <c r="J674" s="20">
        <f>IF(OR($E674="",$D674=""),"",IF($K674&lt;=0.005,"",$D674-Hoje))</f>
        <v>0</v>
      </c>
      <c r="K674" s="21">
        <f>IF($E674="","",MAX(0,$E674-N($G674)))</f>
        <v>0</v>
      </c>
      <c r="L674" s="20">
        <f>IF($I674="Vencida","PAGAR JÁ (multa e juros)",IF($I674="Vence hoje","Pagar hoje",IF($I674="Vence em breve","Programar pagamento","")))</f>
        <v>0</v>
      </c>
    </row>
    <row r="675" spans="1:12">
      <c r="A675" s="13"/>
      <c r="B675" s="13"/>
      <c r="C675" s="13"/>
      <c r="D675" s="17"/>
      <c r="E675" s="18"/>
      <c r="F675" s="17"/>
      <c r="G675" s="18"/>
      <c r="H675" s="13"/>
      <c r="I675" s="19">
        <f>IF($E675="","",IF($K675&lt;=0.005,"Pago",IF($D675="","Sem vencimento",IF($D675&lt;Hoje,"Vencida",IF($D675=Hoje,"Vence hoje",IF($D675-Hoje&lt;=DiasAlerta,"Vence em breve","A vencer"))))))</f>
        <v>0</v>
      </c>
      <c r="J675" s="20">
        <f>IF(OR($E675="",$D675=""),"",IF($K675&lt;=0.005,"",$D675-Hoje))</f>
        <v>0</v>
      </c>
      <c r="K675" s="21">
        <f>IF($E675="","",MAX(0,$E675-N($G675)))</f>
        <v>0</v>
      </c>
      <c r="L675" s="20">
        <f>IF($I675="Vencida","PAGAR JÁ (multa e juros)",IF($I675="Vence hoje","Pagar hoje",IF($I675="Vence em breve","Programar pagamento","")))</f>
        <v>0</v>
      </c>
    </row>
    <row r="676" spans="1:12">
      <c r="A676" s="13"/>
      <c r="B676" s="13"/>
      <c r="C676" s="13"/>
      <c r="D676" s="17"/>
      <c r="E676" s="18"/>
      <c r="F676" s="17"/>
      <c r="G676" s="18"/>
      <c r="H676" s="13"/>
      <c r="I676" s="19">
        <f>IF($E676="","",IF($K676&lt;=0.005,"Pago",IF($D676="","Sem vencimento",IF($D676&lt;Hoje,"Vencida",IF($D676=Hoje,"Vence hoje",IF($D676-Hoje&lt;=DiasAlerta,"Vence em breve","A vencer"))))))</f>
        <v>0</v>
      </c>
      <c r="J676" s="20">
        <f>IF(OR($E676="",$D676=""),"",IF($K676&lt;=0.005,"",$D676-Hoje))</f>
        <v>0</v>
      </c>
      <c r="K676" s="21">
        <f>IF($E676="","",MAX(0,$E676-N($G676)))</f>
        <v>0</v>
      </c>
      <c r="L676" s="20">
        <f>IF($I676="Vencida","PAGAR JÁ (multa e juros)",IF($I676="Vence hoje","Pagar hoje",IF($I676="Vence em breve","Programar pagamento","")))</f>
        <v>0</v>
      </c>
    </row>
    <row r="677" spans="1:12">
      <c r="A677" s="13"/>
      <c r="B677" s="13"/>
      <c r="C677" s="13"/>
      <c r="D677" s="17"/>
      <c r="E677" s="18"/>
      <c r="F677" s="17"/>
      <c r="G677" s="18"/>
      <c r="H677" s="13"/>
      <c r="I677" s="19">
        <f>IF($E677="","",IF($K677&lt;=0.005,"Pago",IF($D677="","Sem vencimento",IF($D677&lt;Hoje,"Vencida",IF($D677=Hoje,"Vence hoje",IF($D677-Hoje&lt;=DiasAlerta,"Vence em breve","A vencer"))))))</f>
        <v>0</v>
      </c>
      <c r="J677" s="20">
        <f>IF(OR($E677="",$D677=""),"",IF($K677&lt;=0.005,"",$D677-Hoje))</f>
        <v>0</v>
      </c>
      <c r="K677" s="21">
        <f>IF($E677="","",MAX(0,$E677-N($G677)))</f>
        <v>0</v>
      </c>
      <c r="L677" s="20">
        <f>IF($I677="Vencida","PAGAR JÁ (multa e juros)",IF($I677="Vence hoje","Pagar hoje",IF($I677="Vence em breve","Programar pagamento","")))</f>
        <v>0</v>
      </c>
    </row>
    <row r="678" spans="1:12">
      <c r="A678" s="13"/>
      <c r="B678" s="13"/>
      <c r="C678" s="13"/>
      <c r="D678" s="17"/>
      <c r="E678" s="18"/>
      <c r="F678" s="17"/>
      <c r="G678" s="18"/>
      <c r="H678" s="13"/>
      <c r="I678" s="19">
        <f>IF($E678="","",IF($K678&lt;=0.005,"Pago",IF($D678="","Sem vencimento",IF($D678&lt;Hoje,"Vencida",IF($D678=Hoje,"Vence hoje",IF($D678-Hoje&lt;=DiasAlerta,"Vence em breve","A vencer"))))))</f>
        <v>0</v>
      </c>
      <c r="J678" s="20">
        <f>IF(OR($E678="",$D678=""),"",IF($K678&lt;=0.005,"",$D678-Hoje))</f>
        <v>0</v>
      </c>
      <c r="K678" s="21">
        <f>IF($E678="","",MAX(0,$E678-N($G678)))</f>
        <v>0</v>
      </c>
      <c r="L678" s="20">
        <f>IF($I678="Vencida","PAGAR JÁ (multa e juros)",IF($I678="Vence hoje","Pagar hoje",IF($I678="Vence em breve","Programar pagamento","")))</f>
        <v>0</v>
      </c>
    </row>
    <row r="679" spans="1:12">
      <c r="A679" s="13"/>
      <c r="B679" s="13"/>
      <c r="C679" s="13"/>
      <c r="D679" s="17"/>
      <c r="E679" s="18"/>
      <c r="F679" s="17"/>
      <c r="G679" s="18"/>
      <c r="H679" s="13"/>
      <c r="I679" s="19">
        <f>IF($E679="","",IF($K679&lt;=0.005,"Pago",IF($D679="","Sem vencimento",IF($D679&lt;Hoje,"Vencida",IF($D679=Hoje,"Vence hoje",IF($D679-Hoje&lt;=DiasAlerta,"Vence em breve","A vencer"))))))</f>
        <v>0</v>
      </c>
      <c r="J679" s="20">
        <f>IF(OR($E679="",$D679=""),"",IF($K679&lt;=0.005,"",$D679-Hoje))</f>
        <v>0</v>
      </c>
      <c r="K679" s="21">
        <f>IF($E679="","",MAX(0,$E679-N($G679)))</f>
        <v>0</v>
      </c>
      <c r="L679" s="20">
        <f>IF($I679="Vencida","PAGAR JÁ (multa e juros)",IF($I679="Vence hoje","Pagar hoje",IF($I679="Vence em breve","Programar pagamento","")))</f>
        <v>0</v>
      </c>
    </row>
    <row r="680" spans="1:12">
      <c r="A680" s="13"/>
      <c r="B680" s="13"/>
      <c r="C680" s="13"/>
      <c r="D680" s="17"/>
      <c r="E680" s="18"/>
      <c r="F680" s="17"/>
      <c r="G680" s="18"/>
      <c r="H680" s="13"/>
      <c r="I680" s="19">
        <f>IF($E680="","",IF($K680&lt;=0.005,"Pago",IF($D680="","Sem vencimento",IF($D680&lt;Hoje,"Vencida",IF($D680=Hoje,"Vence hoje",IF($D680-Hoje&lt;=DiasAlerta,"Vence em breve","A vencer"))))))</f>
        <v>0</v>
      </c>
      <c r="J680" s="20">
        <f>IF(OR($E680="",$D680=""),"",IF($K680&lt;=0.005,"",$D680-Hoje))</f>
        <v>0</v>
      </c>
      <c r="K680" s="21">
        <f>IF($E680="","",MAX(0,$E680-N($G680)))</f>
        <v>0</v>
      </c>
      <c r="L680" s="20">
        <f>IF($I680="Vencida","PAGAR JÁ (multa e juros)",IF($I680="Vence hoje","Pagar hoje",IF($I680="Vence em breve","Programar pagamento","")))</f>
        <v>0</v>
      </c>
    </row>
    <row r="681" spans="1:12">
      <c r="A681" s="13"/>
      <c r="B681" s="13"/>
      <c r="C681" s="13"/>
      <c r="D681" s="17"/>
      <c r="E681" s="18"/>
      <c r="F681" s="17"/>
      <c r="G681" s="18"/>
      <c r="H681" s="13"/>
      <c r="I681" s="19">
        <f>IF($E681="","",IF($K681&lt;=0.005,"Pago",IF($D681="","Sem vencimento",IF($D681&lt;Hoje,"Vencida",IF($D681=Hoje,"Vence hoje",IF($D681-Hoje&lt;=DiasAlerta,"Vence em breve","A vencer"))))))</f>
        <v>0</v>
      </c>
      <c r="J681" s="20">
        <f>IF(OR($E681="",$D681=""),"",IF($K681&lt;=0.005,"",$D681-Hoje))</f>
        <v>0</v>
      </c>
      <c r="K681" s="21">
        <f>IF($E681="","",MAX(0,$E681-N($G681)))</f>
        <v>0</v>
      </c>
      <c r="L681" s="20">
        <f>IF($I681="Vencida","PAGAR JÁ (multa e juros)",IF($I681="Vence hoje","Pagar hoje",IF($I681="Vence em breve","Programar pagamento","")))</f>
        <v>0</v>
      </c>
    </row>
    <row r="682" spans="1:12">
      <c r="A682" s="13"/>
      <c r="B682" s="13"/>
      <c r="C682" s="13"/>
      <c r="D682" s="17"/>
      <c r="E682" s="18"/>
      <c r="F682" s="17"/>
      <c r="G682" s="18"/>
      <c r="H682" s="13"/>
      <c r="I682" s="19">
        <f>IF($E682="","",IF($K682&lt;=0.005,"Pago",IF($D682="","Sem vencimento",IF($D682&lt;Hoje,"Vencida",IF($D682=Hoje,"Vence hoje",IF($D682-Hoje&lt;=DiasAlerta,"Vence em breve","A vencer"))))))</f>
        <v>0</v>
      </c>
      <c r="J682" s="20">
        <f>IF(OR($E682="",$D682=""),"",IF($K682&lt;=0.005,"",$D682-Hoje))</f>
        <v>0</v>
      </c>
      <c r="K682" s="21">
        <f>IF($E682="","",MAX(0,$E682-N($G682)))</f>
        <v>0</v>
      </c>
      <c r="L682" s="20">
        <f>IF($I682="Vencida","PAGAR JÁ (multa e juros)",IF($I682="Vence hoje","Pagar hoje",IF($I682="Vence em breve","Programar pagamento","")))</f>
        <v>0</v>
      </c>
    </row>
    <row r="683" spans="1:12">
      <c r="A683" s="13"/>
      <c r="B683" s="13"/>
      <c r="C683" s="13"/>
      <c r="D683" s="17"/>
      <c r="E683" s="18"/>
      <c r="F683" s="17"/>
      <c r="G683" s="18"/>
      <c r="H683" s="13"/>
      <c r="I683" s="19">
        <f>IF($E683="","",IF($K683&lt;=0.005,"Pago",IF($D683="","Sem vencimento",IF($D683&lt;Hoje,"Vencida",IF($D683=Hoje,"Vence hoje",IF($D683-Hoje&lt;=DiasAlerta,"Vence em breve","A vencer"))))))</f>
        <v>0</v>
      </c>
      <c r="J683" s="20">
        <f>IF(OR($E683="",$D683=""),"",IF($K683&lt;=0.005,"",$D683-Hoje))</f>
        <v>0</v>
      </c>
      <c r="K683" s="21">
        <f>IF($E683="","",MAX(0,$E683-N($G683)))</f>
        <v>0</v>
      </c>
      <c r="L683" s="20">
        <f>IF($I683="Vencida","PAGAR JÁ (multa e juros)",IF($I683="Vence hoje","Pagar hoje",IF($I683="Vence em breve","Programar pagamento","")))</f>
        <v>0</v>
      </c>
    </row>
    <row r="684" spans="1:12">
      <c r="A684" s="13"/>
      <c r="B684" s="13"/>
      <c r="C684" s="13"/>
      <c r="D684" s="17"/>
      <c r="E684" s="18"/>
      <c r="F684" s="17"/>
      <c r="G684" s="18"/>
      <c r="H684" s="13"/>
      <c r="I684" s="19">
        <f>IF($E684="","",IF($K684&lt;=0.005,"Pago",IF($D684="","Sem vencimento",IF($D684&lt;Hoje,"Vencida",IF($D684=Hoje,"Vence hoje",IF($D684-Hoje&lt;=DiasAlerta,"Vence em breve","A vencer"))))))</f>
        <v>0</v>
      </c>
      <c r="J684" s="20">
        <f>IF(OR($E684="",$D684=""),"",IF($K684&lt;=0.005,"",$D684-Hoje))</f>
        <v>0</v>
      </c>
      <c r="K684" s="21">
        <f>IF($E684="","",MAX(0,$E684-N($G684)))</f>
        <v>0</v>
      </c>
      <c r="L684" s="20">
        <f>IF($I684="Vencida","PAGAR JÁ (multa e juros)",IF($I684="Vence hoje","Pagar hoje",IF($I684="Vence em breve","Programar pagamento","")))</f>
        <v>0</v>
      </c>
    </row>
    <row r="685" spans="1:12">
      <c r="A685" s="13"/>
      <c r="B685" s="13"/>
      <c r="C685" s="13"/>
      <c r="D685" s="17"/>
      <c r="E685" s="18"/>
      <c r="F685" s="17"/>
      <c r="G685" s="18"/>
      <c r="H685" s="13"/>
      <c r="I685" s="19">
        <f>IF($E685="","",IF($K685&lt;=0.005,"Pago",IF($D685="","Sem vencimento",IF($D685&lt;Hoje,"Vencida",IF($D685=Hoje,"Vence hoje",IF($D685-Hoje&lt;=DiasAlerta,"Vence em breve","A vencer"))))))</f>
        <v>0</v>
      </c>
      <c r="J685" s="20">
        <f>IF(OR($E685="",$D685=""),"",IF($K685&lt;=0.005,"",$D685-Hoje))</f>
        <v>0</v>
      </c>
      <c r="K685" s="21">
        <f>IF($E685="","",MAX(0,$E685-N($G685)))</f>
        <v>0</v>
      </c>
      <c r="L685" s="20">
        <f>IF($I685="Vencida","PAGAR JÁ (multa e juros)",IF($I685="Vence hoje","Pagar hoje",IF($I685="Vence em breve","Programar pagamento","")))</f>
        <v>0</v>
      </c>
    </row>
    <row r="686" spans="1:12">
      <c r="A686" s="13"/>
      <c r="B686" s="13"/>
      <c r="C686" s="13"/>
      <c r="D686" s="17"/>
      <c r="E686" s="18"/>
      <c r="F686" s="17"/>
      <c r="G686" s="18"/>
      <c r="H686" s="13"/>
      <c r="I686" s="19">
        <f>IF($E686="","",IF($K686&lt;=0.005,"Pago",IF($D686="","Sem vencimento",IF($D686&lt;Hoje,"Vencida",IF($D686=Hoje,"Vence hoje",IF($D686-Hoje&lt;=DiasAlerta,"Vence em breve","A vencer"))))))</f>
        <v>0</v>
      </c>
      <c r="J686" s="20">
        <f>IF(OR($E686="",$D686=""),"",IF($K686&lt;=0.005,"",$D686-Hoje))</f>
        <v>0</v>
      </c>
      <c r="K686" s="21">
        <f>IF($E686="","",MAX(0,$E686-N($G686)))</f>
        <v>0</v>
      </c>
      <c r="L686" s="20">
        <f>IF($I686="Vencida","PAGAR JÁ (multa e juros)",IF($I686="Vence hoje","Pagar hoje",IF($I686="Vence em breve","Programar pagamento","")))</f>
        <v>0</v>
      </c>
    </row>
    <row r="687" spans="1:12">
      <c r="A687" s="13"/>
      <c r="B687" s="13"/>
      <c r="C687" s="13"/>
      <c r="D687" s="17"/>
      <c r="E687" s="18"/>
      <c r="F687" s="17"/>
      <c r="G687" s="18"/>
      <c r="H687" s="13"/>
      <c r="I687" s="19">
        <f>IF($E687="","",IF($K687&lt;=0.005,"Pago",IF($D687="","Sem vencimento",IF($D687&lt;Hoje,"Vencida",IF($D687=Hoje,"Vence hoje",IF($D687-Hoje&lt;=DiasAlerta,"Vence em breve","A vencer"))))))</f>
        <v>0</v>
      </c>
      <c r="J687" s="20">
        <f>IF(OR($E687="",$D687=""),"",IF($K687&lt;=0.005,"",$D687-Hoje))</f>
        <v>0</v>
      </c>
      <c r="K687" s="21">
        <f>IF($E687="","",MAX(0,$E687-N($G687)))</f>
        <v>0</v>
      </c>
      <c r="L687" s="20">
        <f>IF($I687="Vencida","PAGAR JÁ (multa e juros)",IF($I687="Vence hoje","Pagar hoje",IF($I687="Vence em breve","Programar pagamento","")))</f>
        <v>0</v>
      </c>
    </row>
    <row r="688" spans="1:12">
      <c r="A688" s="13"/>
      <c r="B688" s="13"/>
      <c r="C688" s="13"/>
      <c r="D688" s="17"/>
      <c r="E688" s="18"/>
      <c r="F688" s="17"/>
      <c r="G688" s="18"/>
      <c r="H688" s="13"/>
      <c r="I688" s="19">
        <f>IF($E688="","",IF($K688&lt;=0.005,"Pago",IF($D688="","Sem vencimento",IF($D688&lt;Hoje,"Vencida",IF($D688=Hoje,"Vence hoje",IF($D688-Hoje&lt;=DiasAlerta,"Vence em breve","A vencer"))))))</f>
        <v>0</v>
      </c>
      <c r="J688" s="20">
        <f>IF(OR($E688="",$D688=""),"",IF($K688&lt;=0.005,"",$D688-Hoje))</f>
        <v>0</v>
      </c>
      <c r="K688" s="21">
        <f>IF($E688="","",MAX(0,$E688-N($G688)))</f>
        <v>0</v>
      </c>
      <c r="L688" s="20">
        <f>IF($I688="Vencida","PAGAR JÁ (multa e juros)",IF($I688="Vence hoje","Pagar hoje",IF($I688="Vence em breve","Programar pagamento","")))</f>
        <v>0</v>
      </c>
    </row>
    <row r="689" spans="1:12">
      <c r="A689" s="13"/>
      <c r="B689" s="13"/>
      <c r="C689" s="13"/>
      <c r="D689" s="17"/>
      <c r="E689" s="18"/>
      <c r="F689" s="17"/>
      <c r="G689" s="18"/>
      <c r="H689" s="13"/>
      <c r="I689" s="19">
        <f>IF($E689="","",IF($K689&lt;=0.005,"Pago",IF($D689="","Sem vencimento",IF($D689&lt;Hoje,"Vencida",IF($D689=Hoje,"Vence hoje",IF($D689-Hoje&lt;=DiasAlerta,"Vence em breve","A vencer"))))))</f>
        <v>0</v>
      </c>
      <c r="J689" s="20">
        <f>IF(OR($E689="",$D689=""),"",IF($K689&lt;=0.005,"",$D689-Hoje))</f>
        <v>0</v>
      </c>
      <c r="K689" s="21">
        <f>IF($E689="","",MAX(0,$E689-N($G689)))</f>
        <v>0</v>
      </c>
      <c r="L689" s="20">
        <f>IF($I689="Vencida","PAGAR JÁ (multa e juros)",IF($I689="Vence hoje","Pagar hoje",IF($I689="Vence em breve","Programar pagamento","")))</f>
        <v>0</v>
      </c>
    </row>
    <row r="690" spans="1:12">
      <c r="A690" s="13"/>
      <c r="B690" s="13"/>
      <c r="C690" s="13"/>
      <c r="D690" s="17"/>
      <c r="E690" s="18"/>
      <c r="F690" s="17"/>
      <c r="G690" s="18"/>
      <c r="H690" s="13"/>
      <c r="I690" s="19">
        <f>IF($E690="","",IF($K690&lt;=0.005,"Pago",IF($D690="","Sem vencimento",IF($D690&lt;Hoje,"Vencida",IF($D690=Hoje,"Vence hoje",IF($D690-Hoje&lt;=DiasAlerta,"Vence em breve","A vencer"))))))</f>
        <v>0</v>
      </c>
      <c r="J690" s="20">
        <f>IF(OR($E690="",$D690=""),"",IF($K690&lt;=0.005,"",$D690-Hoje))</f>
        <v>0</v>
      </c>
      <c r="K690" s="21">
        <f>IF($E690="","",MAX(0,$E690-N($G690)))</f>
        <v>0</v>
      </c>
      <c r="L690" s="20">
        <f>IF($I690="Vencida","PAGAR JÁ (multa e juros)",IF($I690="Vence hoje","Pagar hoje",IF($I690="Vence em breve","Programar pagamento","")))</f>
        <v>0</v>
      </c>
    </row>
    <row r="691" spans="1:12">
      <c r="A691" s="13"/>
      <c r="B691" s="13"/>
      <c r="C691" s="13"/>
      <c r="D691" s="17"/>
      <c r="E691" s="18"/>
      <c r="F691" s="17"/>
      <c r="G691" s="18"/>
      <c r="H691" s="13"/>
      <c r="I691" s="19">
        <f>IF($E691="","",IF($K691&lt;=0.005,"Pago",IF($D691="","Sem vencimento",IF($D691&lt;Hoje,"Vencida",IF($D691=Hoje,"Vence hoje",IF($D691-Hoje&lt;=DiasAlerta,"Vence em breve","A vencer"))))))</f>
        <v>0</v>
      </c>
      <c r="J691" s="20">
        <f>IF(OR($E691="",$D691=""),"",IF($K691&lt;=0.005,"",$D691-Hoje))</f>
        <v>0</v>
      </c>
      <c r="K691" s="21">
        <f>IF($E691="","",MAX(0,$E691-N($G691)))</f>
        <v>0</v>
      </c>
      <c r="L691" s="20">
        <f>IF($I691="Vencida","PAGAR JÁ (multa e juros)",IF($I691="Vence hoje","Pagar hoje",IF($I691="Vence em breve","Programar pagamento","")))</f>
        <v>0</v>
      </c>
    </row>
    <row r="692" spans="1:12">
      <c r="A692" s="13"/>
      <c r="B692" s="13"/>
      <c r="C692" s="13"/>
      <c r="D692" s="17"/>
      <c r="E692" s="18"/>
      <c r="F692" s="17"/>
      <c r="G692" s="18"/>
      <c r="H692" s="13"/>
      <c r="I692" s="19">
        <f>IF($E692="","",IF($K692&lt;=0.005,"Pago",IF($D692="","Sem vencimento",IF($D692&lt;Hoje,"Vencida",IF($D692=Hoje,"Vence hoje",IF($D692-Hoje&lt;=DiasAlerta,"Vence em breve","A vencer"))))))</f>
        <v>0</v>
      </c>
      <c r="J692" s="20">
        <f>IF(OR($E692="",$D692=""),"",IF($K692&lt;=0.005,"",$D692-Hoje))</f>
        <v>0</v>
      </c>
      <c r="K692" s="21">
        <f>IF($E692="","",MAX(0,$E692-N($G692)))</f>
        <v>0</v>
      </c>
      <c r="L692" s="20">
        <f>IF($I692="Vencida","PAGAR JÁ (multa e juros)",IF($I692="Vence hoje","Pagar hoje",IF($I692="Vence em breve","Programar pagamento","")))</f>
        <v>0</v>
      </c>
    </row>
    <row r="693" spans="1:12">
      <c r="A693" s="13"/>
      <c r="B693" s="13"/>
      <c r="C693" s="13"/>
      <c r="D693" s="17"/>
      <c r="E693" s="18"/>
      <c r="F693" s="17"/>
      <c r="G693" s="18"/>
      <c r="H693" s="13"/>
      <c r="I693" s="19">
        <f>IF($E693="","",IF($K693&lt;=0.005,"Pago",IF($D693="","Sem vencimento",IF($D693&lt;Hoje,"Vencida",IF($D693=Hoje,"Vence hoje",IF($D693-Hoje&lt;=DiasAlerta,"Vence em breve","A vencer"))))))</f>
        <v>0</v>
      </c>
      <c r="J693" s="20">
        <f>IF(OR($E693="",$D693=""),"",IF($K693&lt;=0.005,"",$D693-Hoje))</f>
        <v>0</v>
      </c>
      <c r="K693" s="21">
        <f>IF($E693="","",MAX(0,$E693-N($G693)))</f>
        <v>0</v>
      </c>
      <c r="L693" s="20">
        <f>IF($I693="Vencida","PAGAR JÁ (multa e juros)",IF($I693="Vence hoje","Pagar hoje",IF($I693="Vence em breve","Programar pagamento","")))</f>
        <v>0</v>
      </c>
    </row>
    <row r="694" spans="1:12">
      <c r="A694" s="13"/>
      <c r="B694" s="13"/>
      <c r="C694" s="13"/>
      <c r="D694" s="17"/>
      <c r="E694" s="18"/>
      <c r="F694" s="17"/>
      <c r="G694" s="18"/>
      <c r="H694" s="13"/>
      <c r="I694" s="19">
        <f>IF($E694="","",IF($K694&lt;=0.005,"Pago",IF($D694="","Sem vencimento",IF($D694&lt;Hoje,"Vencida",IF($D694=Hoje,"Vence hoje",IF($D694-Hoje&lt;=DiasAlerta,"Vence em breve","A vencer"))))))</f>
        <v>0</v>
      </c>
      <c r="J694" s="20">
        <f>IF(OR($E694="",$D694=""),"",IF($K694&lt;=0.005,"",$D694-Hoje))</f>
        <v>0</v>
      </c>
      <c r="K694" s="21">
        <f>IF($E694="","",MAX(0,$E694-N($G694)))</f>
        <v>0</v>
      </c>
      <c r="L694" s="20">
        <f>IF($I694="Vencida","PAGAR JÁ (multa e juros)",IF($I694="Vence hoje","Pagar hoje",IF($I694="Vence em breve","Programar pagamento","")))</f>
        <v>0</v>
      </c>
    </row>
    <row r="695" spans="1:12">
      <c r="A695" s="13"/>
      <c r="B695" s="13"/>
      <c r="C695" s="13"/>
      <c r="D695" s="17"/>
      <c r="E695" s="18"/>
      <c r="F695" s="17"/>
      <c r="G695" s="18"/>
      <c r="H695" s="13"/>
      <c r="I695" s="19">
        <f>IF($E695="","",IF($K695&lt;=0.005,"Pago",IF($D695="","Sem vencimento",IF($D695&lt;Hoje,"Vencida",IF($D695=Hoje,"Vence hoje",IF($D695-Hoje&lt;=DiasAlerta,"Vence em breve","A vencer"))))))</f>
        <v>0</v>
      </c>
      <c r="J695" s="20">
        <f>IF(OR($E695="",$D695=""),"",IF($K695&lt;=0.005,"",$D695-Hoje))</f>
        <v>0</v>
      </c>
      <c r="K695" s="21">
        <f>IF($E695="","",MAX(0,$E695-N($G695)))</f>
        <v>0</v>
      </c>
      <c r="L695" s="20">
        <f>IF($I695="Vencida","PAGAR JÁ (multa e juros)",IF($I695="Vence hoje","Pagar hoje",IF($I695="Vence em breve","Programar pagamento","")))</f>
        <v>0</v>
      </c>
    </row>
    <row r="696" spans="1:12">
      <c r="A696" s="13"/>
      <c r="B696" s="13"/>
      <c r="C696" s="13"/>
      <c r="D696" s="17"/>
      <c r="E696" s="18"/>
      <c r="F696" s="17"/>
      <c r="G696" s="18"/>
      <c r="H696" s="13"/>
      <c r="I696" s="19">
        <f>IF($E696="","",IF($K696&lt;=0.005,"Pago",IF($D696="","Sem vencimento",IF($D696&lt;Hoje,"Vencida",IF($D696=Hoje,"Vence hoje",IF($D696-Hoje&lt;=DiasAlerta,"Vence em breve","A vencer"))))))</f>
        <v>0</v>
      </c>
      <c r="J696" s="20">
        <f>IF(OR($E696="",$D696=""),"",IF($K696&lt;=0.005,"",$D696-Hoje))</f>
        <v>0</v>
      </c>
      <c r="K696" s="21">
        <f>IF($E696="","",MAX(0,$E696-N($G696)))</f>
        <v>0</v>
      </c>
      <c r="L696" s="20">
        <f>IF($I696="Vencida","PAGAR JÁ (multa e juros)",IF($I696="Vence hoje","Pagar hoje",IF($I696="Vence em breve","Programar pagamento","")))</f>
        <v>0</v>
      </c>
    </row>
    <row r="697" spans="1:12">
      <c r="A697" s="13"/>
      <c r="B697" s="13"/>
      <c r="C697" s="13"/>
      <c r="D697" s="17"/>
      <c r="E697" s="18"/>
      <c r="F697" s="17"/>
      <c r="G697" s="18"/>
      <c r="H697" s="13"/>
      <c r="I697" s="19">
        <f>IF($E697="","",IF($K697&lt;=0.005,"Pago",IF($D697="","Sem vencimento",IF($D697&lt;Hoje,"Vencida",IF($D697=Hoje,"Vence hoje",IF($D697-Hoje&lt;=DiasAlerta,"Vence em breve","A vencer"))))))</f>
        <v>0</v>
      </c>
      <c r="J697" s="20">
        <f>IF(OR($E697="",$D697=""),"",IF($K697&lt;=0.005,"",$D697-Hoje))</f>
        <v>0</v>
      </c>
      <c r="K697" s="21">
        <f>IF($E697="","",MAX(0,$E697-N($G697)))</f>
        <v>0</v>
      </c>
      <c r="L697" s="20">
        <f>IF($I697="Vencida","PAGAR JÁ (multa e juros)",IF($I697="Vence hoje","Pagar hoje",IF($I697="Vence em breve","Programar pagamento","")))</f>
        <v>0</v>
      </c>
    </row>
    <row r="698" spans="1:12">
      <c r="A698" s="13"/>
      <c r="B698" s="13"/>
      <c r="C698" s="13"/>
      <c r="D698" s="17"/>
      <c r="E698" s="18"/>
      <c r="F698" s="17"/>
      <c r="G698" s="18"/>
      <c r="H698" s="13"/>
      <c r="I698" s="19">
        <f>IF($E698="","",IF($K698&lt;=0.005,"Pago",IF($D698="","Sem vencimento",IF($D698&lt;Hoje,"Vencida",IF($D698=Hoje,"Vence hoje",IF($D698-Hoje&lt;=DiasAlerta,"Vence em breve","A vencer"))))))</f>
        <v>0</v>
      </c>
      <c r="J698" s="20">
        <f>IF(OR($E698="",$D698=""),"",IF($K698&lt;=0.005,"",$D698-Hoje))</f>
        <v>0</v>
      </c>
      <c r="K698" s="21">
        <f>IF($E698="","",MAX(0,$E698-N($G698)))</f>
        <v>0</v>
      </c>
      <c r="L698" s="20">
        <f>IF($I698="Vencida","PAGAR JÁ (multa e juros)",IF($I698="Vence hoje","Pagar hoje",IF($I698="Vence em breve","Programar pagamento","")))</f>
        <v>0</v>
      </c>
    </row>
    <row r="699" spans="1:12">
      <c r="A699" s="13"/>
      <c r="B699" s="13"/>
      <c r="C699" s="13"/>
      <c r="D699" s="17"/>
      <c r="E699" s="18"/>
      <c r="F699" s="17"/>
      <c r="G699" s="18"/>
      <c r="H699" s="13"/>
      <c r="I699" s="19">
        <f>IF($E699="","",IF($K699&lt;=0.005,"Pago",IF($D699="","Sem vencimento",IF($D699&lt;Hoje,"Vencida",IF($D699=Hoje,"Vence hoje",IF($D699-Hoje&lt;=DiasAlerta,"Vence em breve","A vencer"))))))</f>
        <v>0</v>
      </c>
      <c r="J699" s="20">
        <f>IF(OR($E699="",$D699=""),"",IF($K699&lt;=0.005,"",$D699-Hoje))</f>
        <v>0</v>
      </c>
      <c r="K699" s="21">
        <f>IF($E699="","",MAX(0,$E699-N($G699)))</f>
        <v>0</v>
      </c>
      <c r="L699" s="20">
        <f>IF($I699="Vencida","PAGAR JÁ (multa e juros)",IF($I699="Vence hoje","Pagar hoje",IF($I699="Vence em breve","Programar pagamento","")))</f>
        <v>0</v>
      </c>
    </row>
    <row r="700" spans="1:12">
      <c r="A700" s="13"/>
      <c r="B700" s="13"/>
      <c r="C700" s="13"/>
      <c r="D700" s="17"/>
      <c r="E700" s="18"/>
      <c r="F700" s="17"/>
      <c r="G700" s="18"/>
      <c r="H700" s="13"/>
      <c r="I700" s="19">
        <f>IF($E700="","",IF($K700&lt;=0.005,"Pago",IF($D700="","Sem vencimento",IF($D700&lt;Hoje,"Vencida",IF($D700=Hoje,"Vence hoje",IF($D700-Hoje&lt;=DiasAlerta,"Vence em breve","A vencer"))))))</f>
        <v>0</v>
      </c>
      <c r="J700" s="20">
        <f>IF(OR($E700="",$D700=""),"",IF($K700&lt;=0.005,"",$D700-Hoje))</f>
        <v>0</v>
      </c>
      <c r="K700" s="21">
        <f>IF($E700="","",MAX(0,$E700-N($G700)))</f>
        <v>0</v>
      </c>
      <c r="L700" s="20">
        <f>IF($I700="Vencida","PAGAR JÁ (multa e juros)",IF($I700="Vence hoje","Pagar hoje",IF($I700="Vence em breve","Programar pagamento","")))</f>
        <v>0</v>
      </c>
    </row>
    <row r="701" spans="1:12">
      <c r="A701" s="13"/>
      <c r="B701" s="13"/>
      <c r="C701" s="13"/>
      <c r="D701" s="17"/>
      <c r="E701" s="18"/>
      <c r="F701" s="17"/>
      <c r="G701" s="18"/>
      <c r="H701" s="13"/>
      <c r="I701" s="19">
        <f>IF($E701="","",IF($K701&lt;=0.005,"Pago",IF($D701="","Sem vencimento",IF($D701&lt;Hoje,"Vencida",IF($D701=Hoje,"Vence hoje",IF($D701-Hoje&lt;=DiasAlerta,"Vence em breve","A vencer"))))))</f>
        <v>0</v>
      </c>
      <c r="J701" s="20">
        <f>IF(OR($E701="",$D701=""),"",IF($K701&lt;=0.005,"",$D701-Hoje))</f>
        <v>0</v>
      </c>
      <c r="K701" s="21">
        <f>IF($E701="","",MAX(0,$E701-N($G701)))</f>
        <v>0</v>
      </c>
      <c r="L701" s="20">
        <f>IF($I701="Vencida","PAGAR JÁ (multa e juros)",IF($I701="Vence hoje","Pagar hoje",IF($I701="Vence em breve","Programar pagamento","")))</f>
        <v>0</v>
      </c>
    </row>
    <row r="702" spans="1:12">
      <c r="A702" s="13"/>
      <c r="B702" s="13"/>
      <c r="C702" s="13"/>
      <c r="D702" s="17"/>
      <c r="E702" s="18"/>
      <c r="F702" s="17"/>
      <c r="G702" s="18"/>
      <c r="H702" s="13"/>
      <c r="I702" s="19">
        <f>IF($E702="","",IF($K702&lt;=0.005,"Pago",IF($D702="","Sem vencimento",IF($D702&lt;Hoje,"Vencida",IF($D702=Hoje,"Vence hoje",IF($D702-Hoje&lt;=DiasAlerta,"Vence em breve","A vencer"))))))</f>
        <v>0</v>
      </c>
      <c r="J702" s="20">
        <f>IF(OR($E702="",$D702=""),"",IF($K702&lt;=0.005,"",$D702-Hoje))</f>
        <v>0</v>
      </c>
      <c r="K702" s="21">
        <f>IF($E702="","",MAX(0,$E702-N($G702)))</f>
        <v>0</v>
      </c>
      <c r="L702" s="20">
        <f>IF($I702="Vencida","PAGAR JÁ (multa e juros)",IF($I702="Vence hoje","Pagar hoje",IF($I702="Vence em breve","Programar pagamento","")))</f>
        <v>0</v>
      </c>
    </row>
    <row r="703" spans="1:12">
      <c r="A703" s="13"/>
      <c r="B703" s="13"/>
      <c r="C703" s="13"/>
      <c r="D703" s="17"/>
      <c r="E703" s="18"/>
      <c r="F703" s="17"/>
      <c r="G703" s="18"/>
      <c r="H703" s="13"/>
      <c r="I703" s="19">
        <f>IF($E703="","",IF($K703&lt;=0.005,"Pago",IF($D703="","Sem vencimento",IF($D703&lt;Hoje,"Vencida",IF($D703=Hoje,"Vence hoje",IF($D703-Hoje&lt;=DiasAlerta,"Vence em breve","A vencer"))))))</f>
        <v>0</v>
      </c>
      <c r="J703" s="20">
        <f>IF(OR($E703="",$D703=""),"",IF($K703&lt;=0.005,"",$D703-Hoje))</f>
        <v>0</v>
      </c>
      <c r="K703" s="21">
        <f>IF($E703="","",MAX(0,$E703-N($G703)))</f>
        <v>0</v>
      </c>
      <c r="L703" s="20">
        <f>IF($I703="Vencida","PAGAR JÁ (multa e juros)",IF($I703="Vence hoje","Pagar hoje",IF($I703="Vence em breve","Programar pagamento","")))</f>
        <v>0</v>
      </c>
    </row>
    <row r="704" spans="1:12">
      <c r="A704" s="13"/>
      <c r="B704" s="13"/>
      <c r="C704" s="13"/>
      <c r="D704" s="17"/>
      <c r="E704" s="18"/>
      <c r="F704" s="17"/>
      <c r="G704" s="18"/>
      <c r="H704" s="13"/>
      <c r="I704" s="19">
        <f>IF($E704="","",IF($K704&lt;=0.005,"Pago",IF($D704="","Sem vencimento",IF($D704&lt;Hoje,"Vencida",IF($D704=Hoje,"Vence hoje",IF($D704-Hoje&lt;=DiasAlerta,"Vence em breve","A vencer"))))))</f>
        <v>0</v>
      </c>
      <c r="J704" s="20">
        <f>IF(OR($E704="",$D704=""),"",IF($K704&lt;=0.005,"",$D704-Hoje))</f>
        <v>0</v>
      </c>
      <c r="K704" s="21">
        <f>IF($E704="","",MAX(0,$E704-N($G704)))</f>
        <v>0</v>
      </c>
      <c r="L704" s="20">
        <f>IF($I704="Vencida","PAGAR JÁ (multa e juros)",IF($I704="Vence hoje","Pagar hoje",IF($I704="Vence em breve","Programar pagamento","")))</f>
        <v>0</v>
      </c>
    </row>
    <row r="705" spans="1:12">
      <c r="A705" s="13"/>
      <c r="B705" s="13"/>
      <c r="C705" s="13"/>
      <c r="D705" s="17"/>
      <c r="E705" s="18"/>
      <c r="F705" s="17"/>
      <c r="G705" s="18"/>
      <c r="H705" s="13"/>
      <c r="I705" s="19">
        <f>IF($E705="","",IF($K705&lt;=0.005,"Pago",IF($D705="","Sem vencimento",IF($D705&lt;Hoje,"Vencida",IF($D705=Hoje,"Vence hoje",IF($D705-Hoje&lt;=DiasAlerta,"Vence em breve","A vencer"))))))</f>
        <v>0</v>
      </c>
      <c r="J705" s="20">
        <f>IF(OR($E705="",$D705=""),"",IF($K705&lt;=0.005,"",$D705-Hoje))</f>
        <v>0</v>
      </c>
      <c r="K705" s="21">
        <f>IF($E705="","",MAX(0,$E705-N($G705)))</f>
        <v>0</v>
      </c>
      <c r="L705" s="20">
        <f>IF($I705="Vencida","PAGAR JÁ (multa e juros)",IF($I705="Vence hoje","Pagar hoje",IF($I705="Vence em breve","Programar pagamento","")))</f>
        <v>0</v>
      </c>
    </row>
    <row r="706" spans="1:12">
      <c r="A706" s="13"/>
      <c r="B706" s="13"/>
      <c r="C706" s="13"/>
      <c r="D706" s="17"/>
      <c r="E706" s="18"/>
      <c r="F706" s="17"/>
      <c r="G706" s="18"/>
      <c r="H706" s="13"/>
      <c r="I706" s="19">
        <f>IF($E706="","",IF($K706&lt;=0.005,"Pago",IF($D706="","Sem vencimento",IF($D706&lt;Hoje,"Vencida",IF($D706=Hoje,"Vence hoje",IF($D706-Hoje&lt;=DiasAlerta,"Vence em breve","A vencer"))))))</f>
        <v>0</v>
      </c>
      <c r="J706" s="20">
        <f>IF(OR($E706="",$D706=""),"",IF($K706&lt;=0.005,"",$D706-Hoje))</f>
        <v>0</v>
      </c>
      <c r="K706" s="21">
        <f>IF($E706="","",MAX(0,$E706-N($G706)))</f>
        <v>0</v>
      </c>
      <c r="L706" s="20">
        <f>IF($I706="Vencida","PAGAR JÁ (multa e juros)",IF($I706="Vence hoje","Pagar hoje",IF($I706="Vence em breve","Programar pagamento","")))</f>
        <v>0</v>
      </c>
    </row>
    <row r="707" spans="1:12">
      <c r="A707" s="13"/>
      <c r="B707" s="13"/>
      <c r="C707" s="13"/>
      <c r="D707" s="17"/>
      <c r="E707" s="18"/>
      <c r="F707" s="17"/>
      <c r="G707" s="18"/>
      <c r="H707" s="13"/>
      <c r="I707" s="19">
        <f>IF($E707="","",IF($K707&lt;=0.005,"Pago",IF($D707="","Sem vencimento",IF($D707&lt;Hoje,"Vencida",IF($D707=Hoje,"Vence hoje",IF($D707-Hoje&lt;=DiasAlerta,"Vence em breve","A vencer"))))))</f>
        <v>0</v>
      </c>
      <c r="J707" s="20">
        <f>IF(OR($E707="",$D707=""),"",IF($K707&lt;=0.005,"",$D707-Hoje))</f>
        <v>0</v>
      </c>
      <c r="K707" s="21">
        <f>IF($E707="","",MAX(0,$E707-N($G707)))</f>
        <v>0</v>
      </c>
      <c r="L707" s="20">
        <f>IF($I707="Vencida","PAGAR JÁ (multa e juros)",IF($I707="Vence hoje","Pagar hoje",IF($I707="Vence em breve","Programar pagamento","")))</f>
        <v>0</v>
      </c>
    </row>
    <row r="708" spans="1:12">
      <c r="A708" s="13"/>
      <c r="B708" s="13"/>
      <c r="C708" s="13"/>
      <c r="D708" s="17"/>
      <c r="E708" s="18"/>
      <c r="F708" s="17"/>
      <c r="G708" s="18"/>
      <c r="H708" s="13"/>
      <c r="I708" s="19">
        <f>IF($E708="","",IF($K708&lt;=0.005,"Pago",IF($D708="","Sem vencimento",IF($D708&lt;Hoje,"Vencida",IF($D708=Hoje,"Vence hoje",IF($D708-Hoje&lt;=DiasAlerta,"Vence em breve","A vencer"))))))</f>
        <v>0</v>
      </c>
      <c r="J708" s="20">
        <f>IF(OR($E708="",$D708=""),"",IF($K708&lt;=0.005,"",$D708-Hoje))</f>
        <v>0</v>
      </c>
      <c r="K708" s="21">
        <f>IF($E708="","",MAX(0,$E708-N($G708)))</f>
        <v>0</v>
      </c>
      <c r="L708" s="20">
        <f>IF($I708="Vencida","PAGAR JÁ (multa e juros)",IF($I708="Vence hoje","Pagar hoje",IF($I708="Vence em breve","Programar pagamento","")))</f>
        <v>0</v>
      </c>
    </row>
    <row r="709" spans="1:12">
      <c r="A709" s="13"/>
      <c r="B709" s="13"/>
      <c r="C709" s="13"/>
      <c r="D709" s="17"/>
      <c r="E709" s="18"/>
      <c r="F709" s="17"/>
      <c r="G709" s="18"/>
      <c r="H709" s="13"/>
      <c r="I709" s="19">
        <f>IF($E709="","",IF($K709&lt;=0.005,"Pago",IF($D709="","Sem vencimento",IF($D709&lt;Hoje,"Vencida",IF($D709=Hoje,"Vence hoje",IF($D709-Hoje&lt;=DiasAlerta,"Vence em breve","A vencer"))))))</f>
        <v>0</v>
      </c>
      <c r="J709" s="20">
        <f>IF(OR($E709="",$D709=""),"",IF($K709&lt;=0.005,"",$D709-Hoje))</f>
        <v>0</v>
      </c>
      <c r="K709" s="21">
        <f>IF($E709="","",MAX(0,$E709-N($G709)))</f>
        <v>0</v>
      </c>
      <c r="L709" s="20">
        <f>IF($I709="Vencida","PAGAR JÁ (multa e juros)",IF($I709="Vence hoje","Pagar hoje",IF($I709="Vence em breve","Programar pagamento","")))</f>
        <v>0</v>
      </c>
    </row>
    <row r="710" spans="1:12">
      <c r="A710" s="13"/>
      <c r="B710" s="13"/>
      <c r="C710" s="13"/>
      <c r="D710" s="17"/>
      <c r="E710" s="18"/>
      <c r="F710" s="17"/>
      <c r="G710" s="18"/>
      <c r="H710" s="13"/>
      <c r="I710" s="19">
        <f>IF($E710="","",IF($K710&lt;=0.005,"Pago",IF($D710="","Sem vencimento",IF($D710&lt;Hoje,"Vencida",IF($D710=Hoje,"Vence hoje",IF($D710-Hoje&lt;=DiasAlerta,"Vence em breve","A vencer"))))))</f>
        <v>0</v>
      </c>
      <c r="J710" s="20">
        <f>IF(OR($E710="",$D710=""),"",IF($K710&lt;=0.005,"",$D710-Hoje))</f>
        <v>0</v>
      </c>
      <c r="K710" s="21">
        <f>IF($E710="","",MAX(0,$E710-N($G710)))</f>
        <v>0</v>
      </c>
      <c r="L710" s="20">
        <f>IF($I710="Vencida","PAGAR JÁ (multa e juros)",IF($I710="Vence hoje","Pagar hoje",IF($I710="Vence em breve","Programar pagamento","")))</f>
        <v>0</v>
      </c>
    </row>
    <row r="711" spans="1:12">
      <c r="A711" s="13"/>
      <c r="B711" s="13"/>
      <c r="C711" s="13"/>
      <c r="D711" s="17"/>
      <c r="E711" s="18"/>
      <c r="F711" s="17"/>
      <c r="G711" s="18"/>
      <c r="H711" s="13"/>
      <c r="I711" s="19">
        <f>IF($E711="","",IF($K711&lt;=0.005,"Pago",IF($D711="","Sem vencimento",IF($D711&lt;Hoje,"Vencida",IF($D711=Hoje,"Vence hoje",IF($D711-Hoje&lt;=DiasAlerta,"Vence em breve","A vencer"))))))</f>
        <v>0</v>
      </c>
      <c r="J711" s="20">
        <f>IF(OR($E711="",$D711=""),"",IF($K711&lt;=0.005,"",$D711-Hoje))</f>
        <v>0</v>
      </c>
      <c r="K711" s="21">
        <f>IF($E711="","",MAX(0,$E711-N($G711)))</f>
        <v>0</v>
      </c>
      <c r="L711" s="20">
        <f>IF($I711="Vencida","PAGAR JÁ (multa e juros)",IF($I711="Vence hoje","Pagar hoje",IF($I711="Vence em breve","Programar pagamento","")))</f>
        <v>0</v>
      </c>
    </row>
    <row r="712" spans="1:12">
      <c r="A712" s="13"/>
      <c r="B712" s="13"/>
      <c r="C712" s="13"/>
      <c r="D712" s="17"/>
      <c r="E712" s="18"/>
      <c r="F712" s="17"/>
      <c r="G712" s="18"/>
      <c r="H712" s="13"/>
      <c r="I712" s="19">
        <f>IF($E712="","",IF($K712&lt;=0.005,"Pago",IF($D712="","Sem vencimento",IF($D712&lt;Hoje,"Vencida",IF($D712=Hoje,"Vence hoje",IF($D712-Hoje&lt;=DiasAlerta,"Vence em breve","A vencer"))))))</f>
        <v>0</v>
      </c>
      <c r="J712" s="20">
        <f>IF(OR($E712="",$D712=""),"",IF($K712&lt;=0.005,"",$D712-Hoje))</f>
        <v>0</v>
      </c>
      <c r="K712" s="21">
        <f>IF($E712="","",MAX(0,$E712-N($G712)))</f>
        <v>0</v>
      </c>
      <c r="L712" s="20">
        <f>IF($I712="Vencida","PAGAR JÁ (multa e juros)",IF($I712="Vence hoje","Pagar hoje",IF($I712="Vence em breve","Programar pagamento","")))</f>
        <v>0</v>
      </c>
    </row>
    <row r="713" spans="1:12">
      <c r="A713" s="13"/>
      <c r="B713" s="13"/>
      <c r="C713" s="13"/>
      <c r="D713" s="17"/>
      <c r="E713" s="18"/>
      <c r="F713" s="17"/>
      <c r="G713" s="18"/>
      <c r="H713" s="13"/>
      <c r="I713" s="19">
        <f>IF($E713="","",IF($K713&lt;=0.005,"Pago",IF($D713="","Sem vencimento",IF($D713&lt;Hoje,"Vencida",IF($D713=Hoje,"Vence hoje",IF($D713-Hoje&lt;=DiasAlerta,"Vence em breve","A vencer"))))))</f>
        <v>0</v>
      </c>
      <c r="J713" s="20">
        <f>IF(OR($E713="",$D713=""),"",IF($K713&lt;=0.005,"",$D713-Hoje))</f>
        <v>0</v>
      </c>
      <c r="K713" s="21">
        <f>IF($E713="","",MAX(0,$E713-N($G713)))</f>
        <v>0</v>
      </c>
      <c r="L713" s="20">
        <f>IF($I713="Vencida","PAGAR JÁ (multa e juros)",IF($I713="Vence hoje","Pagar hoje",IF($I713="Vence em breve","Programar pagamento","")))</f>
        <v>0</v>
      </c>
    </row>
    <row r="714" spans="1:12">
      <c r="A714" s="13"/>
      <c r="B714" s="13"/>
      <c r="C714" s="13"/>
      <c r="D714" s="17"/>
      <c r="E714" s="18"/>
      <c r="F714" s="17"/>
      <c r="G714" s="18"/>
      <c r="H714" s="13"/>
      <c r="I714" s="19">
        <f>IF($E714="","",IF($K714&lt;=0.005,"Pago",IF($D714="","Sem vencimento",IF($D714&lt;Hoje,"Vencida",IF($D714=Hoje,"Vence hoje",IF($D714-Hoje&lt;=DiasAlerta,"Vence em breve","A vencer"))))))</f>
        <v>0</v>
      </c>
      <c r="J714" s="20">
        <f>IF(OR($E714="",$D714=""),"",IF($K714&lt;=0.005,"",$D714-Hoje))</f>
        <v>0</v>
      </c>
      <c r="K714" s="21">
        <f>IF($E714="","",MAX(0,$E714-N($G714)))</f>
        <v>0</v>
      </c>
      <c r="L714" s="20">
        <f>IF($I714="Vencida","PAGAR JÁ (multa e juros)",IF($I714="Vence hoje","Pagar hoje",IF($I714="Vence em breve","Programar pagamento","")))</f>
        <v>0</v>
      </c>
    </row>
    <row r="715" spans="1:12">
      <c r="A715" s="13"/>
      <c r="B715" s="13"/>
      <c r="C715" s="13"/>
      <c r="D715" s="17"/>
      <c r="E715" s="18"/>
      <c r="F715" s="17"/>
      <c r="G715" s="18"/>
      <c r="H715" s="13"/>
      <c r="I715" s="19">
        <f>IF($E715="","",IF($K715&lt;=0.005,"Pago",IF($D715="","Sem vencimento",IF($D715&lt;Hoje,"Vencida",IF($D715=Hoje,"Vence hoje",IF($D715-Hoje&lt;=DiasAlerta,"Vence em breve","A vencer"))))))</f>
        <v>0</v>
      </c>
      <c r="J715" s="20">
        <f>IF(OR($E715="",$D715=""),"",IF($K715&lt;=0.005,"",$D715-Hoje))</f>
        <v>0</v>
      </c>
      <c r="K715" s="21">
        <f>IF($E715="","",MAX(0,$E715-N($G715)))</f>
        <v>0</v>
      </c>
      <c r="L715" s="20">
        <f>IF($I715="Vencida","PAGAR JÁ (multa e juros)",IF($I715="Vence hoje","Pagar hoje",IF($I715="Vence em breve","Programar pagamento","")))</f>
        <v>0</v>
      </c>
    </row>
    <row r="716" spans="1:12">
      <c r="A716" s="13"/>
      <c r="B716" s="13"/>
      <c r="C716" s="13"/>
      <c r="D716" s="17"/>
      <c r="E716" s="18"/>
      <c r="F716" s="17"/>
      <c r="G716" s="18"/>
      <c r="H716" s="13"/>
      <c r="I716" s="19">
        <f>IF($E716="","",IF($K716&lt;=0.005,"Pago",IF($D716="","Sem vencimento",IF($D716&lt;Hoje,"Vencida",IF($D716=Hoje,"Vence hoje",IF($D716-Hoje&lt;=DiasAlerta,"Vence em breve","A vencer"))))))</f>
        <v>0</v>
      </c>
      <c r="J716" s="20">
        <f>IF(OR($E716="",$D716=""),"",IF($K716&lt;=0.005,"",$D716-Hoje))</f>
        <v>0</v>
      </c>
      <c r="K716" s="21">
        <f>IF($E716="","",MAX(0,$E716-N($G716)))</f>
        <v>0</v>
      </c>
      <c r="L716" s="20">
        <f>IF($I716="Vencida","PAGAR JÁ (multa e juros)",IF($I716="Vence hoje","Pagar hoje",IF($I716="Vence em breve","Programar pagamento","")))</f>
        <v>0</v>
      </c>
    </row>
    <row r="717" spans="1:12">
      <c r="A717" s="13"/>
      <c r="B717" s="13"/>
      <c r="C717" s="13"/>
      <c r="D717" s="17"/>
      <c r="E717" s="18"/>
      <c r="F717" s="17"/>
      <c r="G717" s="18"/>
      <c r="H717" s="13"/>
      <c r="I717" s="19">
        <f>IF($E717="","",IF($K717&lt;=0.005,"Pago",IF($D717="","Sem vencimento",IF($D717&lt;Hoje,"Vencida",IF($D717=Hoje,"Vence hoje",IF($D717-Hoje&lt;=DiasAlerta,"Vence em breve","A vencer"))))))</f>
        <v>0</v>
      </c>
      <c r="J717" s="20">
        <f>IF(OR($E717="",$D717=""),"",IF($K717&lt;=0.005,"",$D717-Hoje))</f>
        <v>0</v>
      </c>
      <c r="K717" s="21">
        <f>IF($E717="","",MAX(0,$E717-N($G717)))</f>
        <v>0</v>
      </c>
      <c r="L717" s="20">
        <f>IF($I717="Vencida","PAGAR JÁ (multa e juros)",IF($I717="Vence hoje","Pagar hoje",IF($I717="Vence em breve","Programar pagamento","")))</f>
        <v>0</v>
      </c>
    </row>
    <row r="718" spans="1:12">
      <c r="A718" s="13"/>
      <c r="B718" s="13"/>
      <c r="C718" s="13"/>
      <c r="D718" s="17"/>
      <c r="E718" s="18"/>
      <c r="F718" s="17"/>
      <c r="G718" s="18"/>
      <c r="H718" s="13"/>
      <c r="I718" s="19">
        <f>IF($E718="","",IF($K718&lt;=0.005,"Pago",IF($D718="","Sem vencimento",IF($D718&lt;Hoje,"Vencida",IF($D718=Hoje,"Vence hoje",IF($D718-Hoje&lt;=DiasAlerta,"Vence em breve","A vencer"))))))</f>
        <v>0</v>
      </c>
      <c r="J718" s="20">
        <f>IF(OR($E718="",$D718=""),"",IF($K718&lt;=0.005,"",$D718-Hoje))</f>
        <v>0</v>
      </c>
      <c r="K718" s="21">
        <f>IF($E718="","",MAX(0,$E718-N($G718)))</f>
        <v>0</v>
      </c>
      <c r="L718" s="20">
        <f>IF($I718="Vencida","PAGAR JÁ (multa e juros)",IF($I718="Vence hoje","Pagar hoje",IF($I718="Vence em breve","Programar pagamento","")))</f>
        <v>0</v>
      </c>
    </row>
    <row r="719" spans="1:12">
      <c r="A719" s="13"/>
      <c r="B719" s="13"/>
      <c r="C719" s="13"/>
      <c r="D719" s="17"/>
      <c r="E719" s="18"/>
      <c r="F719" s="17"/>
      <c r="G719" s="18"/>
      <c r="H719" s="13"/>
      <c r="I719" s="19">
        <f>IF($E719="","",IF($K719&lt;=0.005,"Pago",IF($D719="","Sem vencimento",IF($D719&lt;Hoje,"Vencida",IF($D719=Hoje,"Vence hoje",IF($D719-Hoje&lt;=DiasAlerta,"Vence em breve","A vencer"))))))</f>
        <v>0</v>
      </c>
      <c r="J719" s="20">
        <f>IF(OR($E719="",$D719=""),"",IF($K719&lt;=0.005,"",$D719-Hoje))</f>
        <v>0</v>
      </c>
      <c r="K719" s="21">
        <f>IF($E719="","",MAX(0,$E719-N($G719)))</f>
        <v>0</v>
      </c>
      <c r="L719" s="20">
        <f>IF($I719="Vencida","PAGAR JÁ (multa e juros)",IF($I719="Vence hoje","Pagar hoje",IF($I719="Vence em breve","Programar pagamento","")))</f>
        <v>0</v>
      </c>
    </row>
    <row r="720" spans="1:12">
      <c r="A720" s="13"/>
      <c r="B720" s="13"/>
      <c r="C720" s="13"/>
      <c r="D720" s="17"/>
      <c r="E720" s="18"/>
      <c r="F720" s="17"/>
      <c r="G720" s="18"/>
      <c r="H720" s="13"/>
      <c r="I720" s="19">
        <f>IF($E720="","",IF($K720&lt;=0.005,"Pago",IF($D720="","Sem vencimento",IF($D720&lt;Hoje,"Vencida",IF($D720=Hoje,"Vence hoje",IF($D720-Hoje&lt;=DiasAlerta,"Vence em breve","A vencer"))))))</f>
        <v>0</v>
      </c>
      <c r="J720" s="20">
        <f>IF(OR($E720="",$D720=""),"",IF($K720&lt;=0.005,"",$D720-Hoje))</f>
        <v>0</v>
      </c>
      <c r="K720" s="21">
        <f>IF($E720="","",MAX(0,$E720-N($G720)))</f>
        <v>0</v>
      </c>
      <c r="L720" s="20">
        <f>IF($I720="Vencida","PAGAR JÁ (multa e juros)",IF($I720="Vence hoje","Pagar hoje",IF($I720="Vence em breve","Programar pagamento","")))</f>
        <v>0</v>
      </c>
    </row>
    <row r="721" spans="1:12">
      <c r="A721" s="13"/>
      <c r="B721" s="13"/>
      <c r="C721" s="13"/>
      <c r="D721" s="17"/>
      <c r="E721" s="18"/>
      <c r="F721" s="17"/>
      <c r="G721" s="18"/>
      <c r="H721" s="13"/>
      <c r="I721" s="19">
        <f>IF($E721="","",IF($K721&lt;=0.005,"Pago",IF($D721="","Sem vencimento",IF($D721&lt;Hoje,"Vencida",IF($D721=Hoje,"Vence hoje",IF($D721-Hoje&lt;=DiasAlerta,"Vence em breve","A vencer"))))))</f>
        <v>0</v>
      </c>
      <c r="J721" s="20">
        <f>IF(OR($E721="",$D721=""),"",IF($K721&lt;=0.005,"",$D721-Hoje))</f>
        <v>0</v>
      </c>
      <c r="K721" s="21">
        <f>IF($E721="","",MAX(0,$E721-N($G721)))</f>
        <v>0</v>
      </c>
      <c r="L721" s="20">
        <f>IF($I721="Vencida","PAGAR JÁ (multa e juros)",IF($I721="Vence hoje","Pagar hoje",IF($I721="Vence em breve","Programar pagamento","")))</f>
        <v>0</v>
      </c>
    </row>
    <row r="722" spans="1:12">
      <c r="A722" s="13"/>
      <c r="B722" s="13"/>
      <c r="C722" s="13"/>
      <c r="D722" s="17"/>
      <c r="E722" s="18"/>
      <c r="F722" s="17"/>
      <c r="G722" s="18"/>
      <c r="H722" s="13"/>
      <c r="I722" s="19">
        <f>IF($E722="","",IF($K722&lt;=0.005,"Pago",IF($D722="","Sem vencimento",IF($D722&lt;Hoje,"Vencida",IF($D722=Hoje,"Vence hoje",IF($D722-Hoje&lt;=DiasAlerta,"Vence em breve","A vencer"))))))</f>
        <v>0</v>
      </c>
      <c r="J722" s="20">
        <f>IF(OR($E722="",$D722=""),"",IF($K722&lt;=0.005,"",$D722-Hoje))</f>
        <v>0</v>
      </c>
      <c r="K722" s="21">
        <f>IF($E722="","",MAX(0,$E722-N($G722)))</f>
        <v>0</v>
      </c>
      <c r="L722" s="20">
        <f>IF($I722="Vencida","PAGAR JÁ (multa e juros)",IF($I722="Vence hoje","Pagar hoje",IF($I722="Vence em breve","Programar pagamento","")))</f>
        <v>0</v>
      </c>
    </row>
    <row r="723" spans="1:12">
      <c r="A723" s="13"/>
      <c r="B723" s="13"/>
      <c r="C723" s="13"/>
      <c r="D723" s="17"/>
      <c r="E723" s="18"/>
      <c r="F723" s="17"/>
      <c r="G723" s="18"/>
      <c r="H723" s="13"/>
      <c r="I723" s="19">
        <f>IF($E723="","",IF($K723&lt;=0.005,"Pago",IF($D723="","Sem vencimento",IF($D723&lt;Hoje,"Vencida",IF($D723=Hoje,"Vence hoje",IF($D723-Hoje&lt;=DiasAlerta,"Vence em breve","A vencer"))))))</f>
        <v>0</v>
      </c>
      <c r="J723" s="20">
        <f>IF(OR($E723="",$D723=""),"",IF($K723&lt;=0.005,"",$D723-Hoje))</f>
        <v>0</v>
      </c>
      <c r="K723" s="21">
        <f>IF($E723="","",MAX(0,$E723-N($G723)))</f>
        <v>0</v>
      </c>
      <c r="L723" s="20">
        <f>IF($I723="Vencida","PAGAR JÁ (multa e juros)",IF($I723="Vence hoje","Pagar hoje",IF($I723="Vence em breve","Programar pagamento","")))</f>
        <v>0</v>
      </c>
    </row>
    <row r="724" spans="1:12">
      <c r="A724" s="13"/>
      <c r="B724" s="13"/>
      <c r="C724" s="13"/>
      <c r="D724" s="17"/>
      <c r="E724" s="18"/>
      <c r="F724" s="17"/>
      <c r="G724" s="18"/>
      <c r="H724" s="13"/>
      <c r="I724" s="19">
        <f>IF($E724="","",IF($K724&lt;=0.005,"Pago",IF($D724="","Sem vencimento",IF($D724&lt;Hoje,"Vencida",IF($D724=Hoje,"Vence hoje",IF($D724-Hoje&lt;=DiasAlerta,"Vence em breve","A vencer"))))))</f>
        <v>0</v>
      </c>
      <c r="J724" s="20">
        <f>IF(OR($E724="",$D724=""),"",IF($K724&lt;=0.005,"",$D724-Hoje))</f>
        <v>0</v>
      </c>
      <c r="K724" s="21">
        <f>IF($E724="","",MAX(0,$E724-N($G724)))</f>
        <v>0</v>
      </c>
      <c r="L724" s="20">
        <f>IF($I724="Vencida","PAGAR JÁ (multa e juros)",IF($I724="Vence hoje","Pagar hoje",IF($I724="Vence em breve","Programar pagamento","")))</f>
        <v>0</v>
      </c>
    </row>
    <row r="725" spans="1:12">
      <c r="A725" s="13"/>
      <c r="B725" s="13"/>
      <c r="C725" s="13"/>
      <c r="D725" s="17"/>
      <c r="E725" s="18"/>
      <c r="F725" s="17"/>
      <c r="G725" s="18"/>
      <c r="H725" s="13"/>
      <c r="I725" s="19">
        <f>IF($E725="","",IF($K725&lt;=0.005,"Pago",IF($D725="","Sem vencimento",IF($D725&lt;Hoje,"Vencida",IF($D725=Hoje,"Vence hoje",IF($D725-Hoje&lt;=DiasAlerta,"Vence em breve","A vencer"))))))</f>
        <v>0</v>
      </c>
      <c r="J725" s="20">
        <f>IF(OR($E725="",$D725=""),"",IF($K725&lt;=0.005,"",$D725-Hoje))</f>
        <v>0</v>
      </c>
      <c r="K725" s="21">
        <f>IF($E725="","",MAX(0,$E725-N($G725)))</f>
        <v>0</v>
      </c>
      <c r="L725" s="20">
        <f>IF($I725="Vencida","PAGAR JÁ (multa e juros)",IF($I725="Vence hoje","Pagar hoje",IF($I725="Vence em breve","Programar pagamento","")))</f>
        <v>0</v>
      </c>
    </row>
    <row r="726" spans="1:12">
      <c r="A726" s="13"/>
      <c r="B726" s="13"/>
      <c r="C726" s="13"/>
      <c r="D726" s="17"/>
      <c r="E726" s="18"/>
      <c r="F726" s="17"/>
      <c r="G726" s="18"/>
      <c r="H726" s="13"/>
      <c r="I726" s="19">
        <f>IF($E726="","",IF($K726&lt;=0.005,"Pago",IF($D726="","Sem vencimento",IF($D726&lt;Hoje,"Vencida",IF($D726=Hoje,"Vence hoje",IF($D726-Hoje&lt;=DiasAlerta,"Vence em breve","A vencer"))))))</f>
        <v>0</v>
      </c>
      <c r="J726" s="20">
        <f>IF(OR($E726="",$D726=""),"",IF($K726&lt;=0.005,"",$D726-Hoje))</f>
        <v>0</v>
      </c>
      <c r="K726" s="21">
        <f>IF($E726="","",MAX(0,$E726-N($G726)))</f>
        <v>0</v>
      </c>
      <c r="L726" s="20">
        <f>IF($I726="Vencida","PAGAR JÁ (multa e juros)",IF($I726="Vence hoje","Pagar hoje",IF($I726="Vence em breve","Programar pagamento","")))</f>
        <v>0</v>
      </c>
    </row>
    <row r="727" spans="1:12">
      <c r="A727" s="13"/>
      <c r="B727" s="13"/>
      <c r="C727" s="13"/>
      <c r="D727" s="17"/>
      <c r="E727" s="18"/>
      <c r="F727" s="17"/>
      <c r="G727" s="18"/>
      <c r="H727" s="13"/>
      <c r="I727" s="19">
        <f>IF($E727="","",IF($K727&lt;=0.005,"Pago",IF($D727="","Sem vencimento",IF($D727&lt;Hoje,"Vencida",IF($D727=Hoje,"Vence hoje",IF($D727-Hoje&lt;=DiasAlerta,"Vence em breve","A vencer"))))))</f>
        <v>0</v>
      </c>
      <c r="J727" s="20">
        <f>IF(OR($E727="",$D727=""),"",IF($K727&lt;=0.005,"",$D727-Hoje))</f>
        <v>0</v>
      </c>
      <c r="K727" s="21">
        <f>IF($E727="","",MAX(0,$E727-N($G727)))</f>
        <v>0</v>
      </c>
      <c r="L727" s="20">
        <f>IF($I727="Vencida","PAGAR JÁ (multa e juros)",IF($I727="Vence hoje","Pagar hoje",IF($I727="Vence em breve","Programar pagamento","")))</f>
        <v>0</v>
      </c>
    </row>
    <row r="728" spans="1:12">
      <c r="A728" s="13"/>
      <c r="B728" s="13"/>
      <c r="C728" s="13"/>
      <c r="D728" s="17"/>
      <c r="E728" s="18"/>
      <c r="F728" s="17"/>
      <c r="G728" s="18"/>
      <c r="H728" s="13"/>
      <c r="I728" s="19">
        <f>IF($E728="","",IF($K728&lt;=0.005,"Pago",IF($D728="","Sem vencimento",IF($D728&lt;Hoje,"Vencida",IF($D728=Hoje,"Vence hoje",IF($D728-Hoje&lt;=DiasAlerta,"Vence em breve","A vencer"))))))</f>
        <v>0</v>
      </c>
      <c r="J728" s="20">
        <f>IF(OR($E728="",$D728=""),"",IF($K728&lt;=0.005,"",$D728-Hoje))</f>
        <v>0</v>
      </c>
      <c r="K728" s="21">
        <f>IF($E728="","",MAX(0,$E728-N($G728)))</f>
        <v>0</v>
      </c>
      <c r="L728" s="20">
        <f>IF($I728="Vencida","PAGAR JÁ (multa e juros)",IF($I728="Vence hoje","Pagar hoje",IF($I728="Vence em breve","Programar pagamento","")))</f>
        <v>0</v>
      </c>
    </row>
    <row r="729" spans="1:12">
      <c r="A729" s="13"/>
      <c r="B729" s="13"/>
      <c r="C729" s="13"/>
      <c r="D729" s="17"/>
      <c r="E729" s="18"/>
      <c r="F729" s="17"/>
      <c r="G729" s="18"/>
      <c r="H729" s="13"/>
      <c r="I729" s="19">
        <f>IF($E729="","",IF($K729&lt;=0.005,"Pago",IF($D729="","Sem vencimento",IF($D729&lt;Hoje,"Vencida",IF($D729=Hoje,"Vence hoje",IF($D729-Hoje&lt;=DiasAlerta,"Vence em breve","A vencer"))))))</f>
        <v>0</v>
      </c>
      <c r="J729" s="20">
        <f>IF(OR($E729="",$D729=""),"",IF($K729&lt;=0.005,"",$D729-Hoje))</f>
        <v>0</v>
      </c>
      <c r="K729" s="21">
        <f>IF($E729="","",MAX(0,$E729-N($G729)))</f>
        <v>0</v>
      </c>
      <c r="L729" s="20">
        <f>IF($I729="Vencida","PAGAR JÁ (multa e juros)",IF($I729="Vence hoje","Pagar hoje",IF($I729="Vence em breve","Programar pagamento","")))</f>
        <v>0</v>
      </c>
    </row>
    <row r="730" spans="1:12">
      <c r="A730" s="13"/>
      <c r="B730" s="13"/>
      <c r="C730" s="13"/>
      <c r="D730" s="17"/>
      <c r="E730" s="18"/>
      <c r="F730" s="17"/>
      <c r="G730" s="18"/>
      <c r="H730" s="13"/>
      <c r="I730" s="19">
        <f>IF($E730="","",IF($K730&lt;=0.005,"Pago",IF($D730="","Sem vencimento",IF($D730&lt;Hoje,"Vencida",IF($D730=Hoje,"Vence hoje",IF($D730-Hoje&lt;=DiasAlerta,"Vence em breve","A vencer"))))))</f>
        <v>0</v>
      </c>
      <c r="J730" s="20">
        <f>IF(OR($E730="",$D730=""),"",IF($K730&lt;=0.005,"",$D730-Hoje))</f>
        <v>0</v>
      </c>
      <c r="K730" s="21">
        <f>IF($E730="","",MAX(0,$E730-N($G730)))</f>
        <v>0</v>
      </c>
      <c r="L730" s="20">
        <f>IF($I730="Vencida","PAGAR JÁ (multa e juros)",IF($I730="Vence hoje","Pagar hoje",IF($I730="Vence em breve","Programar pagamento","")))</f>
        <v>0</v>
      </c>
    </row>
    <row r="731" spans="1:12">
      <c r="A731" s="13"/>
      <c r="B731" s="13"/>
      <c r="C731" s="13"/>
      <c r="D731" s="17"/>
      <c r="E731" s="18"/>
      <c r="F731" s="17"/>
      <c r="G731" s="18"/>
      <c r="H731" s="13"/>
      <c r="I731" s="19">
        <f>IF($E731="","",IF($K731&lt;=0.005,"Pago",IF($D731="","Sem vencimento",IF($D731&lt;Hoje,"Vencida",IF($D731=Hoje,"Vence hoje",IF($D731-Hoje&lt;=DiasAlerta,"Vence em breve","A vencer"))))))</f>
        <v>0</v>
      </c>
      <c r="J731" s="20">
        <f>IF(OR($E731="",$D731=""),"",IF($K731&lt;=0.005,"",$D731-Hoje))</f>
        <v>0</v>
      </c>
      <c r="K731" s="21">
        <f>IF($E731="","",MAX(0,$E731-N($G731)))</f>
        <v>0</v>
      </c>
      <c r="L731" s="20">
        <f>IF($I731="Vencida","PAGAR JÁ (multa e juros)",IF($I731="Vence hoje","Pagar hoje",IF($I731="Vence em breve","Programar pagamento","")))</f>
        <v>0</v>
      </c>
    </row>
    <row r="732" spans="1:12">
      <c r="A732" s="13"/>
      <c r="B732" s="13"/>
      <c r="C732" s="13"/>
      <c r="D732" s="17"/>
      <c r="E732" s="18"/>
      <c r="F732" s="17"/>
      <c r="G732" s="18"/>
      <c r="H732" s="13"/>
      <c r="I732" s="19">
        <f>IF($E732="","",IF($K732&lt;=0.005,"Pago",IF($D732="","Sem vencimento",IF($D732&lt;Hoje,"Vencida",IF($D732=Hoje,"Vence hoje",IF($D732-Hoje&lt;=DiasAlerta,"Vence em breve","A vencer"))))))</f>
        <v>0</v>
      </c>
      <c r="J732" s="20">
        <f>IF(OR($E732="",$D732=""),"",IF($K732&lt;=0.005,"",$D732-Hoje))</f>
        <v>0</v>
      </c>
      <c r="K732" s="21">
        <f>IF($E732="","",MAX(0,$E732-N($G732)))</f>
        <v>0</v>
      </c>
      <c r="L732" s="20">
        <f>IF($I732="Vencida","PAGAR JÁ (multa e juros)",IF($I732="Vence hoje","Pagar hoje",IF($I732="Vence em breve","Programar pagamento","")))</f>
        <v>0</v>
      </c>
    </row>
    <row r="733" spans="1:12">
      <c r="A733" s="13"/>
      <c r="B733" s="13"/>
      <c r="C733" s="13"/>
      <c r="D733" s="17"/>
      <c r="E733" s="18"/>
      <c r="F733" s="17"/>
      <c r="G733" s="18"/>
      <c r="H733" s="13"/>
      <c r="I733" s="19">
        <f>IF($E733="","",IF($K733&lt;=0.005,"Pago",IF($D733="","Sem vencimento",IF($D733&lt;Hoje,"Vencida",IF($D733=Hoje,"Vence hoje",IF($D733-Hoje&lt;=DiasAlerta,"Vence em breve","A vencer"))))))</f>
        <v>0</v>
      </c>
      <c r="J733" s="20">
        <f>IF(OR($E733="",$D733=""),"",IF($K733&lt;=0.005,"",$D733-Hoje))</f>
        <v>0</v>
      </c>
      <c r="K733" s="21">
        <f>IF($E733="","",MAX(0,$E733-N($G733)))</f>
        <v>0</v>
      </c>
      <c r="L733" s="20">
        <f>IF($I733="Vencida","PAGAR JÁ (multa e juros)",IF($I733="Vence hoje","Pagar hoje",IF($I733="Vence em breve","Programar pagamento","")))</f>
        <v>0</v>
      </c>
    </row>
    <row r="734" spans="1:12">
      <c r="A734" s="13"/>
      <c r="B734" s="13"/>
      <c r="C734" s="13"/>
      <c r="D734" s="17"/>
      <c r="E734" s="18"/>
      <c r="F734" s="17"/>
      <c r="G734" s="18"/>
      <c r="H734" s="13"/>
      <c r="I734" s="19">
        <f>IF($E734="","",IF($K734&lt;=0.005,"Pago",IF($D734="","Sem vencimento",IF($D734&lt;Hoje,"Vencida",IF($D734=Hoje,"Vence hoje",IF($D734-Hoje&lt;=DiasAlerta,"Vence em breve","A vencer"))))))</f>
        <v>0</v>
      </c>
      <c r="J734" s="20">
        <f>IF(OR($E734="",$D734=""),"",IF($K734&lt;=0.005,"",$D734-Hoje))</f>
        <v>0</v>
      </c>
      <c r="K734" s="21">
        <f>IF($E734="","",MAX(0,$E734-N($G734)))</f>
        <v>0</v>
      </c>
      <c r="L734" s="20">
        <f>IF($I734="Vencida","PAGAR JÁ (multa e juros)",IF($I734="Vence hoje","Pagar hoje",IF($I734="Vence em breve","Programar pagamento","")))</f>
        <v>0</v>
      </c>
    </row>
    <row r="735" spans="1:12">
      <c r="A735" s="13"/>
      <c r="B735" s="13"/>
      <c r="C735" s="13"/>
      <c r="D735" s="17"/>
      <c r="E735" s="18"/>
      <c r="F735" s="17"/>
      <c r="G735" s="18"/>
      <c r="H735" s="13"/>
      <c r="I735" s="19">
        <f>IF($E735="","",IF($K735&lt;=0.005,"Pago",IF($D735="","Sem vencimento",IF($D735&lt;Hoje,"Vencida",IF($D735=Hoje,"Vence hoje",IF($D735-Hoje&lt;=DiasAlerta,"Vence em breve","A vencer"))))))</f>
        <v>0</v>
      </c>
      <c r="J735" s="20">
        <f>IF(OR($E735="",$D735=""),"",IF($K735&lt;=0.005,"",$D735-Hoje))</f>
        <v>0</v>
      </c>
      <c r="K735" s="21">
        <f>IF($E735="","",MAX(0,$E735-N($G735)))</f>
        <v>0</v>
      </c>
      <c r="L735" s="20">
        <f>IF($I735="Vencida","PAGAR JÁ (multa e juros)",IF($I735="Vence hoje","Pagar hoje",IF($I735="Vence em breve","Programar pagamento","")))</f>
        <v>0</v>
      </c>
    </row>
    <row r="736" spans="1:12">
      <c r="A736" s="13"/>
      <c r="B736" s="13"/>
      <c r="C736" s="13"/>
      <c r="D736" s="17"/>
      <c r="E736" s="18"/>
      <c r="F736" s="17"/>
      <c r="G736" s="18"/>
      <c r="H736" s="13"/>
      <c r="I736" s="19">
        <f>IF($E736="","",IF($K736&lt;=0.005,"Pago",IF($D736="","Sem vencimento",IF($D736&lt;Hoje,"Vencida",IF($D736=Hoje,"Vence hoje",IF($D736-Hoje&lt;=DiasAlerta,"Vence em breve","A vencer"))))))</f>
        <v>0</v>
      </c>
      <c r="J736" s="20">
        <f>IF(OR($E736="",$D736=""),"",IF($K736&lt;=0.005,"",$D736-Hoje))</f>
        <v>0</v>
      </c>
      <c r="K736" s="21">
        <f>IF($E736="","",MAX(0,$E736-N($G736)))</f>
        <v>0</v>
      </c>
      <c r="L736" s="20">
        <f>IF($I736="Vencida","PAGAR JÁ (multa e juros)",IF($I736="Vence hoje","Pagar hoje",IF($I736="Vence em breve","Programar pagamento","")))</f>
        <v>0</v>
      </c>
    </row>
    <row r="737" spans="1:12">
      <c r="A737" s="13"/>
      <c r="B737" s="13"/>
      <c r="C737" s="13"/>
      <c r="D737" s="17"/>
      <c r="E737" s="18"/>
      <c r="F737" s="17"/>
      <c r="G737" s="18"/>
      <c r="H737" s="13"/>
      <c r="I737" s="19">
        <f>IF($E737="","",IF($K737&lt;=0.005,"Pago",IF($D737="","Sem vencimento",IF($D737&lt;Hoje,"Vencida",IF($D737=Hoje,"Vence hoje",IF($D737-Hoje&lt;=DiasAlerta,"Vence em breve","A vencer"))))))</f>
        <v>0</v>
      </c>
      <c r="J737" s="20">
        <f>IF(OR($E737="",$D737=""),"",IF($K737&lt;=0.005,"",$D737-Hoje))</f>
        <v>0</v>
      </c>
      <c r="K737" s="21">
        <f>IF($E737="","",MAX(0,$E737-N($G737)))</f>
        <v>0</v>
      </c>
      <c r="L737" s="20">
        <f>IF($I737="Vencida","PAGAR JÁ (multa e juros)",IF($I737="Vence hoje","Pagar hoje",IF($I737="Vence em breve","Programar pagamento","")))</f>
        <v>0</v>
      </c>
    </row>
    <row r="738" spans="1:12">
      <c r="A738" s="13"/>
      <c r="B738" s="13"/>
      <c r="C738" s="13"/>
      <c r="D738" s="17"/>
      <c r="E738" s="18"/>
      <c r="F738" s="17"/>
      <c r="G738" s="18"/>
      <c r="H738" s="13"/>
      <c r="I738" s="19">
        <f>IF($E738="","",IF($K738&lt;=0.005,"Pago",IF($D738="","Sem vencimento",IF($D738&lt;Hoje,"Vencida",IF($D738=Hoje,"Vence hoje",IF($D738-Hoje&lt;=DiasAlerta,"Vence em breve","A vencer"))))))</f>
        <v>0</v>
      </c>
      <c r="J738" s="20">
        <f>IF(OR($E738="",$D738=""),"",IF($K738&lt;=0.005,"",$D738-Hoje))</f>
        <v>0</v>
      </c>
      <c r="K738" s="21">
        <f>IF($E738="","",MAX(0,$E738-N($G738)))</f>
        <v>0</v>
      </c>
      <c r="L738" s="20">
        <f>IF($I738="Vencida","PAGAR JÁ (multa e juros)",IF($I738="Vence hoje","Pagar hoje",IF($I738="Vence em breve","Programar pagamento","")))</f>
        <v>0</v>
      </c>
    </row>
    <row r="739" spans="1:12">
      <c r="A739" s="13"/>
      <c r="B739" s="13"/>
      <c r="C739" s="13"/>
      <c r="D739" s="17"/>
      <c r="E739" s="18"/>
      <c r="F739" s="17"/>
      <c r="G739" s="18"/>
      <c r="H739" s="13"/>
      <c r="I739" s="19">
        <f>IF($E739="","",IF($K739&lt;=0.005,"Pago",IF($D739="","Sem vencimento",IF($D739&lt;Hoje,"Vencida",IF($D739=Hoje,"Vence hoje",IF($D739-Hoje&lt;=DiasAlerta,"Vence em breve","A vencer"))))))</f>
        <v>0</v>
      </c>
      <c r="J739" s="20">
        <f>IF(OR($E739="",$D739=""),"",IF($K739&lt;=0.005,"",$D739-Hoje))</f>
        <v>0</v>
      </c>
      <c r="K739" s="21">
        <f>IF($E739="","",MAX(0,$E739-N($G739)))</f>
        <v>0</v>
      </c>
      <c r="L739" s="20">
        <f>IF($I739="Vencida","PAGAR JÁ (multa e juros)",IF($I739="Vence hoje","Pagar hoje",IF($I739="Vence em breve","Programar pagamento","")))</f>
        <v>0</v>
      </c>
    </row>
    <row r="740" spans="1:12">
      <c r="A740" s="13"/>
      <c r="B740" s="13"/>
      <c r="C740" s="13"/>
      <c r="D740" s="17"/>
      <c r="E740" s="18"/>
      <c r="F740" s="17"/>
      <c r="G740" s="18"/>
      <c r="H740" s="13"/>
      <c r="I740" s="19">
        <f>IF($E740="","",IF($K740&lt;=0.005,"Pago",IF($D740="","Sem vencimento",IF($D740&lt;Hoje,"Vencida",IF($D740=Hoje,"Vence hoje",IF($D740-Hoje&lt;=DiasAlerta,"Vence em breve","A vencer"))))))</f>
        <v>0</v>
      </c>
      <c r="J740" s="20">
        <f>IF(OR($E740="",$D740=""),"",IF($K740&lt;=0.005,"",$D740-Hoje))</f>
        <v>0</v>
      </c>
      <c r="K740" s="21">
        <f>IF($E740="","",MAX(0,$E740-N($G740)))</f>
        <v>0</v>
      </c>
      <c r="L740" s="20">
        <f>IF($I740="Vencida","PAGAR JÁ (multa e juros)",IF($I740="Vence hoje","Pagar hoje",IF($I740="Vence em breve","Programar pagamento","")))</f>
        <v>0</v>
      </c>
    </row>
    <row r="741" spans="1:12">
      <c r="A741" s="13"/>
      <c r="B741" s="13"/>
      <c r="C741" s="13"/>
      <c r="D741" s="17"/>
      <c r="E741" s="18"/>
      <c r="F741" s="17"/>
      <c r="G741" s="18"/>
      <c r="H741" s="13"/>
      <c r="I741" s="19">
        <f>IF($E741="","",IF($K741&lt;=0.005,"Pago",IF($D741="","Sem vencimento",IF($D741&lt;Hoje,"Vencida",IF($D741=Hoje,"Vence hoje",IF($D741-Hoje&lt;=DiasAlerta,"Vence em breve","A vencer"))))))</f>
        <v>0</v>
      </c>
      <c r="J741" s="20">
        <f>IF(OR($E741="",$D741=""),"",IF($K741&lt;=0.005,"",$D741-Hoje))</f>
        <v>0</v>
      </c>
      <c r="K741" s="21">
        <f>IF($E741="","",MAX(0,$E741-N($G741)))</f>
        <v>0</v>
      </c>
      <c r="L741" s="20">
        <f>IF($I741="Vencida","PAGAR JÁ (multa e juros)",IF($I741="Vence hoje","Pagar hoje",IF($I741="Vence em breve","Programar pagamento","")))</f>
        <v>0</v>
      </c>
    </row>
    <row r="742" spans="1:12">
      <c r="A742" s="13"/>
      <c r="B742" s="13"/>
      <c r="C742" s="13"/>
      <c r="D742" s="17"/>
      <c r="E742" s="18"/>
      <c r="F742" s="17"/>
      <c r="G742" s="18"/>
      <c r="H742" s="13"/>
      <c r="I742" s="19">
        <f>IF($E742="","",IF($K742&lt;=0.005,"Pago",IF($D742="","Sem vencimento",IF($D742&lt;Hoje,"Vencida",IF($D742=Hoje,"Vence hoje",IF($D742-Hoje&lt;=DiasAlerta,"Vence em breve","A vencer"))))))</f>
        <v>0</v>
      </c>
      <c r="J742" s="20">
        <f>IF(OR($E742="",$D742=""),"",IF($K742&lt;=0.005,"",$D742-Hoje))</f>
        <v>0</v>
      </c>
      <c r="K742" s="21">
        <f>IF($E742="","",MAX(0,$E742-N($G742)))</f>
        <v>0</v>
      </c>
      <c r="L742" s="20">
        <f>IF($I742="Vencida","PAGAR JÁ (multa e juros)",IF($I742="Vence hoje","Pagar hoje",IF($I742="Vence em breve","Programar pagamento","")))</f>
        <v>0</v>
      </c>
    </row>
    <row r="743" spans="1:12">
      <c r="A743" s="13"/>
      <c r="B743" s="13"/>
      <c r="C743" s="13"/>
      <c r="D743" s="17"/>
      <c r="E743" s="18"/>
      <c r="F743" s="17"/>
      <c r="G743" s="18"/>
      <c r="H743" s="13"/>
      <c r="I743" s="19">
        <f>IF($E743="","",IF($K743&lt;=0.005,"Pago",IF($D743="","Sem vencimento",IF($D743&lt;Hoje,"Vencida",IF($D743=Hoje,"Vence hoje",IF($D743-Hoje&lt;=DiasAlerta,"Vence em breve","A vencer"))))))</f>
        <v>0</v>
      </c>
      <c r="J743" s="20">
        <f>IF(OR($E743="",$D743=""),"",IF($K743&lt;=0.005,"",$D743-Hoje))</f>
        <v>0</v>
      </c>
      <c r="K743" s="21">
        <f>IF($E743="","",MAX(0,$E743-N($G743)))</f>
        <v>0</v>
      </c>
      <c r="L743" s="20">
        <f>IF($I743="Vencida","PAGAR JÁ (multa e juros)",IF($I743="Vence hoje","Pagar hoje",IF($I743="Vence em breve","Programar pagamento","")))</f>
        <v>0</v>
      </c>
    </row>
    <row r="744" spans="1:12">
      <c r="A744" s="13"/>
      <c r="B744" s="13"/>
      <c r="C744" s="13"/>
      <c r="D744" s="17"/>
      <c r="E744" s="18"/>
      <c r="F744" s="17"/>
      <c r="G744" s="18"/>
      <c r="H744" s="13"/>
      <c r="I744" s="19">
        <f>IF($E744="","",IF($K744&lt;=0.005,"Pago",IF($D744="","Sem vencimento",IF($D744&lt;Hoje,"Vencida",IF($D744=Hoje,"Vence hoje",IF($D744-Hoje&lt;=DiasAlerta,"Vence em breve","A vencer"))))))</f>
        <v>0</v>
      </c>
      <c r="J744" s="20">
        <f>IF(OR($E744="",$D744=""),"",IF($K744&lt;=0.005,"",$D744-Hoje))</f>
        <v>0</v>
      </c>
      <c r="K744" s="21">
        <f>IF($E744="","",MAX(0,$E744-N($G744)))</f>
        <v>0</v>
      </c>
      <c r="L744" s="20">
        <f>IF($I744="Vencida","PAGAR JÁ (multa e juros)",IF($I744="Vence hoje","Pagar hoje",IF($I744="Vence em breve","Programar pagamento","")))</f>
        <v>0</v>
      </c>
    </row>
    <row r="745" spans="1:12">
      <c r="A745" s="13"/>
      <c r="B745" s="13"/>
      <c r="C745" s="13"/>
      <c r="D745" s="17"/>
      <c r="E745" s="18"/>
      <c r="F745" s="17"/>
      <c r="G745" s="18"/>
      <c r="H745" s="13"/>
      <c r="I745" s="19">
        <f>IF($E745="","",IF($K745&lt;=0.005,"Pago",IF($D745="","Sem vencimento",IF($D745&lt;Hoje,"Vencida",IF($D745=Hoje,"Vence hoje",IF($D745-Hoje&lt;=DiasAlerta,"Vence em breve","A vencer"))))))</f>
        <v>0</v>
      </c>
      <c r="J745" s="20">
        <f>IF(OR($E745="",$D745=""),"",IF($K745&lt;=0.005,"",$D745-Hoje))</f>
        <v>0</v>
      </c>
      <c r="K745" s="21">
        <f>IF($E745="","",MAX(0,$E745-N($G745)))</f>
        <v>0</v>
      </c>
      <c r="L745" s="20">
        <f>IF($I745="Vencida","PAGAR JÁ (multa e juros)",IF($I745="Vence hoje","Pagar hoje",IF($I745="Vence em breve","Programar pagamento","")))</f>
        <v>0</v>
      </c>
    </row>
    <row r="746" spans="1:12">
      <c r="A746" s="13"/>
      <c r="B746" s="13"/>
      <c r="C746" s="13"/>
      <c r="D746" s="17"/>
      <c r="E746" s="18"/>
      <c r="F746" s="17"/>
      <c r="G746" s="18"/>
      <c r="H746" s="13"/>
      <c r="I746" s="19">
        <f>IF($E746="","",IF($K746&lt;=0.005,"Pago",IF($D746="","Sem vencimento",IF($D746&lt;Hoje,"Vencida",IF($D746=Hoje,"Vence hoje",IF($D746-Hoje&lt;=DiasAlerta,"Vence em breve","A vencer"))))))</f>
        <v>0</v>
      </c>
      <c r="J746" s="20">
        <f>IF(OR($E746="",$D746=""),"",IF($K746&lt;=0.005,"",$D746-Hoje))</f>
        <v>0</v>
      </c>
      <c r="K746" s="21">
        <f>IF($E746="","",MAX(0,$E746-N($G746)))</f>
        <v>0</v>
      </c>
      <c r="L746" s="20">
        <f>IF($I746="Vencida","PAGAR JÁ (multa e juros)",IF($I746="Vence hoje","Pagar hoje",IF($I746="Vence em breve","Programar pagamento","")))</f>
        <v>0</v>
      </c>
    </row>
    <row r="747" spans="1:12">
      <c r="A747" s="13"/>
      <c r="B747" s="13"/>
      <c r="C747" s="13"/>
      <c r="D747" s="17"/>
      <c r="E747" s="18"/>
      <c r="F747" s="17"/>
      <c r="G747" s="18"/>
      <c r="H747" s="13"/>
      <c r="I747" s="19">
        <f>IF($E747="","",IF($K747&lt;=0.005,"Pago",IF($D747="","Sem vencimento",IF($D747&lt;Hoje,"Vencida",IF($D747=Hoje,"Vence hoje",IF($D747-Hoje&lt;=DiasAlerta,"Vence em breve","A vencer"))))))</f>
        <v>0</v>
      </c>
      <c r="J747" s="20">
        <f>IF(OR($E747="",$D747=""),"",IF($K747&lt;=0.005,"",$D747-Hoje))</f>
        <v>0</v>
      </c>
      <c r="K747" s="21">
        <f>IF($E747="","",MAX(0,$E747-N($G747)))</f>
        <v>0</v>
      </c>
      <c r="L747" s="20">
        <f>IF($I747="Vencida","PAGAR JÁ (multa e juros)",IF($I747="Vence hoje","Pagar hoje",IF($I747="Vence em breve","Programar pagamento","")))</f>
        <v>0</v>
      </c>
    </row>
    <row r="748" spans="1:12">
      <c r="A748" s="13"/>
      <c r="B748" s="13"/>
      <c r="C748" s="13"/>
      <c r="D748" s="17"/>
      <c r="E748" s="18"/>
      <c r="F748" s="17"/>
      <c r="G748" s="18"/>
      <c r="H748" s="13"/>
      <c r="I748" s="19">
        <f>IF($E748="","",IF($K748&lt;=0.005,"Pago",IF($D748="","Sem vencimento",IF($D748&lt;Hoje,"Vencida",IF($D748=Hoje,"Vence hoje",IF($D748-Hoje&lt;=DiasAlerta,"Vence em breve","A vencer"))))))</f>
        <v>0</v>
      </c>
      <c r="J748" s="20">
        <f>IF(OR($E748="",$D748=""),"",IF($K748&lt;=0.005,"",$D748-Hoje))</f>
        <v>0</v>
      </c>
      <c r="K748" s="21">
        <f>IF($E748="","",MAX(0,$E748-N($G748)))</f>
        <v>0</v>
      </c>
      <c r="L748" s="20">
        <f>IF($I748="Vencida","PAGAR JÁ (multa e juros)",IF($I748="Vence hoje","Pagar hoje",IF($I748="Vence em breve","Programar pagamento","")))</f>
        <v>0</v>
      </c>
    </row>
    <row r="749" spans="1:12">
      <c r="A749" s="13"/>
      <c r="B749" s="13"/>
      <c r="C749" s="13"/>
      <c r="D749" s="17"/>
      <c r="E749" s="18"/>
      <c r="F749" s="17"/>
      <c r="G749" s="18"/>
      <c r="H749" s="13"/>
      <c r="I749" s="19">
        <f>IF($E749="","",IF($K749&lt;=0.005,"Pago",IF($D749="","Sem vencimento",IF($D749&lt;Hoje,"Vencida",IF($D749=Hoje,"Vence hoje",IF($D749-Hoje&lt;=DiasAlerta,"Vence em breve","A vencer"))))))</f>
        <v>0</v>
      </c>
      <c r="J749" s="20">
        <f>IF(OR($E749="",$D749=""),"",IF($K749&lt;=0.005,"",$D749-Hoje))</f>
        <v>0</v>
      </c>
      <c r="K749" s="21">
        <f>IF($E749="","",MAX(0,$E749-N($G749)))</f>
        <v>0</v>
      </c>
      <c r="L749" s="20">
        <f>IF($I749="Vencida","PAGAR JÁ (multa e juros)",IF($I749="Vence hoje","Pagar hoje",IF($I749="Vence em breve","Programar pagamento","")))</f>
        <v>0</v>
      </c>
    </row>
    <row r="750" spans="1:12">
      <c r="A750" s="13"/>
      <c r="B750" s="13"/>
      <c r="C750" s="13"/>
      <c r="D750" s="17"/>
      <c r="E750" s="18"/>
      <c r="F750" s="17"/>
      <c r="G750" s="18"/>
      <c r="H750" s="13"/>
      <c r="I750" s="19">
        <f>IF($E750="","",IF($K750&lt;=0.005,"Pago",IF($D750="","Sem vencimento",IF($D750&lt;Hoje,"Vencida",IF($D750=Hoje,"Vence hoje",IF($D750-Hoje&lt;=DiasAlerta,"Vence em breve","A vencer"))))))</f>
        <v>0</v>
      </c>
      <c r="J750" s="20">
        <f>IF(OR($E750="",$D750=""),"",IF($K750&lt;=0.005,"",$D750-Hoje))</f>
        <v>0</v>
      </c>
      <c r="K750" s="21">
        <f>IF($E750="","",MAX(0,$E750-N($G750)))</f>
        <v>0</v>
      </c>
      <c r="L750" s="20">
        <f>IF($I750="Vencida","PAGAR JÁ (multa e juros)",IF($I750="Vence hoje","Pagar hoje",IF($I750="Vence em breve","Programar pagamento","")))</f>
        <v>0</v>
      </c>
    </row>
    <row r="751" spans="1:12">
      <c r="A751" s="13"/>
      <c r="B751" s="13"/>
      <c r="C751" s="13"/>
      <c r="D751" s="17"/>
      <c r="E751" s="18"/>
      <c r="F751" s="17"/>
      <c r="G751" s="18"/>
      <c r="H751" s="13"/>
      <c r="I751" s="19">
        <f>IF($E751="","",IF($K751&lt;=0.005,"Pago",IF($D751="","Sem vencimento",IF($D751&lt;Hoje,"Vencida",IF($D751=Hoje,"Vence hoje",IF($D751-Hoje&lt;=DiasAlerta,"Vence em breve","A vencer"))))))</f>
        <v>0</v>
      </c>
      <c r="J751" s="20">
        <f>IF(OR($E751="",$D751=""),"",IF($K751&lt;=0.005,"",$D751-Hoje))</f>
        <v>0</v>
      </c>
      <c r="K751" s="21">
        <f>IF($E751="","",MAX(0,$E751-N($G751)))</f>
        <v>0</v>
      </c>
      <c r="L751" s="20">
        <f>IF($I751="Vencida","PAGAR JÁ (multa e juros)",IF($I751="Vence hoje","Pagar hoje",IF($I751="Vence em breve","Programar pagamento","")))</f>
        <v>0</v>
      </c>
    </row>
    <row r="752" spans="1:12">
      <c r="A752" s="13"/>
      <c r="B752" s="13"/>
      <c r="C752" s="13"/>
      <c r="D752" s="17"/>
      <c r="E752" s="18"/>
      <c r="F752" s="17"/>
      <c r="G752" s="18"/>
      <c r="H752" s="13"/>
      <c r="I752" s="19">
        <f>IF($E752="","",IF($K752&lt;=0.005,"Pago",IF($D752="","Sem vencimento",IF($D752&lt;Hoje,"Vencida",IF($D752=Hoje,"Vence hoje",IF($D752-Hoje&lt;=DiasAlerta,"Vence em breve","A vencer"))))))</f>
        <v>0</v>
      </c>
      <c r="J752" s="20">
        <f>IF(OR($E752="",$D752=""),"",IF($K752&lt;=0.005,"",$D752-Hoje))</f>
        <v>0</v>
      </c>
      <c r="K752" s="21">
        <f>IF($E752="","",MAX(0,$E752-N($G752)))</f>
        <v>0</v>
      </c>
      <c r="L752" s="20">
        <f>IF($I752="Vencida","PAGAR JÁ (multa e juros)",IF($I752="Vence hoje","Pagar hoje",IF($I752="Vence em breve","Programar pagamento","")))</f>
        <v>0</v>
      </c>
    </row>
    <row r="753" spans="1:12">
      <c r="A753" s="13"/>
      <c r="B753" s="13"/>
      <c r="C753" s="13"/>
      <c r="D753" s="17"/>
      <c r="E753" s="18"/>
      <c r="F753" s="17"/>
      <c r="G753" s="18"/>
      <c r="H753" s="13"/>
      <c r="I753" s="19">
        <f>IF($E753="","",IF($K753&lt;=0.005,"Pago",IF($D753="","Sem vencimento",IF($D753&lt;Hoje,"Vencida",IF($D753=Hoje,"Vence hoje",IF($D753-Hoje&lt;=DiasAlerta,"Vence em breve","A vencer"))))))</f>
        <v>0</v>
      </c>
      <c r="J753" s="20">
        <f>IF(OR($E753="",$D753=""),"",IF($K753&lt;=0.005,"",$D753-Hoje))</f>
        <v>0</v>
      </c>
      <c r="K753" s="21">
        <f>IF($E753="","",MAX(0,$E753-N($G753)))</f>
        <v>0</v>
      </c>
      <c r="L753" s="20">
        <f>IF($I753="Vencida","PAGAR JÁ (multa e juros)",IF($I753="Vence hoje","Pagar hoje",IF($I753="Vence em breve","Programar pagamento","")))</f>
        <v>0</v>
      </c>
    </row>
    <row r="754" spans="1:12">
      <c r="A754" s="13"/>
      <c r="B754" s="13"/>
      <c r="C754" s="13"/>
      <c r="D754" s="17"/>
      <c r="E754" s="18"/>
      <c r="F754" s="17"/>
      <c r="G754" s="18"/>
      <c r="H754" s="13"/>
      <c r="I754" s="19">
        <f>IF($E754="","",IF($K754&lt;=0.005,"Pago",IF($D754="","Sem vencimento",IF($D754&lt;Hoje,"Vencida",IF($D754=Hoje,"Vence hoje",IF($D754-Hoje&lt;=DiasAlerta,"Vence em breve","A vencer"))))))</f>
        <v>0</v>
      </c>
      <c r="J754" s="20">
        <f>IF(OR($E754="",$D754=""),"",IF($K754&lt;=0.005,"",$D754-Hoje))</f>
        <v>0</v>
      </c>
      <c r="K754" s="21">
        <f>IF($E754="","",MAX(0,$E754-N($G754)))</f>
        <v>0</v>
      </c>
      <c r="L754" s="20">
        <f>IF($I754="Vencida","PAGAR JÁ (multa e juros)",IF($I754="Vence hoje","Pagar hoje",IF($I754="Vence em breve","Programar pagamento","")))</f>
        <v>0</v>
      </c>
    </row>
    <row r="755" spans="1:12">
      <c r="A755" s="13"/>
      <c r="B755" s="13"/>
      <c r="C755" s="13"/>
      <c r="D755" s="17"/>
      <c r="E755" s="18"/>
      <c r="F755" s="17"/>
      <c r="G755" s="18"/>
      <c r="H755" s="13"/>
      <c r="I755" s="19">
        <f>IF($E755="","",IF($K755&lt;=0.005,"Pago",IF($D755="","Sem vencimento",IF($D755&lt;Hoje,"Vencida",IF($D755=Hoje,"Vence hoje",IF($D755-Hoje&lt;=DiasAlerta,"Vence em breve","A vencer"))))))</f>
        <v>0</v>
      </c>
      <c r="J755" s="20">
        <f>IF(OR($E755="",$D755=""),"",IF($K755&lt;=0.005,"",$D755-Hoje))</f>
        <v>0</v>
      </c>
      <c r="K755" s="21">
        <f>IF($E755="","",MAX(0,$E755-N($G755)))</f>
        <v>0</v>
      </c>
      <c r="L755" s="20">
        <f>IF($I755="Vencida","PAGAR JÁ (multa e juros)",IF($I755="Vence hoje","Pagar hoje",IF($I755="Vence em breve","Programar pagamento","")))</f>
        <v>0</v>
      </c>
    </row>
    <row r="756" spans="1:12">
      <c r="A756" s="13"/>
      <c r="B756" s="13"/>
      <c r="C756" s="13"/>
      <c r="D756" s="17"/>
      <c r="E756" s="18"/>
      <c r="F756" s="17"/>
      <c r="G756" s="18"/>
      <c r="H756" s="13"/>
      <c r="I756" s="19">
        <f>IF($E756="","",IF($K756&lt;=0.005,"Pago",IF($D756="","Sem vencimento",IF($D756&lt;Hoje,"Vencida",IF($D756=Hoje,"Vence hoje",IF($D756-Hoje&lt;=DiasAlerta,"Vence em breve","A vencer"))))))</f>
        <v>0</v>
      </c>
      <c r="J756" s="20">
        <f>IF(OR($E756="",$D756=""),"",IF($K756&lt;=0.005,"",$D756-Hoje))</f>
        <v>0</v>
      </c>
      <c r="K756" s="21">
        <f>IF($E756="","",MAX(0,$E756-N($G756)))</f>
        <v>0</v>
      </c>
      <c r="L756" s="20">
        <f>IF($I756="Vencida","PAGAR JÁ (multa e juros)",IF($I756="Vence hoje","Pagar hoje",IF($I756="Vence em breve","Programar pagamento","")))</f>
        <v>0</v>
      </c>
    </row>
    <row r="757" spans="1:12">
      <c r="A757" s="13"/>
      <c r="B757" s="13"/>
      <c r="C757" s="13"/>
      <c r="D757" s="17"/>
      <c r="E757" s="18"/>
      <c r="F757" s="17"/>
      <c r="G757" s="18"/>
      <c r="H757" s="13"/>
      <c r="I757" s="19">
        <f>IF($E757="","",IF($K757&lt;=0.005,"Pago",IF($D757="","Sem vencimento",IF($D757&lt;Hoje,"Vencida",IF($D757=Hoje,"Vence hoje",IF($D757-Hoje&lt;=DiasAlerta,"Vence em breve","A vencer"))))))</f>
        <v>0</v>
      </c>
      <c r="J757" s="20">
        <f>IF(OR($E757="",$D757=""),"",IF($K757&lt;=0.005,"",$D757-Hoje))</f>
        <v>0</v>
      </c>
      <c r="K757" s="21">
        <f>IF($E757="","",MAX(0,$E757-N($G757)))</f>
        <v>0</v>
      </c>
      <c r="L757" s="20">
        <f>IF($I757="Vencida","PAGAR JÁ (multa e juros)",IF($I757="Vence hoje","Pagar hoje",IF($I757="Vence em breve","Programar pagamento","")))</f>
        <v>0</v>
      </c>
    </row>
    <row r="758" spans="1:12">
      <c r="A758" s="13"/>
      <c r="B758" s="13"/>
      <c r="C758" s="13"/>
      <c r="D758" s="17"/>
      <c r="E758" s="18"/>
      <c r="F758" s="17"/>
      <c r="G758" s="18"/>
      <c r="H758" s="13"/>
      <c r="I758" s="19">
        <f>IF($E758="","",IF($K758&lt;=0.005,"Pago",IF($D758="","Sem vencimento",IF($D758&lt;Hoje,"Vencida",IF($D758=Hoje,"Vence hoje",IF($D758-Hoje&lt;=DiasAlerta,"Vence em breve","A vencer"))))))</f>
        <v>0</v>
      </c>
      <c r="J758" s="20">
        <f>IF(OR($E758="",$D758=""),"",IF($K758&lt;=0.005,"",$D758-Hoje))</f>
        <v>0</v>
      </c>
      <c r="K758" s="21">
        <f>IF($E758="","",MAX(0,$E758-N($G758)))</f>
        <v>0</v>
      </c>
      <c r="L758" s="20">
        <f>IF($I758="Vencida","PAGAR JÁ (multa e juros)",IF($I758="Vence hoje","Pagar hoje",IF($I758="Vence em breve","Programar pagamento","")))</f>
        <v>0</v>
      </c>
    </row>
    <row r="759" spans="1:12">
      <c r="A759" s="13"/>
      <c r="B759" s="13"/>
      <c r="C759" s="13"/>
      <c r="D759" s="17"/>
      <c r="E759" s="18"/>
      <c r="F759" s="17"/>
      <c r="G759" s="18"/>
      <c r="H759" s="13"/>
      <c r="I759" s="19">
        <f>IF($E759="","",IF($K759&lt;=0.005,"Pago",IF($D759="","Sem vencimento",IF($D759&lt;Hoje,"Vencida",IF($D759=Hoje,"Vence hoje",IF($D759-Hoje&lt;=DiasAlerta,"Vence em breve","A vencer"))))))</f>
        <v>0</v>
      </c>
      <c r="J759" s="20">
        <f>IF(OR($E759="",$D759=""),"",IF($K759&lt;=0.005,"",$D759-Hoje))</f>
        <v>0</v>
      </c>
      <c r="K759" s="21">
        <f>IF($E759="","",MAX(0,$E759-N($G759)))</f>
        <v>0</v>
      </c>
      <c r="L759" s="20">
        <f>IF($I759="Vencida","PAGAR JÁ (multa e juros)",IF($I759="Vence hoje","Pagar hoje",IF($I759="Vence em breve","Programar pagamento","")))</f>
        <v>0</v>
      </c>
    </row>
    <row r="760" spans="1:12">
      <c r="A760" s="13"/>
      <c r="B760" s="13"/>
      <c r="C760" s="13"/>
      <c r="D760" s="17"/>
      <c r="E760" s="18"/>
      <c r="F760" s="17"/>
      <c r="G760" s="18"/>
      <c r="H760" s="13"/>
      <c r="I760" s="19">
        <f>IF($E760="","",IF($K760&lt;=0.005,"Pago",IF($D760="","Sem vencimento",IF($D760&lt;Hoje,"Vencida",IF($D760=Hoje,"Vence hoje",IF($D760-Hoje&lt;=DiasAlerta,"Vence em breve","A vencer"))))))</f>
        <v>0</v>
      </c>
      <c r="J760" s="20">
        <f>IF(OR($E760="",$D760=""),"",IF($K760&lt;=0.005,"",$D760-Hoje))</f>
        <v>0</v>
      </c>
      <c r="K760" s="21">
        <f>IF($E760="","",MAX(0,$E760-N($G760)))</f>
        <v>0</v>
      </c>
      <c r="L760" s="20">
        <f>IF($I760="Vencida","PAGAR JÁ (multa e juros)",IF($I760="Vence hoje","Pagar hoje",IF($I760="Vence em breve","Programar pagamento","")))</f>
        <v>0</v>
      </c>
    </row>
    <row r="761" spans="1:12">
      <c r="A761" s="13"/>
      <c r="B761" s="13"/>
      <c r="C761" s="13"/>
      <c r="D761" s="17"/>
      <c r="E761" s="18"/>
      <c r="F761" s="17"/>
      <c r="G761" s="18"/>
      <c r="H761" s="13"/>
      <c r="I761" s="19">
        <f>IF($E761="","",IF($K761&lt;=0.005,"Pago",IF($D761="","Sem vencimento",IF($D761&lt;Hoje,"Vencida",IF($D761=Hoje,"Vence hoje",IF($D761-Hoje&lt;=DiasAlerta,"Vence em breve","A vencer"))))))</f>
        <v>0</v>
      </c>
      <c r="J761" s="20">
        <f>IF(OR($E761="",$D761=""),"",IF($K761&lt;=0.005,"",$D761-Hoje))</f>
        <v>0</v>
      </c>
      <c r="K761" s="21">
        <f>IF($E761="","",MAX(0,$E761-N($G761)))</f>
        <v>0</v>
      </c>
      <c r="L761" s="20">
        <f>IF($I761="Vencida","PAGAR JÁ (multa e juros)",IF($I761="Vence hoje","Pagar hoje",IF($I761="Vence em breve","Programar pagamento","")))</f>
        <v>0</v>
      </c>
    </row>
    <row r="762" spans="1:12">
      <c r="A762" s="13"/>
      <c r="B762" s="13"/>
      <c r="C762" s="13"/>
      <c r="D762" s="17"/>
      <c r="E762" s="18"/>
      <c r="F762" s="17"/>
      <c r="G762" s="18"/>
      <c r="H762" s="13"/>
      <c r="I762" s="19">
        <f>IF($E762="","",IF($K762&lt;=0.005,"Pago",IF($D762="","Sem vencimento",IF($D762&lt;Hoje,"Vencida",IF($D762=Hoje,"Vence hoje",IF($D762-Hoje&lt;=DiasAlerta,"Vence em breve","A vencer"))))))</f>
        <v>0</v>
      </c>
      <c r="J762" s="20">
        <f>IF(OR($E762="",$D762=""),"",IF($K762&lt;=0.005,"",$D762-Hoje))</f>
        <v>0</v>
      </c>
      <c r="K762" s="21">
        <f>IF($E762="","",MAX(0,$E762-N($G762)))</f>
        <v>0</v>
      </c>
      <c r="L762" s="20">
        <f>IF($I762="Vencida","PAGAR JÁ (multa e juros)",IF($I762="Vence hoje","Pagar hoje",IF($I762="Vence em breve","Programar pagamento","")))</f>
        <v>0</v>
      </c>
    </row>
    <row r="763" spans="1:12">
      <c r="A763" s="13"/>
      <c r="B763" s="13"/>
      <c r="C763" s="13"/>
      <c r="D763" s="17"/>
      <c r="E763" s="18"/>
      <c r="F763" s="17"/>
      <c r="G763" s="18"/>
      <c r="H763" s="13"/>
      <c r="I763" s="19">
        <f>IF($E763="","",IF($K763&lt;=0.005,"Pago",IF($D763="","Sem vencimento",IF($D763&lt;Hoje,"Vencida",IF($D763=Hoje,"Vence hoje",IF($D763-Hoje&lt;=DiasAlerta,"Vence em breve","A vencer"))))))</f>
        <v>0</v>
      </c>
      <c r="J763" s="20">
        <f>IF(OR($E763="",$D763=""),"",IF($K763&lt;=0.005,"",$D763-Hoje))</f>
        <v>0</v>
      </c>
      <c r="K763" s="21">
        <f>IF($E763="","",MAX(0,$E763-N($G763)))</f>
        <v>0</v>
      </c>
      <c r="L763" s="20">
        <f>IF($I763="Vencida","PAGAR JÁ (multa e juros)",IF($I763="Vence hoje","Pagar hoje",IF($I763="Vence em breve","Programar pagamento","")))</f>
        <v>0</v>
      </c>
    </row>
    <row r="764" spans="1:12">
      <c r="A764" s="13"/>
      <c r="B764" s="13"/>
      <c r="C764" s="13"/>
      <c r="D764" s="17"/>
      <c r="E764" s="18"/>
      <c r="F764" s="17"/>
      <c r="G764" s="18"/>
      <c r="H764" s="13"/>
      <c r="I764" s="19">
        <f>IF($E764="","",IF($K764&lt;=0.005,"Pago",IF($D764="","Sem vencimento",IF($D764&lt;Hoje,"Vencida",IF($D764=Hoje,"Vence hoje",IF($D764-Hoje&lt;=DiasAlerta,"Vence em breve","A vencer"))))))</f>
        <v>0</v>
      </c>
      <c r="J764" s="20">
        <f>IF(OR($E764="",$D764=""),"",IF($K764&lt;=0.005,"",$D764-Hoje))</f>
        <v>0</v>
      </c>
      <c r="K764" s="21">
        <f>IF($E764="","",MAX(0,$E764-N($G764)))</f>
        <v>0</v>
      </c>
      <c r="L764" s="20">
        <f>IF($I764="Vencida","PAGAR JÁ (multa e juros)",IF($I764="Vence hoje","Pagar hoje",IF($I764="Vence em breve","Programar pagamento","")))</f>
        <v>0</v>
      </c>
    </row>
    <row r="765" spans="1:12">
      <c r="A765" s="13"/>
      <c r="B765" s="13"/>
      <c r="C765" s="13"/>
      <c r="D765" s="17"/>
      <c r="E765" s="18"/>
      <c r="F765" s="17"/>
      <c r="G765" s="18"/>
      <c r="H765" s="13"/>
      <c r="I765" s="19">
        <f>IF($E765="","",IF($K765&lt;=0.005,"Pago",IF($D765="","Sem vencimento",IF($D765&lt;Hoje,"Vencida",IF($D765=Hoje,"Vence hoje",IF($D765-Hoje&lt;=DiasAlerta,"Vence em breve","A vencer"))))))</f>
        <v>0</v>
      </c>
      <c r="J765" s="20">
        <f>IF(OR($E765="",$D765=""),"",IF($K765&lt;=0.005,"",$D765-Hoje))</f>
        <v>0</v>
      </c>
      <c r="K765" s="21">
        <f>IF($E765="","",MAX(0,$E765-N($G765)))</f>
        <v>0</v>
      </c>
      <c r="L765" s="20">
        <f>IF($I765="Vencida","PAGAR JÁ (multa e juros)",IF($I765="Vence hoje","Pagar hoje",IF($I765="Vence em breve","Programar pagamento","")))</f>
        <v>0</v>
      </c>
    </row>
    <row r="766" spans="1:12">
      <c r="A766" s="13"/>
      <c r="B766" s="13"/>
      <c r="C766" s="13"/>
      <c r="D766" s="17"/>
      <c r="E766" s="18"/>
      <c r="F766" s="17"/>
      <c r="G766" s="18"/>
      <c r="H766" s="13"/>
      <c r="I766" s="19">
        <f>IF($E766="","",IF($K766&lt;=0.005,"Pago",IF($D766="","Sem vencimento",IF($D766&lt;Hoje,"Vencida",IF($D766=Hoje,"Vence hoje",IF($D766-Hoje&lt;=DiasAlerta,"Vence em breve","A vencer"))))))</f>
        <v>0</v>
      </c>
      <c r="J766" s="20">
        <f>IF(OR($E766="",$D766=""),"",IF($K766&lt;=0.005,"",$D766-Hoje))</f>
        <v>0</v>
      </c>
      <c r="K766" s="21">
        <f>IF($E766="","",MAX(0,$E766-N($G766)))</f>
        <v>0</v>
      </c>
      <c r="L766" s="20">
        <f>IF($I766="Vencida","PAGAR JÁ (multa e juros)",IF($I766="Vence hoje","Pagar hoje",IF($I766="Vence em breve","Programar pagamento","")))</f>
        <v>0</v>
      </c>
    </row>
    <row r="767" spans="1:12">
      <c r="A767" s="13"/>
      <c r="B767" s="13"/>
      <c r="C767" s="13"/>
      <c r="D767" s="17"/>
      <c r="E767" s="18"/>
      <c r="F767" s="17"/>
      <c r="G767" s="18"/>
      <c r="H767" s="13"/>
      <c r="I767" s="19">
        <f>IF($E767="","",IF($K767&lt;=0.005,"Pago",IF($D767="","Sem vencimento",IF($D767&lt;Hoje,"Vencida",IF($D767=Hoje,"Vence hoje",IF($D767-Hoje&lt;=DiasAlerta,"Vence em breve","A vencer"))))))</f>
        <v>0</v>
      </c>
      <c r="J767" s="20">
        <f>IF(OR($E767="",$D767=""),"",IF($K767&lt;=0.005,"",$D767-Hoje))</f>
        <v>0</v>
      </c>
      <c r="K767" s="21">
        <f>IF($E767="","",MAX(0,$E767-N($G767)))</f>
        <v>0</v>
      </c>
      <c r="L767" s="20">
        <f>IF($I767="Vencida","PAGAR JÁ (multa e juros)",IF($I767="Vence hoje","Pagar hoje",IF($I767="Vence em breve","Programar pagamento","")))</f>
        <v>0</v>
      </c>
    </row>
    <row r="768" spans="1:12">
      <c r="A768" s="13"/>
      <c r="B768" s="13"/>
      <c r="C768" s="13"/>
      <c r="D768" s="17"/>
      <c r="E768" s="18"/>
      <c r="F768" s="17"/>
      <c r="G768" s="18"/>
      <c r="H768" s="13"/>
      <c r="I768" s="19">
        <f>IF($E768="","",IF($K768&lt;=0.005,"Pago",IF($D768="","Sem vencimento",IF($D768&lt;Hoje,"Vencida",IF($D768=Hoje,"Vence hoje",IF($D768-Hoje&lt;=DiasAlerta,"Vence em breve","A vencer"))))))</f>
        <v>0</v>
      </c>
      <c r="J768" s="20">
        <f>IF(OR($E768="",$D768=""),"",IF($K768&lt;=0.005,"",$D768-Hoje))</f>
        <v>0</v>
      </c>
      <c r="K768" s="21">
        <f>IF($E768="","",MAX(0,$E768-N($G768)))</f>
        <v>0</v>
      </c>
      <c r="L768" s="20">
        <f>IF($I768="Vencida","PAGAR JÁ (multa e juros)",IF($I768="Vence hoje","Pagar hoje",IF($I768="Vence em breve","Programar pagamento","")))</f>
        <v>0</v>
      </c>
    </row>
    <row r="769" spans="1:12">
      <c r="A769" s="13"/>
      <c r="B769" s="13"/>
      <c r="C769" s="13"/>
      <c r="D769" s="17"/>
      <c r="E769" s="18"/>
      <c r="F769" s="17"/>
      <c r="G769" s="18"/>
      <c r="H769" s="13"/>
      <c r="I769" s="19">
        <f>IF($E769="","",IF($K769&lt;=0.005,"Pago",IF($D769="","Sem vencimento",IF($D769&lt;Hoje,"Vencida",IF($D769=Hoje,"Vence hoje",IF($D769-Hoje&lt;=DiasAlerta,"Vence em breve","A vencer"))))))</f>
        <v>0</v>
      </c>
      <c r="J769" s="20">
        <f>IF(OR($E769="",$D769=""),"",IF($K769&lt;=0.005,"",$D769-Hoje))</f>
        <v>0</v>
      </c>
      <c r="K769" s="21">
        <f>IF($E769="","",MAX(0,$E769-N($G769)))</f>
        <v>0</v>
      </c>
      <c r="L769" s="20">
        <f>IF($I769="Vencida","PAGAR JÁ (multa e juros)",IF($I769="Vence hoje","Pagar hoje",IF($I769="Vence em breve","Programar pagamento","")))</f>
        <v>0</v>
      </c>
    </row>
    <row r="770" spans="1:12">
      <c r="A770" s="13"/>
      <c r="B770" s="13"/>
      <c r="C770" s="13"/>
      <c r="D770" s="17"/>
      <c r="E770" s="18"/>
      <c r="F770" s="17"/>
      <c r="G770" s="18"/>
      <c r="H770" s="13"/>
      <c r="I770" s="19">
        <f>IF($E770="","",IF($K770&lt;=0.005,"Pago",IF($D770="","Sem vencimento",IF($D770&lt;Hoje,"Vencida",IF($D770=Hoje,"Vence hoje",IF($D770-Hoje&lt;=DiasAlerta,"Vence em breve","A vencer"))))))</f>
        <v>0</v>
      </c>
      <c r="J770" s="20">
        <f>IF(OR($E770="",$D770=""),"",IF($K770&lt;=0.005,"",$D770-Hoje))</f>
        <v>0</v>
      </c>
      <c r="K770" s="21">
        <f>IF($E770="","",MAX(0,$E770-N($G770)))</f>
        <v>0</v>
      </c>
      <c r="L770" s="20">
        <f>IF($I770="Vencida","PAGAR JÁ (multa e juros)",IF($I770="Vence hoje","Pagar hoje",IF($I770="Vence em breve","Programar pagamento","")))</f>
        <v>0</v>
      </c>
    </row>
    <row r="771" spans="1:12">
      <c r="A771" s="13"/>
      <c r="B771" s="13"/>
      <c r="C771" s="13"/>
      <c r="D771" s="17"/>
      <c r="E771" s="18"/>
      <c r="F771" s="17"/>
      <c r="G771" s="18"/>
      <c r="H771" s="13"/>
      <c r="I771" s="19">
        <f>IF($E771="","",IF($K771&lt;=0.005,"Pago",IF($D771="","Sem vencimento",IF($D771&lt;Hoje,"Vencida",IF($D771=Hoje,"Vence hoje",IF($D771-Hoje&lt;=DiasAlerta,"Vence em breve","A vencer"))))))</f>
        <v>0</v>
      </c>
      <c r="J771" s="20">
        <f>IF(OR($E771="",$D771=""),"",IF($K771&lt;=0.005,"",$D771-Hoje))</f>
        <v>0</v>
      </c>
      <c r="K771" s="21">
        <f>IF($E771="","",MAX(0,$E771-N($G771)))</f>
        <v>0</v>
      </c>
      <c r="L771" s="20">
        <f>IF($I771="Vencida","PAGAR JÁ (multa e juros)",IF($I771="Vence hoje","Pagar hoje",IF($I771="Vence em breve","Programar pagamento","")))</f>
        <v>0</v>
      </c>
    </row>
    <row r="772" spans="1:12">
      <c r="A772" s="13"/>
      <c r="B772" s="13"/>
      <c r="C772" s="13"/>
      <c r="D772" s="17"/>
      <c r="E772" s="18"/>
      <c r="F772" s="17"/>
      <c r="G772" s="18"/>
      <c r="H772" s="13"/>
      <c r="I772" s="19">
        <f>IF($E772="","",IF($K772&lt;=0.005,"Pago",IF($D772="","Sem vencimento",IF($D772&lt;Hoje,"Vencida",IF($D772=Hoje,"Vence hoje",IF($D772-Hoje&lt;=DiasAlerta,"Vence em breve","A vencer"))))))</f>
        <v>0</v>
      </c>
      <c r="J772" s="20">
        <f>IF(OR($E772="",$D772=""),"",IF($K772&lt;=0.005,"",$D772-Hoje))</f>
        <v>0</v>
      </c>
      <c r="K772" s="21">
        <f>IF($E772="","",MAX(0,$E772-N($G772)))</f>
        <v>0</v>
      </c>
      <c r="L772" s="20">
        <f>IF($I772="Vencida","PAGAR JÁ (multa e juros)",IF($I772="Vence hoje","Pagar hoje",IF($I772="Vence em breve","Programar pagamento","")))</f>
        <v>0</v>
      </c>
    </row>
    <row r="773" spans="1:12">
      <c r="A773" s="13"/>
      <c r="B773" s="13"/>
      <c r="C773" s="13"/>
      <c r="D773" s="17"/>
      <c r="E773" s="18"/>
      <c r="F773" s="17"/>
      <c r="G773" s="18"/>
      <c r="H773" s="13"/>
      <c r="I773" s="19">
        <f>IF($E773="","",IF($K773&lt;=0.005,"Pago",IF($D773="","Sem vencimento",IF($D773&lt;Hoje,"Vencida",IF($D773=Hoje,"Vence hoje",IF($D773-Hoje&lt;=DiasAlerta,"Vence em breve","A vencer"))))))</f>
        <v>0</v>
      </c>
      <c r="J773" s="20">
        <f>IF(OR($E773="",$D773=""),"",IF($K773&lt;=0.005,"",$D773-Hoje))</f>
        <v>0</v>
      </c>
      <c r="K773" s="21">
        <f>IF($E773="","",MAX(0,$E773-N($G773)))</f>
        <v>0</v>
      </c>
      <c r="L773" s="20">
        <f>IF($I773="Vencida","PAGAR JÁ (multa e juros)",IF($I773="Vence hoje","Pagar hoje",IF($I773="Vence em breve","Programar pagamento","")))</f>
        <v>0</v>
      </c>
    </row>
    <row r="774" spans="1:12">
      <c r="A774" s="13"/>
      <c r="B774" s="13"/>
      <c r="C774" s="13"/>
      <c r="D774" s="17"/>
      <c r="E774" s="18"/>
      <c r="F774" s="17"/>
      <c r="G774" s="18"/>
      <c r="H774" s="13"/>
      <c r="I774" s="19">
        <f>IF($E774="","",IF($K774&lt;=0.005,"Pago",IF($D774="","Sem vencimento",IF($D774&lt;Hoje,"Vencida",IF($D774=Hoje,"Vence hoje",IF($D774-Hoje&lt;=DiasAlerta,"Vence em breve","A vencer"))))))</f>
        <v>0</v>
      </c>
      <c r="J774" s="20">
        <f>IF(OR($E774="",$D774=""),"",IF($K774&lt;=0.005,"",$D774-Hoje))</f>
        <v>0</v>
      </c>
      <c r="K774" s="21">
        <f>IF($E774="","",MAX(0,$E774-N($G774)))</f>
        <v>0</v>
      </c>
      <c r="L774" s="20">
        <f>IF($I774="Vencida","PAGAR JÁ (multa e juros)",IF($I774="Vence hoje","Pagar hoje",IF($I774="Vence em breve","Programar pagamento","")))</f>
        <v>0</v>
      </c>
    </row>
    <row r="775" spans="1:12">
      <c r="A775" s="13"/>
      <c r="B775" s="13"/>
      <c r="C775" s="13"/>
      <c r="D775" s="17"/>
      <c r="E775" s="18"/>
      <c r="F775" s="17"/>
      <c r="G775" s="18"/>
      <c r="H775" s="13"/>
      <c r="I775" s="19">
        <f>IF($E775="","",IF($K775&lt;=0.005,"Pago",IF($D775="","Sem vencimento",IF($D775&lt;Hoje,"Vencida",IF($D775=Hoje,"Vence hoje",IF($D775-Hoje&lt;=DiasAlerta,"Vence em breve","A vencer"))))))</f>
        <v>0</v>
      </c>
      <c r="J775" s="20">
        <f>IF(OR($E775="",$D775=""),"",IF($K775&lt;=0.005,"",$D775-Hoje))</f>
        <v>0</v>
      </c>
      <c r="K775" s="21">
        <f>IF($E775="","",MAX(0,$E775-N($G775)))</f>
        <v>0</v>
      </c>
      <c r="L775" s="20">
        <f>IF($I775="Vencida","PAGAR JÁ (multa e juros)",IF($I775="Vence hoje","Pagar hoje",IF($I775="Vence em breve","Programar pagamento","")))</f>
        <v>0</v>
      </c>
    </row>
    <row r="776" spans="1:12">
      <c r="A776" s="13"/>
      <c r="B776" s="13"/>
      <c r="C776" s="13"/>
      <c r="D776" s="17"/>
      <c r="E776" s="18"/>
      <c r="F776" s="17"/>
      <c r="G776" s="18"/>
      <c r="H776" s="13"/>
      <c r="I776" s="19">
        <f>IF($E776="","",IF($K776&lt;=0.005,"Pago",IF($D776="","Sem vencimento",IF($D776&lt;Hoje,"Vencida",IF($D776=Hoje,"Vence hoje",IF($D776-Hoje&lt;=DiasAlerta,"Vence em breve","A vencer"))))))</f>
        <v>0</v>
      </c>
      <c r="J776" s="20">
        <f>IF(OR($E776="",$D776=""),"",IF($K776&lt;=0.005,"",$D776-Hoje))</f>
        <v>0</v>
      </c>
      <c r="K776" s="21">
        <f>IF($E776="","",MAX(0,$E776-N($G776)))</f>
        <v>0</v>
      </c>
      <c r="L776" s="20">
        <f>IF($I776="Vencida","PAGAR JÁ (multa e juros)",IF($I776="Vence hoje","Pagar hoje",IF($I776="Vence em breve","Programar pagamento","")))</f>
        <v>0</v>
      </c>
    </row>
    <row r="777" spans="1:12">
      <c r="A777" s="13"/>
      <c r="B777" s="13"/>
      <c r="C777" s="13"/>
      <c r="D777" s="17"/>
      <c r="E777" s="18"/>
      <c r="F777" s="17"/>
      <c r="G777" s="18"/>
      <c r="H777" s="13"/>
      <c r="I777" s="19">
        <f>IF($E777="","",IF($K777&lt;=0.005,"Pago",IF($D777="","Sem vencimento",IF($D777&lt;Hoje,"Vencida",IF($D777=Hoje,"Vence hoje",IF($D777-Hoje&lt;=DiasAlerta,"Vence em breve","A vencer"))))))</f>
        <v>0</v>
      </c>
      <c r="J777" s="20">
        <f>IF(OR($E777="",$D777=""),"",IF($K777&lt;=0.005,"",$D777-Hoje))</f>
        <v>0</v>
      </c>
      <c r="K777" s="21">
        <f>IF($E777="","",MAX(0,$E777-N($G777)))</f>
        <v>0</v>
      </c>
      <c r="L777" s="20">
        <f>IF($I777="Vencida","PAGAR JÁ (multa e juros)",IF($I777="Vence hoje","Pagar hoje",IF($I777="Vence em breve","Programar pagamento","")))</f>
        <v>0</v>
      </c>
    </row>
    <row r="778" spans="1:12">
      <c r="A778" s="13"/>
      <c r="B778" s="13"/>
      <c r="C778" s="13"/>
      <c r="D778" s="17"/>
      <c r="E778" s="18"/>
      <c r="F778" s="17"/>
      <c r="G778" s="18"/>
      <c r="H778" s="13"/>
      <c r="I778" s="19">
        <f>IF($E778="","",IF($K778&lt;=0.005,"Pago",IF($D778="","Sem vencimento",IF($D778&lt;Hoje,"Vencida",IF($D778=Hoje,"Vence hoje",IF($D778-Hoje&lt;=DiasAlerta,"Vence em breve","A vencer"))))))</f>
        <v>0</v>
      </c>
      <c r="J778" s="20">
        <f>IF(OR($E778="",$D778=""),"",IF($K778&lt;=0.005,"",$D778-Hoje))</f>
        <v>0</v>
      </c>
      <c r="K778" s="21">
        <f>IF($E778="","",MAX(0,$E778-N($G778)))</f>
        <v>0</v>
      </c>
      <c r="L778" s="20">
        <f>IF($I778="Vencida","PAGAR JÁ (multa e juros)",IF($I778="Vence hoje","Pagar hoje",IF($I778="Vence em breve","Programar pagamento","")))</f>
        <v>0</v>
      </c>
    </row>
    <row r="779" spans="1:12">
      <c r="A779" s="13"/>
      <c r="B779" s="13"/>
      <c r="C779" s="13"/>
      <c r="D779" s="17"/>
      <c r="E779" s="18"/>
      <c r="F779" s="17"/>
      <c r="G779" s="18"/>
      <c r="H779" s="13"/>
      <c r="I779" s="19">
        <f>IF($E779="","",IF($K779&lt;=0.005,"Pago",IF($D779="","Sem vencimento",IF($D779&lt;Hoje,"Vencida",IF($D779=Hoje,"Vence hoje",IF($D779-Hoje&lt;=DiasAlerta,"Vence em breve","A vencer"))))))</f>
        <v>0</v>
      </c>
      <c r="J779" s="20">
        <f>IF(OR($E779="",$D779=""),"",IF($K779&lt;=0.005,"",$D779-Hoje))</f>
        <v>0</v>
      </c>
      <c r="K779" s="21">
        <f>IF($E779="","",MAX(0,$E779-N($G779)))</f>
        <v>0</v>
      </c>
      <c r="L779" s="20">
        <f>IF($I779="Vencida","PAGAR JÁ (multa e juros)",IF($I779="Vence hoje","Pagar hoje",IF($I779="Vence em breve","Programar pagamento","")))</f>
        <v>0</v>
      </c>
    </row>
    <row r="780" spans="1:12">
      <c r="A780" s="13"/>
      <c r="B780" s="13"/>
      <c r="C780" s="13"/>
      <c r="D780" s="17"/>
      <c r="E780" s="18"/>
      <c r="F780" s="17"/>
      <c r="G780" s="18"/>
      <c r="H780" s="13"/>
      <c r="I780" s="19">
        <f>IF($E780="","",IF($K780&lt;=0.005,"Pago",IF($D780="","Sem vencimento",IF($D780&lt;Hoje,"Vencida",IF($D780=Hoje,"Vence hoje",IF($D780-Hoje&lt;=DiasAlerta,"Vence em breve","A vencer"))))))</f>
        <v>0</v>
      </c>
      <c r="J780" s="20">
        <f>IF(OR($E780="",$D780=""),"",IF($K780&lt;=0.005,"",$D780-Hoje))</f>
        <v>0</v>
      </c>
      <c r="K780" s="21">
        <f>IF($E780="","",MAX(0,$E780-N($G780)))</f>
        <v>0</v>
      </c>
      <c r="L780" s="20">
        <f>IF($I780="Vencida","PAGAR JÁ (multa e juros)",IF($I780="Vence hoje","Pagar hoje",IF($I780="Vence em breve","Programar pagamento","")))</f>
        <v>0</v>
      </c>
    </row>
    <row r="781" spans="1:12">
      <c r="A781" s="13"/>
      <c r="B781" s="13"/>
      <c r="C781" s="13"/>
      <c r="D781" s="17"/>
      <c r="E781" s="18"/>
      <c r="F781" s="17"/>
      <c r="G781" s="18"/>
      <c r="H781" s="13"/>
      <c r="I781" s="19">
        <f>IF($E781="","",IF($K781&lt;=0.005,"Pago",IF($D781="","Sem vencimento",IF($D781&lt;Hoje,"Vencida",IF($D781=Hoje,"Vence hoje",IF($D781-Hoje&lt;=DiasAlerta,"Vence em breve","A vencer"))))))</f>
        <v>0</v>
      </c>
      <c r="J781" s="20">
        <f>IF(OR($E781="",$D781=""),"",IF($K781&lt;=0.005,"",$D781-Hoje))</f>
        <v>0</v>
      </c>
      <c r="K781" s="21">
        <f>IF($E781="","",MAX(0,$E781-N($G781)))</f>
        <v>0</v>
      </c>
      <c r="L781" s="20">
        <f>IF($I781="Vencida","PAGAR JÁ (multa e juros)",IF($I781="Vence hoje","Pagar hoje",IF($I781="Vence em breve","Programar pagamento","")))</f>
        <v>0</v>
      </c>
    </row>
    <row r="782" spans="1:12">
      <c r="A782" s="13"/>
      <c r="B782" s="13"/>
      <c r="C782" s="13"/>
      <c r="D782" s="17"/>
      <c r="E782" s="18"/>
      <c r="F782" s="17"/>
      <c r="G782" s="18"/>
      <c r="H782" s="13"/>
      <c r="I782" s="19">
        <f>IF($E782="","",IF($K782&lt;=0.005,"Pago",IF($D782="","Sem vencimento",IF($D782&lt;Hoje,"Vencida",IF($D782=Hoje,"Vence hoje",IF($D782-Hoje&lt;=DiasAlerta,"Vence em breve","A vencer"))))))</f>
        <v>0</v>
      </c>
      <c r="J782" s="20">
        <f>IF(OR($E782="",$D782=""),"",IF($K782&lt;=0.005,"",$D782-Hoje))</f>
        <v>0</v>
      </c>
      <c r="K782" s="21">
        <f>IF($E782="","",MAX(0,$E782-N($G782)))</f>
        <v>0</v>
      </c>
      <c r="L782" s="20">
        <f>IF($I782="Vencida","PAGAR JÁ (multa e juros)",IF($I782="Vence hoje","Pagar hoje",IF($I782="Vence em breve","Programar pagamento","")))</f>
        <v>0</v>
      </c>
    </row>
    <row r="783" spans="1:12">
      <c r="A783" s="13"/>
      <c r="B783" s="13"/>
      <c r="C783" s="13"/>
      <c r="D783" s="17"/>
      <c r="E783" s="18"/>
      <c r="F783" s="17"/>
      <c r="G783" s="18"/>
      <c r="H783" s="13"/>
      <c r="I783" s="19">
        <f>IF($E783="","",IF($K783&lt;=0.005,"Pago",IF($D783="","Sem vencimento",IF($D783&lt;Hoje,"Vencida",IF($D783=Hoje,"Vence hoje",IF($D783-Hoje&lt;=DiasAlerta,"Vence em breve","A vencer"))))))</f>
        <v>0</v>
      </c>
      <c r="J783" s="20">
        <f>IF(OR($E783="",$D783=""),"",IF($K783&lt;=0.005,"",$D783-Hoje))</f>
        <v>0</v>
      </c>
      <c r="K783" s="21">
        <f>IF($E783="","",MAX(0,$E783-N($G783)))</f>
        <v>0</v>
      </c>
      <c r="L783" s="20">
        <f>IF($I783="Vencida","PAGAR JÁ (multa e juros)",IF($I783="Vence hoje","Pagar hoje",IF($I783="Vence em breve","Programar pagamento","")))</f>
        <v>0</v>
      </c>
    </row>
    <row r="784" spans="1:12">
      <c r="A784" s="13"/>
      <c r="B784" s="13"/>
      <c r="C784" s="13"/>
      <c r="D784" s="17"/>
      <c r="E784" s="18"/>
      <c r="F784" s="17"/>
      <c r="G784" s="18"/>
      <c r="H784" s="13"/>
      <c r="I784" s="19">
        <f>IF($E784="","",IF($K784&lt;=0.005,"Pago",IF($D784="","Sem vencimento",IF($D784&lt;Hoje,"Vencida",IF($D784=Hoje,"Vence hoje",IF($D784-Hoje&lt;=DiasAlerta,"Vence em breve","A vencer"))))))</f>
        <v>0</v>
      </c>
      <c r="J784" s="20">
        <f>IF(OR($E784="",$D784=""),"",IF($K784&lt;=0.005,"",$D784-Hoje))</f>
        <v>0</v>
      </c>
      <c r="K784" s="21">
        <f>IF($E784="","",MAX(0,$E784-N($G784)))</f>
        <v>0</v>
      </c>
      <c r="L784" s="20">
        <f>IF($I784="Vencida","PAGAR JÁ (multa e juros)",IF($I784="Vence hoje","Pagar hoje",IF($I784="Vence em breve","Programar pagamento","")))</f>
        <v>0</v>
      </c>
    </row>
    <row r="785" spans="1:12">
      <c r="A785" s="13"/>
      <c r="B785" s="13"/>
      <c r="C785" s="13"/>
      <c r="D785" s="17"/>
      <c r="E785" s="18"/>
      <c r="F785" s="17"/>
      <c r="G785" s="18"/>
      <c r="H785" s="13"/>
      <c r="I785" s="19">
        <f>IF($E785="","",IF($K785&lt;=0.005,"Pago",IF($D785="","Sem vencimento",IF($D785&lt;Hoje,"Vencida",IF($D785=Hoje,"Vence hoje",IF($D785-Hoje&lt;=DiasAlerta,"Vence em breve","A vencer"))))))</f>
        <v>0</v>
      </c>
      <c r="J785" s="20">
        <f>IF(OR($E785="",$D785=""),"",IF($K785&lt;=0.005,"",$D785-Hoje))</f>
        <v>0</v>
      </c>
      <c r="K785" s="21">
        <f>IF($E785="","",MAX(0,$E785-N($G785)))</f>
        <v>0</v>
      </c>
      <c r="L785" s="20">
        <f>IF($I785="Vencida","PAGAR JÁ (multa e juros)",IF($I785="Vence hoje","Pagar hoje",IF($I785="Vence em breve","Programar pagamento","")))</f>
        <v>0</v>
      </c>
    </row>
    <row r="786" spans="1:12">
      <c r="A786" s="13"/>
      <c r="B786" s="13"/>
      <c r="C786" s="13"/>
      <c r="D786" s="17"/>
      <c r="E786" s="18"/>
      <c r="F786" s="17"/>
      <c r="G786" s="18"/>
      <c r="H786" s="13"/>
      <c r="I786" s="19">
        <f>IF($E786="","",IF($K786&lt;=0.005,"Pago",IF($D786="","Sem vencimento",IF($D786&lt;Hoje,"Vencida",IF($D786=Hoje,"Vence hoje",IF($D786-Hoje&lt;=DiasAlerta,"Vence em breve","A vencer"))))))</f>
        <v>0</v>
      </c>
      <c r="J786" s="20">
        <f>IF(OR($E786="",$D786=""),"",IF($K786&lt;=0.005,"",$D786-Hoje))</f>
        <v>0</v>
      </c>
      <c r="K786" s="21">
        <f>IF($E786="","",MAX(0,$E786-N($G786)))</f>
        <v>0</v>
      </c>
      <c r="L786" s="20">
        <f>IF($I786="Vencida","PAGAR JÁ (multa e juros)",IF($I786="Vence hoje","Pagar hoje",IF($I786="Vence em breve","Programar pagamento","")))</f>
        <v>0</v>
      </c>
    </row>
    <row r="787" spans="1:12">
      <c r="A787" s="13"/>
      <c r="B787" s="13"/>
      <c r="C787" s="13"/>
      <c r="D787" s="17"/>
      <c r="E787" s="18"/>
      <c r="F787" s="17"/>
      <c r="G787" s="18"/>
      <c r="H787" s="13"/>
      <c r="I787" s="19">
        <f>IF($E787="","",IF($K787&lt;=0.005,"Pago",IF($D787="","Sem vencimento",IF($D787&lt;Hoje,"Vencida",IF($D787=Hoje,"Vence hoje",IF($D787-Hoje&lt;=DiasAlerta,"Vence em breve","A vencer"))))))</f>
        <v>0</v>
      </c>
      <c r="J787" s="20">
        <f>IF(OR($E787="",$D787=""),"",IF($K787&lt;=0.005,"",$D787-Hoje))</f>
        <v>0</v>
      </c>
      <c r="K787" s="21">
        <f>IF($E787="","",MAX(0,$E787-N($G787)))</f>
        <v>0</v>
      </c>
      <c r="L787" s="20">
        <f>IF($I787="Vencida","PAGAR JÁ (multa e juros)",IF($I787="Vence hoje","Pagar hoje",IF($I787="Vence em breve","Programar pagamento","")))</f>
        <v>0</v>
      </c>
    </row>
    <row r="788" spans="1:12">
      <c r="A788" s="13"/>
      <c r="B788" s="13"/>
      <c r="C788" s="13"/>
      <c r="D788" s="17"/>
      <c r="E788" s="18"/>
      <c r="F788" s="17"/>
      <c r="G788" s="18"/>
      <c r="H788" s="13"/>
      <c r="I788" s="19">
        <f>IF($E788="","",IF($K788&lt;=0.005,"Pago",IF($D788="","Sem vencimento",IF($D788&lt;Hoje,"Vencida",IF($D788=Hoje,"Vence hoje",IF($D788-Hoje&lt;=DiasAlerta,"Vence em breve","A vencer"))))))</f>
        <v>0</v>
      </c>
      <c r="J788" s="20">
        <f>IF(OR($E788="",$D788=""),"",IF($K788&lt;=0.005,"",$D788-Hoje))</f>
        <v>0</v>
      </c>
      <c r="K788" s="21">
        <f>IF($E788="","",MAX(0,$E788-N($G788)))</f>
        <v>0</v>
      </c>
      <c r="L788" s="20">
        <f>IF($I788="Vencida","PAGAR JÁ (multa e juros)",IF($I788="Vence hoje","Pagar hoje",IF($I788="Vence em breve","Programar pagamento","")))</f>
        <v>0</v>
      </c>
    </row>
    <row r="789" spans="1:12">
      <c r="A789" s="13"/>
      <c r="B789" s="13"/>
      <c r="C789" s="13"/>
      <c r="D789" s="17"/>
      <c r="E789" s="18"/>
      <c r="F789" s="17"/>
      <c r="G789" s="18"/>
      <c r="H789" s="13"/>
      <c r="I789" s="19">
        <f>IF($E789="","",IF($K789&lt;=0.005,"Pago",IF($D789="","Sem vencimento",IF($D789&lt;Hoje,"Vencida",IF($D789=Hoje,"Vence hoje",IF($D789-Hoje&lt;=DiasAlerta,"Vence em breve","A vencer"))))))</f>
        <v>0</v>
      </c>
      <c r="J789" s="20">
        <f>IF(OR($E789="",$D789=""),"",IF($K789&lt;=0.005,"",$D789-Hoje))</f>
        <v>0</v>
      </c>
      <c r="K789" s="21">
        <f>IF($E789="","",MAX(0,$E789-N($G789)))</f>
        <v>0</v>
      </c>
      <c r="L789" s="20">
        <f>IF($I789="Vencida","PAGAR JÁ (multa e juros)",IF($I789="Vence hoje","Pagar hoje",IF($I789="Vence em breve","Programar pagamento","")))</f>
        <v>0</v>
      </c>
    </row>
    <row r="790" spans="1:12">
      <c r="A790" s="13"/>
      <c r="B790" s="13"/>
      <c r="C790" s="13"/>
      <c r="D790" s="17"/>
      <c r="E790" s="18"/>
      <c r="F790" s="17"/>
      <c r="G790" s="18"/>
      <c r="H790" s="13"/>
      <c r="I790" s="19">
        <f>IF($E790="","",IF($K790&lt;=0.005,"Pago",IF($D790="","Sem vencimento",IF($D790&lt;Hoje,"Vencida",IF($D790=Hoje,"Vence hoje",IF($D790-Hoje&lt;=DiasAlerta,"Vence em breve","A vencer"))))))</f>
        <v>0</v>
      </c>
      <c r="J790" s="20">
        <f>IF(OR($E790="",$D790=""),"",IF($K790&lt;=0.005,"",$D790-Hoje))</f>
        <v>0</v>
      </c>
      <c r="K790" s="21">
        <f>IF($E790="","",MAX(0,$E790-N($G790)))</f>
        <v>0</v>
      </c>
      <c r="L790" s="20">
        <f>IF($I790="Vencida","PAGAR JÁ (multa e juros)",IF($I790="Vence hoje","Pagar hoje",IF($I790="Vence em breve","Programar pagamento","")))</f>
        <v>0</v>
      </c>
    </row>
    <row r="791" spans="1:12">
      <c r="A791" s="13"/>
      <c r="B791" s="13"/>
      <c r="C791" s="13"/>
      <c r="D791" s="17"/>
      <c r="E791" s="18"/>
      <c r="F791" s="17"/>
      <c r="G791" s="18"/>
      <c r="H791" s="13"/>
      <c r="I791" s="19">
        <f>IF($E791="","",IF($K791&lt;=0.005,"Pago",IF($D791="","Sem vencimento",IF($D791&lt;Hoje,"Vencida",IF($D791=Hoje,"Vence hoje",IF($D791-Hoje&lt;=DiasAlerta,"Vence em breve","A vencer"))))))</f>
        <v>0</v>
      </c>
      <c r="J791" s="20">
        <f>IF(OR($E791="",$D791=""),"",IF($K791&lt;=0.005,"",$D791-Hoje))</f>
        <v>0</v>
      </c>
      <c r="K791" s="21">
        <f>IF($E791="","",MAX(0,$E791-N($G791)))</f>
        <v>0</v>
      </c>
      <c r="L791" s="20">
        <f>IF($I791="Vencida","PAGAR JÁ (multa e juros)",IF($I791="Vence hoje","Pagar hoje",IF($I791="Vence em breve","Programar pagamento","")))</f>
        <v>0</v>
      </c>
    </row>
    <row r="792" spans="1:12">
      <c r="A792" s="13"/>
      <c r="B792" s="13"/>
      <c r="C792" s="13"/>
      <c r="D792" s="17"/>
      <c r="E792" s="18"/>
      <c r="F792" s="17"/>
      <c r="G792" s="18"/>
      <c r="H792" s="13"/>
      <c r="I792" s="19">
        <f>IF($E792="","",IF($K792&lt;=0.005,"Pago",IF($D792="","Sem vencimento",IF($D792&lt;Hoje,"Vencida",IF($D792=Hoje,"Vence hoje",IF($D792-Hoje&lt;=DiasAlerta,"Vence em breve","A vencer"))))))</f>
        <v>0</v>
      </c>
      <c r="J792" s="20">
        <f>IF(OR($E792="",$D792=""),"",IF($K792&lt;=0.005,"",$D792-Hoje))</f>
        <v>0</v>
      </c>
      <c r="K792" s="21">
        <f>IF($E792="","",MAX(0,$E792-N($G792)))</f>
        <v>0</v>
      </c>
      <c r="L792" s="20">
        <f>IF($I792="Vencida","PAGAR JÁ (multa e juros)",IF($I792="Vence hoje","Pagar hoje",IF($I792="Vence em breve","Programar pagamento","")))</f>
        <v>0</v>
      </c>
    </row>
    <row r="793" spans="1:12">
      <c r="A793" s="13"/>
      <c r="B793" s="13"/>
      <c r="C793" s="13"/>
      <c r="D793" s="17"/>
      <c r="E793" s="18"/>
      <c r="F793" s="17"/>
      <c r="G793" s="18"/>
      <c r="H793" s="13"/>
      <c r="I793" s="19">
        <f>IF($E793="","",IF($K793&lt;=0.005,"Pago",IF($D793="","Sem vencimento",IF($D793&lt;Hoje,"Vencida",IF($D793=Hoje,"Vence hoje",IF($D793-Hoje&lt;=DiasAlerta,"Vence em breve","A vencer"))))))</f>
        <v>0</v>
      </c>
      <c r="J793" s="20">
        <f>IF(OR($E793="",$D793=""),"",IF($K793&lt;=0.005,"",$D793-Hoje))</f>
        <v>0</v>
      </c>
      <c r="K793" s="21">
        <f>IF($E793="","",MAX(0,$E793-N($G793)))</f>
        <v>0</v>
      </c>
      <c r="L793" s="20">
        <f>IF($I793="Vencida","PAGAR JÁ (multa e juros)",IF($I793="Vence hoje","Pagar hoje",IF($I793="Vence em breve","Programar pagamento","")))</f>
        <v>0</v>
      </c>
    </row>
    <row r="794" spans="1:12">
      <c r="A794" s="13"/>
      <c r="B794" s="13"/>
      <c r="C794" s="13"/>
      <c r="D794" s="17"/>
      <c r="E794" s="18"/>
      <c r="F794" s="17"/>
      <c r="G794" s="18"/>
      <c r="H794" s="13"/>
      <c r="I794" s="19">
        <f>IF($E794="","",IF($K794&lt;=0.005,"Pago",IF($D794="","Sem vencimento",IF($D794&lt;Hoje,"Vencida",IF($D794=Hoje,"Vence hoje",IF($D794-Hoje&lt;=DiasAlerta,"Vence em breve","A vencer"))))))</f>
        <v>0</v>
      </c>
      <c r="J794" s="20">
        <f>IF(OR($E794="",$D794=""),"",IF($K794&lt;=0.005,"",$D794-Hoje))</f>
        <v>0</v>
      </c>
      <c r="K794" s="21">
        <f>IF($E794="","",MAX(0,$E794-N($G794)))</f>
        <v>0</v>
      </c>
      <c r="L794" s="20">
        <f>IF($I794="Vencida","PAGAR JÁ (multa e juros)",IF($I794="Vence hoje","Pagar hoje",IF($I794="Vence em breve","Programar pagamento","")))</f>
        <v>0</v>
      </c>
    </row>
    <row r="795" spans="1:12">
      <c r="A795" s="13"/>
      <c r="B795" s="13"/>
      <c r="C795" s="13"/>
      <c r="D795" s="17"/>
      <c r="E795" s="18"/>
      <c r="F795" s="17"/>
      <c r="G795" s="18"/>
      <c r="H795" s="13"/>
      <c r="I795" s="19">
        <f>IF($E795="","",IF($K795&lt;=0.005,"Pago",IF($D795="","Sem vencimento",IF($D795&lt;Hoje,"Vencida",IF($D795=Hoje,"Vence hoje",IF($D795-Hoje&lt;=DiasAlerta,"Vence em breve","A vencer"))))))</f>
        <v>0</v>
      </c>
      <c r="J795" s="20">
        <f>IF(OR($E795="",$D795=""),"",IF($K795&lt;=0.005,"",$D795-Hoje))</f>
        <v>0</v>
      </c>
      <c r="K795" s="21">
        <f>IF($E795="","",MAX(0,$E795-N($G795)))</f>
        <v>0</v>
      </c>
      <c r="L795" s="20">
        <f>IF($I795="Vencida","PAGAR JÁ (multa e juros)",IF($I795="Vence hoje","Pagar hoje",IF($I795="Vence em breve","Programar pagamento","")))</f>
        <v>0</v>
      </c>
    </row>
    <row r="796" spans="1:12">
      <c r="A796" s="13"/>
      <c r="B796" s="13"/>
      <c r="C796" s="13"/>
      <c r="D796" s="17"/>
      <c r="E796" s="18"/>
      <c r="F796" s="17"/>
      <c r="G796" s="18"/>
      <c r="H796" s="13"/>
      <c r="I796" s="19">
        <f>IF($E796="","",IF($K796&lt;=0.005,"Pago",IF($D796="","Sem vencimento",IF($D796&lt;Hoje,"Vencida",IF($D796=Hoje,"Vence hoje",IF($D796-Hoje&lt;=DiasAlerta,"Vence em breve","A vencer"))))))</f>
        <v>0</v>
      </c>
      <c r="J796" s="20">
        <f>IF(OR($E796="",$D796=""),"",IF($K796&lt;=0.005,"",$D796-Hoje))</f>
        <v>0</v>
      </c>
      <c r="K796" s="21">
        <f>IF($E796="","",MAX(0,$E796-N($G796)))</f>
        <v>0</v>
      </c>
      <c r="L796" s="20">
        <f>IF($I796="Vencida","PAGAR JÁ (multa e juros)",IF($I796="Vence hoje","Pagar hoje",IF($I796="Vence em breve","Programar pagamento","")))</f>
        <v>0</v>
      </c>
    </row>
    <row r="797" spans="1:12">
      <c r="A797" s="13"/>
      <c r="B797" s="13"/>
      <c r="C797" s="13"/>
      <c r="D797" s="17"/>
      <c r="E797" s="18"/>
      <c r="F797" s="17"/>
      <c r="G797" s="18"/>
      <c r="H797" s="13"/>
      <c r="I797" s="19">
        <f>IF($E797="","",IF($K797&lt;=0.005,"Pago",IF($D797="","Sem vencimento",IF($D797&lt;Hoje,"Vencida",IF($D797=Hoje,"Vence hoje",IF($D797-Hoje&lt;=DiasAlerta,"Vence em breve","A vencer"))))))</f>
        <v>0</v>
      </c>
      <c r="J797" s="20">
        <f>IF(OR($E797="",$D797=""),"",IF($K797&lt;=0.005,"",$D797-Hoje))</f>
        <v>0</v>
      </c>
      <c r="K797" s="21">
        <f>IF($E797="","",MAX(0,$E797-N($G797)))</f>
        <v>0</v>
      </c>
      <c r="L797" s="20">
        <f>IF($I797="Vencida","PAGAR JÁ (multa e juros)",IF($I797="Vence hoje","Pagar hoje",IF($I797="Vence em breve","Programar pagamento","")))</f>
        <v>0</v>
      </c>
    </row>
    <row r="798" spans="1:12">
      <c r="A798" s="13"/>
      <c r="B798" s="13"/>
      <c r="C798" s="13"/>
      <c r="D798" s="17"/>
      <c r="E798" s="18"/>
      <c r="F798" s="17"/>
      <c r="G798" s="18"/>
      <c r="H798" s="13"/>
      <c r="I798" s="19">
        <f>IF($E798="","",IF($K798&lt;=0.005,"Pago",IF($D798="","Sem vencimento",IF($D798&lt;Hoje,"Vencida",IF($D798=Hoje,"Vence hoje",IF($D798-Hoje&lt;=DiasAlerta,"Vence em breve","A vencer"))))))</f>
        <v>0</v>
      </c>
      <c r="J798" s="20">
        <f>IF(OR($E798="",$D798=""),"",IF($K798&lt;=0.005,"",$D798-Hoje))</f>
        <v>0</v>
      </c>
      <c r="K798" s="21">
        <f>IF($E798="","",MAX(0,$E798-N($G798)))</f>
        <v>0</v>
      </c>
      <c r="L798" s="20">
        <f>IF($I798="Vencida","PAGAR JÁ (multa e juros)",IF($I798="Vence hoje","Pagar hoje",IF($I798="Vence em breve","Programar pagamento","")))</f>
        <v>0</v>
      </c>
    </row>
    <row r="799" spans="1:12">
      <c r="A799" s="13"/>
      <c r="B799" s="13"/>
      <c r="C799" s="13"/>
      <c r="D799" s="17"/>
      <c r="E799" s="18"/>
      <c r="F799" s="17"/>
      <c r="G799" s="18"/>
      <c r="H799" s="13"/>
      <c r="I799" s="19">
        <f>IF($E799="","",IF($K799&lt;=0.005,"Pago",IF($D799="","Sem vencimento",IF($D799&lt;Hoje,"Vencida",IF($D799=Hoje,"Vence hoje",IF($D799-Hoje&lt;=DiasAlerta,"Vence em breve","A vencer"))))))</f>
        <v>0</v>
      </c>
      <c r="J799" s="20">
        <f>IF(OR($E799="",$D799=""),"",IF($K799&lt;=0.005,"",$D799-Hoje))</f>
        <v>0</v>
      </c>
      <c r="K799" s="21">
        <f>IF($E799="","",MAX(0,$E799-N($G799)))</f>
        <v>0</v>
      </c>
      <c r="L799" s="20">
        <f>IF($I799="Vencida","PAGAR JÁ (multa e juros)",IF($I799="Vence hoje","Pagar hoje",IF($I799="Vence em breve","Programar pagamento","")))</f>
        <v>0</v>
      </c>
    </row>
    <row r="800" spans="1:12">
      <c r="A800" s="13"/>
      <c r="B800" s="13"/>
      <c r="C800" s="13"/>
      <c r="D800" s="17"/>
      <c r="E800" s="18"/>
      <c r="F800" s="17"/>
      <c r="G800" s="18"/>
      <c r="H800" s="13"/>
      <c r="I800" s="19">
        <f>IF($E800="","",IF($K800&lt;=0.005,"Pago",IF($D800="","Sem vencimento",IF($D800&lt;Hoje,"Vencida",IF($D800=Hoje,"Vence hoje",IF($D800-Hoje&lt;=DiasAlerta,"Vence em breve","A vencer"))))))</f>
        <v>0</v>
      </c>
      <c r="J800" s="20">
        <f>IF(OR($E800="",$D800=""),"",IF($K800&lt;=0.005,"",$D800-Hoje))</f>
        <v>0</v>
      </c>
      <c r="K800" s="21">
        <f>IF($E800="","",MAX(0,$E800-N($G800)))</f>
        <v>0</v>
      </c>
      <c r="L800" s="20">
        <f>IF($I800="Vencida","PAGAR JÁ (multa e juros)",IF($I800="Vence hoje","Pagar hoje",IF($I800="Vence em breve","Programar pagamento","")))</f>
        <v>0</v>
      </c>
    </row>
    <row r="801" spans="1:12">
      <c r="A801" s="13"/>
      <c r="B801" s="13"/>
      <c r="C801" s="13"/>
      <c r="D801" s="17"/>
      <c r="E801" s="18"/>
      <c r="F801" s="17"/>
      <c r="G801" s="18"/>
      <c r="H801" s="13"/>
      <c r="I801" s="19">
        <f>IF($E801="","",IF($K801&lt;=0.005,"Pago",IF($D801="","Sem vencimento",IF($D801&lt;Hoje,"Vencida",IF($D801=Hoje,"Vence hoje",IF($D801-Hoje&lt;=DiasAlerta,"Vence em breve","A vencer"))))))</f>
        <v>0</v>
      </c>
      <c r="J801" s="20">
        <f>IF(OR($E801="",$D801=""),"",IF($K801&lt;=0.005,"",$D801-Hoje))</f>
        <v>0</v>
      </c>
      <c r="K801" s="21">
        <f>IF($E801="","",MAX(0,$E801-N($G801)))</f>
        <v>0</v>
      </c>
      <c r="L801" s="20">
        <f>IF($I801="Vencida","PAGAR JÁ (multa e juros)",IF($I801="Vence hoje","Pagar hoje",IF($I801="Vence em breve","Programar pagamento","")))</f>
        <v>0</v>
      </c>
    </row>
    <row r="802" spans="1:12">
      <c r="A802" s="13"/>
      <c r="B802" s="13"/>
      <c r="C802" s="13"/>
      <c r="D802" s="17"/>
      <c r="E802" s="18"/>
      <c r="F802" s="17"/>
      <c r="G802" s="18"/>
      <c r="H802" s="13"/>
      <c r="I802" s="19">
        <f>IF($E802="","",IF($K802&lt;=0.005,"Pago",IF($D802="","Sem vencimento",IF($D802&lt;Hoje,"Vencida",IF($D802=Hoje,"Vence hoje",IF($D802-Hoje&lt;=DiasAlerta,"Vence em breve","A vencer"))))))</f>
        <v>0</v>
      </c>
      <c r="J802" s="20">
        <f>IF(OR($E802="",$D802=""),"",IF($K802&lt;=0.005,"",$D802-Hoje))</f>
        <v>0</v>
      </c>
      <c r="K802" s="21">
        <f>IF($E802="","",MAX(0,$E802-N($G802)))</f>
        <v>0</v>
      </c>
      <c r="L802" s="20">
        <f>IF($I802="Vencida","PAGAR JÁ (multa e juros)",IF($I802="Vence hoje","Pagar hoje",IF($I802="Vence em breve","Programar pagamento","")))</f>
        <v>0</v>
      </c>
    </row>
    <row r="803" spans="1:12">
      <c r="A803" s="13"/>
      <c r="B803" s="13"/>
      <c r="C803" s="13"/>
      <c r="D803" s="17"/>
      <c r="E803" s="18"/>
      <c r="F803" s="17"/>
      <c r="G803" s="18"/>
      <c r="H803" s="13"/>
      <c r="I803" s="19">
        <f>IF($E803="","",IF($K803&lt;=0.005,"Pago",IF($D803="","Sem vencimento",IF($D803&lt;Hoje,"Vencida",IF($D803=Hoje,"Vence hoje",IF($D803-Hoje&lt;=DiasAlerta,"Vence em breve","A vencer"))))))</f>
        <v>0</v>
      </c>
      <c r="J803" s="20">
        <f>IF(OR($E803="",$D803=""),"",IF($K803&lt;=0.005,"",$D803-Hoje))</f>
        <v>0</v>
      </c>
      <c r="K803" s="21">
        <f>IF($E803="","",MAX(0,$E803-N($G803)))</f>
        <v>0</v>
      </c>
      <c r="L803" s="20">
        <f>IF($I803="Vencida","PAGAR JÁ (multa e juros)",IF($I803="Vence hoje","Pagar hoje",IF($I803="Vence em breve","Programar pagamento","")))</f>
        <v>0</v>
      </c>
    </row>
    <row r="804" spans="1:12">
      <c r="A804" s="13"/>
      <c r="B804" s="13"/>
      <c r="C804" s="13"/>
      <c r="D804" s="17"/>
      <c r="E804" s="18"/>
      <c r="F804" s="17"/>
      <c r="G804" s="18"/>
      <c r="H804" s="13"/>
      <c r="I804" s="19">
        <f>IF($E804="","",IF($K804&lt;=0.005,"Pago",IF($D804="","Sem vencimento",IF($D804&lt;Hoje,"Vencida",IF($D804=Hoje,"Vence hoje",IF($D804-Hoje&lt;=DiasAlerta,"Vence em breve","A vencer"))))))</f>
        <v>0</v>
      </c>
      <c r="J804" s="20">
        <f>IF(OR($E804="",$D804=""),"",IF($K804&lt;=0.005,"",$D804-Hoje))</f>
        <v>0</v>
      </c>
      <c r="K804" s="21">
        <f>IF($E804="","",MAX(0,$E804-N($G804)))</f>
        <v>0</v>
      </c>
      <c r="L804" s="20">
        <f>IF($I804="Vencida","PAGAR JÁ (multa e juros)",IF($I804="Vence hoje","Pagar hoje",IF($I804="Vence em breve","Programar pagamento","")))</f>
        <v>0</v>
      </c>
    </row>
    <row r="805" spans="1:12">
      <c r="A805" s="13"/>
      <c r="B805" s="13"/>
      <c r="C805" s="13"/>
      <c r="D805" s="17"/>
      <c r="E805" s="18"/>
      <c r="F805" s="17"/>
      <c r="G805" s="18"/>
      <c r="H805" s="13"/>
      <c r="I805" s="19">
        <f>IF($E805="","",IF($K805&lt;=0.005,"Pago",IF($D805="","Sem vencimento",IF($D805&lt;Hoje,"Vencida",IF($D805=Hoje,"Vence hoje",IF($D805-Hoje&lt;=DiasAlerta,"Vence em breve","A vencer"))))))</f>
        <v>0</v>
      </c>
      <c r="J805" s="20">
        <f>IF(OR($E805="",$D805=""),"",IF($K805&lt;=0.005,"",$D805-Hoje))</f>
        <v>0</v>
      </c>
      <c r="K805" s="21">
        <f>IF($E805="","",MAX(0,$E805-N($G805)))</f>
        <v>0</v>
      </c>
      <c r="L805" s="20">
        <f>IF($I805="Vencida","PAGAR JÁ (multa e juros)",IF($I805="Vence hoje","Pagar hoje",IF($I805="Vence em breve","Programar pagamento","")))</f>
        <v>0</v>
      </c>
    </row>
    <row r="806" spans="1:12">
      <c r="A806" s="13"/>
      <c r="B806" s="13"/>
      <c r="C806" s="13"/>
      <c r="D806" s="17"/>
      <c r="E806" s="18"/>
      <c r="F806" s="17"/>
      <c r="G806" s="18"/>
      <c r="H806" s="13"/>
      <c r="I806" s="19">
        <f>IF($E806="","",IF($K806&lt;=0.005,"Pago",IF($D806="","Sem vencimento",IF($D806&lt;Hoje,"Vencida",IF($D806=Hoje,"Vence hoje",IF($D806-Hoje&lt;=DiasAlerta,"Vence em breve","A vencer"))))))</f>
        <v>0</v>
      </c>
      <c r="J806" s="20">
        <f>IF(OR($E806="",$D806=""),"",IF($K806&lt;=0.005,"",$D806-Hoje))</f>
        <v>0</v>
      </c>
      <c r="K806" s="21">
        <f>IF($E806="","",MAX(0,$E806-N($G806)))</f>
        <v>0</v>
      </c>
      <c r="L806" s="20">
        <f>IF($I806="Vencida","PAGAR JÁ (multa e juros)",IF($I806="Vence hoje","Pagar hoje",IF($I806="Vence em breve","Programar pagamento","")))</f>
        <v>0</v>
      </c>
    </row>
    <row r="807" spans="1:12">
      <c r="A807" s="13"/>
      <c r="B807" s="13"/>
      <c r="C807" s="13"/>
      <c r="D807" s="17"/>
      <c r="E807" s="18"/>
      <c r="F807" s="17"/>
      <c r="G807" s="18"/>
      <c r="H807" s="13"/>
      <c r="I807" s="19">
        <f>IF($E807="","",IF($K807&lt;=0.005,"Pago",IF($D807="","Sem vencimento",IF($D807&lt;Hoje,"Vencida",IF($D807=Hoje,"Vence hoje",IF($D807-Hoje&lt;=DiasAlerta,"Vence em breve","A vencer"))))))</f>
        <v>0</v>
      </c>
      <c r="J807" s="20">
        <f>IF(OR($E807="",$D807=""),"",IF($K807&lt;=0.005,"",$D807-Hoje))</f>
        <v>0</v>
      </c>
      <c r="K807" s="21">
        <f>IF($E807="","",MAX(0,$E807-N($G807)))</f>
        <v>0</v>
      </c>
      <c r="L807" s="20">
        <f>IF($I807="Vencida","PAGAR JÁ (multa e juros)",IF($I807="Vence hoje","Pagar hoje",IF($I807="Vence em breve","Programar pagamento","")))</f>
        <v>0</v>
      </c>
    </row>
    <row r="808" spans="1:12">
      <c r="A808" s="13"/>
      <c r="B808" s="13"/>
      <c r="C808" s="13"/>
      <c r="D808" s="17"/>
      <c r="E808" s="18"/>
      <c r="F808" s="17"/>
      <c r="G808" s="18"/>
      <c r="H808" s="13"/>
      <c r="I808" s="19">
        <f>IF($E808="","",IF($K808&lt;=0.005,"Pago",IF($D808="","Sem vencimento",IF($D808&lt;Hoje,"Vencida",IF($D808=Hoje,"Vence hoje",IF($D808-Hoje&lt;=DiasAlerta,"Vence em breve","A vencer"))))))</f>
        <v>0</v>
      </c>
      <c r="J808" s="20">
        <f>IF(OR($E808="",$D808=""),"",IF($K808&lt;=0.005,"",$D808-Hoje))</f>
        <v>0</v>
      </c>
      <c r="K808" s="21">
        <f>IF($E808="","",MAX(0,$E808-N($G808)))</f>
        <v>0</v>
      </c>
      <c r="L808" s="20">
        <f>IF($I808="Vencida","PAGAR JÁ (multa e juros)",IF($I808="Vence hoje","Pagar hoje",IF($I808="Vence em breve","Programar pagamento","")))</f>
        <v>0</v>
      </c>
    </row>
    <row r="809" spans="1:12">
      <c r="A809" s="13"/>
      <c r="B809" s="13"/>
      <c r="C809" s="13"/>
      <c r="D809" s="17"/>
      <c r="E809" s="18"/>
      <c r="F809" s="17"/>
      <c r="G809" s="18"/>
      <c r="H809" s="13"/>
      <c r="I809" s="19">
        <f>IF($E809="","",IF($K809&lt;=0.005,"Pago",IF($D809="","Sem vencimento",IF($D809&lt;Hoje,"Vencida",IF($D809=Hoje,"Vence hoje",IF($D809-Hoje&lt;=DiasAlerta,"Vence em breve","A vencer"))))))</f>
        <v>0</v>
      </c>
      <c r="J809" s="20">
        <f>IF(OR($E809="",$D809=""),"",IF($K809&lt;=0.005,"",$D809-Hoje))</f>
        <v>0</v>
      </c>
      <c r="K809" s="21">
        <f>IF($E809="","",MAX(0,$E809-N($G809)))</f>
        <v>0</v>
      </c>
      <c r="L809" s="20">
        <f>IF($I809="Vencida","PAGAR JÁ (multa e juros)",IF($I809="Vence hoje","Pagar hoje",IF($I809="Vence em breve","Programar pagamento","")))</f>
        <v>0</v>
      </c>
    </row>
    <row r="810" spans="1:12">
      <c r="A810" s="13"/>
      <c r="B810" s="13"/>
      <c r="C810" s="13"/>
      <c r="D810" s="17"/>
      <c r="E810" s="18"/>
      <c r="F810" s="17"/>
      <c r="G810" s="18"/>
      <c r="H810" s="13"/>
      <c r="I810" s="19">
        <f>IF($E810="","",IF($K810&lt;=0.005,"Pago",IF($D810="","Sem vencimento",IF($D810&lt;Hoje,"Vencida",IF($D810=Hoje,"Vence hoje",IF($D810-Hoje&lt;=DiasAlerta,"Vence em breve","A vencer"))))))</f>
        <v>0</v>
      </c>
      <c r="J810" s="20">
        <f>IF(OR($E810="",$D810=""),"",IF($K810&lt;=0.005,"",$D810-Hoje))</f>
        <v>0</v>
      </c>
      <c r="K810" s="21">
        <f>IF($E810="","",MAX(0,$E810-N($G810)))</f>
        <v>0</v>
      </c>
      <c r="L810" s="20">
        <f>IF($I810="Vencida","PAGAR JÁ (multa e juros)",IF($I810="Vence hoje","Pagar hoje",IF($I810="Vence em breve","Programar pagamento","")))</f>
        <v>0</v>
      </c>
    </row>
    <row r="811" spans="1:12">
      <c r="A811" s="13"/>
      <c r="B811" s="13"/>
      <c r="C811" s="13"/>
      <c r="D811" s="17"/>
      <c r="E811" s="18"/>
      <c r="F811" s="17"/>
      <c r="G811" s="18"/>
      <c r="H811" s="13"/>
      <c r="I811" s="19">
        <f>IF($E811="","",IF($K811&lt;=0.005,"Pago",IF($D811="","Sem vencimento",IF($D811&lt;Hoje,"Vencida",IF($D811=Hoje,"Vence hoje",IF($D811-Hoje&lt;=DiasAlerta,"Vence em breve","A vencer"))))))</f>
        <v>0</v>
      </c>
      <c r="J811" s="20">
        <f>IF(OR($E811="",$D811=""),"",IF($K811&lt;=0.005,"",$D811-Hoje))</f>
        <v>0</v>
      </c>
      <c r="K811" s="21">
        <f>IF($E811="","",MAX(0,$E811-N($G811)))</f>
        <v>0</v>
      </c>
      <c r="L811" s="20">
        <f>IF($I811="Vencida","PAGAR JÁ (multa e juros)",IF($I811="Vence hoje","Pagar hoje",IF($I811="Vence em breve","Programar pagamento","")))</f>
        <v>0</v>
      </c>
    </row>
    <row r="812" spans="1:12">
      <c r="A812" s="13"/>
      <c r="B812" s="13"/>
      <c r="C812" s="13"/>
      <c r="D812" s="17"/>
      <c r="E812" s="18"/>
      <c r="F812" s="17"/>
      <c r="G812" s="18"/>
      <c r="H812" s="13"/>
      <c r="I812" s="19">
        <f>IF($E812="","",IF($K812&lt;=0.005,"Pago",IF($D812="","Sem vencimento",IF($D812&lt;Hoje,"Vencida",IF($D812=Hoje,"Vence hoje",IF($D812-Hoje&lt;=DiasAlerta,"Vence em breve","A vencer"))))))</f>
        <v>0</v>
      </c>
      <c r="J812" s="20">
        <f>IF(OR($E812="",$D812=""),"",IF($K812&lt;=0.005,"",$D812-Hoje))</f>
        <v>0</v>
      </c>
      <c r="K812" s="21">
        <f>IF($E812="","",MAX(0,$E812-N($G812)))</f>
        <v>0</v>
      </c>
      <c r="L812" s="20">
        <f>IF($I812="Vencida","PAGAR JÁ (multa e juros)",IF($I812="Vence hoje","Pagar hoje",IF($I812="Vence em breve","Programar pagamento","")))</f>
        <v>0</v>
      </c>
    </row>
    <row r="813" spans="1:12">
      <c r="A813" s="13"/>
      <c r="B813" s="13"/>
      <c r="C813" s="13"/>
      <c r="D813" s="17"/>
      <c r="E813" s="18"/>
      <c r="F813" s="17"/>
      <c r="G813" s="18"/>
      <c r="H813" s="13"/>
      <c r="I813" s="19">
        <f>IF($E813="","",IF($K813&lt;=0.005,"Pago",IF($D813="","Sem vencimento",IF($D813&lt;Hoje,"Vencida",IF($D813=Hoje,"Vence hoje",IF($D813-Hoje&lt;=DiasAlerta,"Vence em breve","A vencer"))))))</f>
        <v>0</v>
      </c>
      <c r="J813" s="20">
        <f>IF(OR($E813="",$D813=""),"",IF($K813&lt;=0.005,"",$D813-Hoje))</f>
        <v>0</v>
      </c>
      <c r="K813" s="21">
        <f>IF($E813="","",MAX(0,$E813-N($G813)))</f>
        <v>0</v>
      </c>
      <c r="L813" s="20">
        <f>IF($I813="Vencida","PAGAR JÁ (multa e juros)",IF($I813="Vence hoje","Pagar hoje",IF($I813="Vence em breve","Programar pagamento","")))</f>
        <v>0</v>
      </c>
    </row>
    <row r="814" spans="1:12">
      <c r="A814" s="13"/>
      <c r="B814" s="13"/>
      <c r="C814" s="13"/>
      <c r="D814" s="17"/>
      <c r="E814" s="18"/>
      <c r="F814" s="17"/>
      <c r="G814" s="18"/>
      <c r="H814" s="13"/>
      <c r="I814" s="19">
        <f>IF($E814="","",IF($K814&lt;=0.005,"Pago",IF($D814="","Sem vencimento",IF($D814&lt;Hoje,"Vencida",IF($D814=Hoje,"Vence hoje",IF($D814-Hoje&lt;=DiasAlerta,"Vence em breve","A vencer"))))))</f>
        <v>0</v>
      </c>
      <c r="J814" s="20">
        <f>IF(OR($E814="",$D814=""),"",IF($K814&lt;=0.005,"",$D814-Hoje))</f>
        <v>0</v>
      </c>
      <c r="K814" s="21">
        <f>IF($E814="","",MAX(0,$E814-N($G814)))</f>
        <v>0</v>
      </c>
      <c r="L814" s="20">
        <f>IF($I814="Vencida","PAGAR JÁ (multa e juros)",IF($I814="Vence hoje","Pagar hoje",IF($I814="Vence em breve","Programar pagamento","")))</f>
        <v>0</v>
      </c>
    </row>
    <row r="815" spans="1:12">
      <c r="A815" s="13"/>
      <c r="B815" s="13"/>
      <c r="C815" s="13"/>
      <c r="D815" s="17"/>
      <c r="E815" s="18"/>
      <c r="F815" s="17"/>
      <c r="G815" s="18"/>
      <c r="H815" s="13"/>
      <c r="I815" s="19">
        <f>IF($E815="","",IF($K815&lt;=0.005,"Pago",IF($D815="","Sem vencimento",IF($D815&lt;Hoje,"Vencida",IF($D815=Hoje,"Vence hoje",IF($D815-Hoje&lt;=DiasAlerta,"Vence em breve","A vencer"))))))</f>
        <v>0</v>
      </c>
      <c r="J815" s="20">
        <f>IF(OR($E815="",$D815=""),"",IF($K815&lt;=0.005,"",$D815-Hoje))</f>
        <v>0</v>
      </c>
      <c r="K815" s="21">
        <f>IF($E815="","",MAX(0,$E815-N($G815)))</f>
        <v>0</v>
      </c>
      <c r="L815" s="20">
        <f>IF($I815="Vencida","PAGAR JÁ (multa e juros)",IF($I815="Vence hoje","Pagar hoje",IF($I815="Vence em breve","Programar pagamento","")))</f>
        <v>0</v>
      </c>
    </row>
    <row r="816" spans="1:12">
      <c r="A816" s="13"/>
      <c r="B816" s="13"/>
      <c r="C816" s="13"/>
      <c r="D816" s="17"/>
      <c r="E816" s="18"/>
      <c r="F816" s="17"/>
      <c r="G816" s="18"/>
      <c r="H816" s="13"/>
      <c r="I816" s="19">
        <f>IF($E816="","",IF($K816&lt;=0.005,"Pago",IF($D816="","Sem vencimento",IF($D816&lt;Hoje,"Vencida",IF($D816=Hoje,"Vence hoje",IF($D816-Hoje&lt;=DiasAlerta,"Vence em breve","A vencer"))))))</f>
        <v>0</v>
      </c>
      <c r="J816" s="20">
        <f>IF(OR($E816="",$D816=""),"",IF($K816&lt;=0.005,"",$D816-Hoje))</f>
        <v>0</v>
      </c>
      <c r="K816" s="21">
        <f>IF($E816="","",MAX(0,$E816-N($G816)))</f>
        <v>0</v>
      </c>
      <c r="L816" s="20">
        <f>IF($I816="Vencida","PAGAR JÁ (multa e juros)",IF($I816="Vence hoje","Pagar hoje",IF($I816="Vence em breve","Programar pagamento","")))</f>
        <v>0</v>
      </c>
    </row>
    <row r="817" spans="1:12">
      <c r="A817" s="13"/>
      <c r="B817" s="13"/>
      <c r="C817" s="13"/>
      <c r="D817" s="17"/>
      <c r="E817" s="18"/>
      <c r="F817" s="17"/>
      <c r="G817" s="18"/>
      <c r="H817" s="13"/>
      <c r="I817" s="19">
        <f>IF($E817="","",IF($K817&lt;=0.005,"Pago",IF($D817="","Sem vencimento",IF($D817&lt;Hoje,"Vencida",IF($D817=Hoje,"Vence hoje",IF($D817-Hoje&lt;=DiasAlerta,"Vence em breve","A vencer"))))))</f>
        <v>0</v>
      </c>
      <c r="J817" s="20">
        <f>IF(OR($E817="",$D817=""),"",IF($K817&lt;=0.005,"",$D817-Hoje))</f>
        <v>0</v>
      </c>
      <c r="K817" s="21">
        <f>IF($E817="","",MAX(0,$E817-N($G817)))</f>
        <v>0</v>
      </c>
      <c r="L817" s="20">
        <f>IF($I817="Vencida","PAGAR JÁ (multa e juros)",IF($I817="Vence hoje","Pagar hoje",IF($I817="Vence em breve","Programar pagamento","")))</f>
        <v>0</v>
      </c>
    </row>
    <row r="818" spans="1:12">
      <c r="A818" s="13"/>
      <c r="B818" s="13"/>
      <c r="C818" s="13"/>
      <c r="D818" s="17"/>
      <c r="E818" s="18"/>
      <c r="F818" s="17"/>
      <c r="G818" s="18"/>
      <c r="H818" s="13"/>
      <c r="I818" s="19">
        <f>IF($E818="","",IF($K818&lt;=0.005,"Pago",IF($D818="","Sem vencimento",IF($D818&lt;Hoje,"Vencida",IF($D818=Hoje,"Vence hoje",IF($D818-Hoje&lt;=DiasAlerta,"Vence em breve","A vencer"))))))</f>
        <v>0</v>
      </c>
      <c r="J818" s="20">
        <f>IF(OR($E818="",$D818=""),"",IF($K818&lt;=0.005,"",$D818-Hoje))</f>
        <v>0</v>
      </c>
      <c r="K818" s="21">
        <f>IF($E818="","",MAX(0,$E818-N($G818)))</f>
        <v>0</v>
      </c>
      <c r="L818" s="20">
        <f>IF($I818="Vencida","PAGAR JÁ (multa e juros)",IF($I818="Vence hoje","Pagar hoje",IF($I818="Vence em breve","Programar pagamento","")))</f>
        <v>0</v>
      </c>
    </row>
    <row r="819" spans="1:12">
      <c r="A819" s="13"/>
      <c r="B819" s="13"/>
      <c r="C819" s="13"/>
      <c r="D819" s="17"/>
      <c r="E819" s="18"/>
      <c r="F819" s="17"/>
      <c r="G819" s="18"/>
      <c r="H819" s="13"/>
      <c r="I819" s="19">
        <f>IF($E819="","",IF($K819&lt;=0.005,"Pago",IF($D819="","Sem vencimento",IF($D819&lt;Hoje,"Vencida",IF($D819=Hoje,"Vence hoje",IF($D819-Hoje&lt;=DiasAlerta,"Vence em breve","A vencer"))))))</f>
        <v>0</v>
      </c>
      <c r="J819" s="20">
        <f>IF(OR($E819="",$D819=""),"",IF($K819&lt;=0.005,"",$D819-Hoje))</f>
        <v>0</v>
      </c>
      <c r="K819" s="21">
        <f>IF($E819="","",MAX(0,$E819-N($G819)))</f>
        <v>0</v>
      </c>
      <c r="L819" s="20">
        <f>IF($I819="Vencida","PAGAR JÁ (multa e juros)",IF($I819="Vence hoje","Pagar hoje",IF($I819="Vence em breve","Programar pagamento","")))</f>
        <v>0</v>
      </c>
    </row>
    <row r="820" spans="1:12">
      <c r="A820" s="13"/>
      <c r="B820" s="13"/>
      <c r="C820" s="13"/>
      <c r="D820" s="17"/>
      <c r="E820" s="18"/>
      <c r="F820" s="17"/>
      <c r="G820" s="18"/>
      <c r="H820" s="13"/>
      <c r="I820" s="19">
        <f>IF($E820="","",IF($K820&lt;=0.005,"Pago",IF($D820="","Sem vencimento",IF($D820&lt;Hoje,"Vencida",IF($D820=Hoje,"Vence hoje",IF($D820-Hoje&lt;=DiasAlerta,"Vence em breve","A vencer"))))))</f>
        <v>0</v>
      </c>
      <c r="J820" s="20">
        <f>IF(OR($E820="",$D820=""),"",IF($K820&lt;=0.005,"",$D820-Hoje))</f>
        <v>0</v>
      </c>
      <c r="K820" s="21">
        <f>IF($E820="","",MAX(0,$E820-N($G820)))</f>
        <v>0</v>
      </c>
      <c r="L820" s="20">
        <f>IF($I820="Vencida","PAGAR JÁ (multa e juros)",IF($I820="Vence hoje","Pagar hoje",IF($I820="Vence em breve","Programar pagamento","")))</f>
        <v>0</v>
      </c>
    </row>
    <row r="821" spans="1:12">
      <c r="A821" s="13"/>
      <c r="B821" s="13"/>
      <c r="C821" s="13"/>
      <c r="D821" s="17"/>
      <c r="E821" s="18"/>
      <c r="F821" s="17"/>
      <c r="G821" s="18"/>
      <c r="H821" s="13"/>
      <c r="I821" s="19">
        <f>IF($E821="","",IF($K821&lt;=0.005,"Pago",IF($D821="","Sem vencimento",IF($D821&lt;Hoje,"Vencida",IF($D821=Hoje,"Vence hoje",IF($D821-Hoje&lt;=DiasAlerta,"Vence em breve","A vencer"))))))</f>
        <v>0</v>
      </c>
      <c r="J821" s="20">
        <f>IF(OR($E821="",$D821=""),"",IF($K821&lt;=0.005,"",$D821-Hoje))</f>
        <v>0</v>
      </c>
      <c r="K821" s="21">
        <f>IF($E821="","",MAX(0,$E821-N($G821)))</f>
        <v>0</v>
      </c>
      <c r="L821" s="20">
        <f>IF($I821="Vencida","PAGAR JÁ (multa e juros)",IF($I821="Vence hoje","Pagar hoje",IF($I821="Vence em breve","Programar pagamento","")))</f>
        <v>0</v>
      </c>
    </row>
    <row r="822" spans="1:12">
      <c r="A822" s="13"/>
      <c r="B822" s="13"/>
      <c r="C822" s="13"/>
      <c r="D822" s="17"/>
      <c r="E822" s="18"/>
      <c r="F822" s="17"/>
      <c r="G822" s="18"/>
      <c r="H822" s="13"/>
      <c r="I822" s="19">
        <f>IF($E822="","",IF($K822&lt;=0.005,"Pago",IF($D822="","Sem vencimento",IF($D822&lt;Hoje,"Vencida",IF($D822=Hoje,"Vence hoje",IF($D822-Hoje&lt;=DiasAlerta,"Vence em breve","A vencer"))))))</f>
        <v>0</v>
      </c>
      <c r="J822" s="20">
        <f>IF(OR($E822="",$D822=""),"",IF($K822&lt;=0.005,"",$D822-Hoje))</f>
        <v>0</v>
      </c>
      <c r="K822" s="21">
        <f>IF($E822="","",MAX(0,$E822-N($G822)))</f>
        <v>0</v>
      </c>
      <c r="L822" s="20">
        <f>IF($I822="Vencida","PAGAR JÁ (multa e juros)",IF($I822="Vence hoje","Pagar hoje",IF($I822="Vence em breve","Programar pagamento","")))</f>
        <v>0</v>
      </c>
    </row>
    <row r="823" spans="1:12">
      <c r="A823" s="13"/>
      <c r="B823" s="13"/>
      <c r="C823" s="13"/>
      <c r="D823" s="17"/>
      <c r="E823" s="18"/>
      <c r="F823" s="17"/>
      <c r="G823" s="18"/>
      <c r="H823" s="13"/>
      <c r="I823" s="19">
        <f>IF($E823="","",IF($K823&lt;=0.005,"Pago",IF($D823="","Sem vencimento",IF($D823&lt;Hoje,"Vencida",IF($D823=Hoje,"Vence hoje",IF($D823-Hoje&lt;=DiasAlerta,"Vence em breve","A vencer"))))))</f>
        <v>0</v>
      </c>
      <c r="J823" s="20">
        <f>IF(OR($E823="",$D823=""),"",IF($K823&lt;=0.005,"",$D823-Hoje))</f>
        <v>0</v>
      </c>
      <c r="K823" s="21">
        <f>IF($E823="","",MAX(0,$E823-N($G823)))</f>
        <v>0</v>
      </c>
      <c r="L823" s="20">
        <f>IF($I823="Vencida","PAGAR JÁ (multa e juros)",IF($I823="Vence hoje","Pagar hoje",IF($I823="Vence em breve","Programar pagamento","")))</f>
        <v>0</v>
      </c>
    </row>
    <row r="824" spans="1:12">
      <c r="A824" s="13"/>
      <c r="B824" s="13"/>
      <c r="C824" s="13"/>
      <c r="D824" s="17"/>
      <c r="E824" s="18"/>
      <c r="F824" s="17"/>
      <c r="G824" s="18"/>
      <c r="H824" s="13"/>
      <c r="I824" s="19">
        <f>IF($E824="","",IF($K824&lt;=0.005,"Pago",IF($D824="","Sem vencimento",IF($D824&lt;Hoje,"Vencida",IF($D824=Hoje,"Vence hoje",IF($D824-Hoje&lt;=DiasAlerta,"Vence em breve","A vencer"))))))</f>
        <v>0</v>
      </c>
      <c r="J824" s="20">
        <f>IF(OR($E824="",$D824=""),"",IF($K824&lt;=0.005,"",$D824-Hoje))</f>
        <v>0</v>
      </c>
      <c r="K824" s="21">
        <f>IF($E824="","",MAX(0,$E824-N($G824)))</f>
        <v>0</v>
      </c>
      <c r="L824" s="20">
        <f>IF($I824="Vencida","PAGAR JÁ (multa e juros)",IF($I824="Vence hoje","Pagar hoje",IF($I824="Vence em breve","Programar pagamento","")))</f>
        <v>0</v>
      </c>
    </row>
    <row r="825" spans="1:12">
      <c r="A825" s="13"/>
      <c r="B825" s="13"/>
      <c r="C825" s="13"/>
      <c r="D825" s="17"/>
      <c r="E825" s="18"/>
      <c r="F825" s="17"/>
      <c r="G825" s="18"/>
      <c r="H825" s="13"/>
      <c r="I825" s="19">
        <f>IF($E825="","",IF($K825&lt;=0.005,"Pago",IF($D825="","Sem vencimento",IF($D825&lt;Hoje,"Vencida",IF($D825=Hoje,"Vence hoje",IF($D825-Hoje&lt;=DiasAlerta,"Vence em breve","A vencer"))))))</f>
        <v>0</v>
      </c>
      <c r="J825" s="20">
        <f>IF(OR($E825="",$D825=""),"",IF($K825&lt;=0.005,"",$D825-Hoje))</f>
        <v>0</v>
      </c>
      <c r="K825" s="21">
        <f>IF($E825="","",MAX(0,$E825-N($G825)))</f>
        <v>0</v>
      </c>
      <c r="L825" s="20">
        <f>IF($I825="Vencida","PAGAR JÁ (multa e juros)",IF($I825="Vence hoje","Pagar hoje",IF($I825="Vence em breve","Programar pagamento","")))</f>
        <v>0</v>
      </c>
    </row>
    <row r="826" spans="1:12">
      <c r="A826" s="13"/>
      <c r="B826" s="13"/>
      <c r="C826" s="13"/>
      <c r="D826" s="17"/>
      <c r="E826" s="18"/>
      <c r="F826" s="17"/>
      <c r="G826" s="18"/>
      <c r="H826" s="13"/>
      <c r="I826" s="19">
        <f>IF($E826="","",IF($K826&lt;=0.005,"Pago",IF($D826="","Sem vencimento",IF($D826&lt;Hoje,"Vencida",IF($D826=Hoje,"Vence hoje",IF($D826-Hoje&lt;=DiasAlerta,"Vence em breve","A vencer"))))))</f>
        <v>0</v>
      </c>
      <c r="J826" s="20">
        <f>IF(OR($E826="",$D826=""),"",IF($K826&lt;=0.005,"",$D826-Hoje))</f>
        <v>0</v>
      </c>
      <c r="K826" s="21">
        <f>IF($E826="","",MAX(0,$E826-N($G826)))</f>
        <v>0</v>
      </c>
      <c r="L826" s="20">
        <f>IF($I826="Vencida","PAGAR JÁ (multa e juros)",IF($I826="Vence hoje","Pagar hoje",IF($I826="Vence em breve","Programar pagamento","")))</f>
        <v>0</v>
      </c>
    </row>
    <row r="827" spans="1:12">
      <c r="A827" s="13"/>
      <c r="B827" s="13"/>
      <c r="C827" s="13"/>
      <c r="D827" s="17"/>
      <c r="E827" s="18"/>
      <c r="F827" s="17"/>
      <c r="G827" s="18"/>
      <c r="H827" s="13"/>
      <c r="I827" s="19">
        <f>IF($E827="","",IF($K827&lt;=0.005,"Pago",IF($D827="","Sem vencimento",IF($D827&lt;Hoje,"Vencida",IF($D827=Hoje,"Vence hoje",IF($D827-Hoje&lt;=DiasAlerta,"Vence em breve","A vencer"))))))</f>
        <v>0</v>
      </c>
      <c r="J827" s="20">
        <f>IF(OR($E827="",$D827=""),"",IF($K827&lt;=0.005,"",$D827-Hoje))</f>
        <v>0</v>
      </c>
      <c r="K827" s="21">
        <f>IF($E827="","",MAX(0,$E827-N($G827)))</f>
        <v>0</v>
      </c>
      <c r="L827" s="20">
        <f>IF($I827="Vencida","PAGAR JÁ (multa e juros)",IF($I827="Vence hoje","Pagar hoje",IF($I827="Vence em breve","Programar pagamento","")))</f>
        <v>0</v>
      </c>
    </row>
    <row r="828" spans="1:12">
      <c r="A828" s="13"/>
      <c r="B828" s="13"/>
      <c r="C828" s="13"/>
      <c r="D828" s="17"/>
      <c r="E828" s="18"/>
      <c r="F828" s="17"/>
      <c r="G828" s="18"/>
      <c r="H828" s="13"/>
      <c r="I828" s="19">
        <f>IF($E828="","",IF($K828&lt;=0.005,"Pago",IF($D828="","Sem vencimento",IF($D828&lt;Hoje,"Vencida",IF($D828=Hoje,"Vence hoje",IF($D828-Hoje&lt;=DiasAlerta,"Vence em breve","A vencer"))))))</f>
        <v>0</v>
      </c>
      <c r="J828" s="20">
        <f>IF(OR($E828="",$D828=""),"",IF($K828&lt;=0.005,"",$D828-Hoje))</f>
        <v>0</v>
      </c>
      <c r="K828" s="21">
        <f>IF($E828="","",MAX(0,$E828-N($G828)))</f>
        <v>0</v>
      </c>
      <c r="L828" s="20">
        <f>IF($I828="Vencida","PAGAR JÁ (multa e juros)",IF($I828="Vence hoje","Pagar hoje",IF($I828="Vence em breve","Programar pagamento","")))</f>
        <v>0</v>
      </c>
    </row>
    <row r="829" spans="1:12">
      <c r="A829" s="13"/>
      <c r="B829" s="13"/>
      <c r="C829" s="13"/>
      <c r="D829" s="17"/>
      <c r="E829" s="18"/>
      <c r="F829" s="17"/>
      <c r="G829" s="18"/>
      <c r="H829" s="13"/>
      <c r="I829" s="19">
        <f>IF($E829="","",IF($K829&lt;=0.005,"Pago",IF($D829="","Sem vencimento",IF($D829&lt;Hoje,"Vencida",IF($D829=Hoje,"Vence hoje",IF($D829-Hoje&lt;=DiasAlerta,"Vence em breve","A vencer"))))))</f>
        <v>0</v>
      </c>
      <c r="J829" s="20">
        <f>IF(OR($E829="",$D829=""),"",IF($K829&lt;=0.005,"",$D829-Hoje))</f>
        <v>0</v>
      </c>
      <c r="K829" s="21">
        <f>IF($E829="","",MAX(0,$E829-N($G829)))</f>
        <v>0</v>
      </c>
      <c r="L829" s="20">
        <f>IF($I829="Vencida","PAGAR JÁ (multa e juros)",IF($I829="Vence hoje","Pagar hoje",IF($I829="Vence em breve","Programar pagamento","")))</f>
        <v>0</v>
      </c>
    </row>
    <row r="830" spans="1:12">
      <c r="A830" s="13"/>
      <c r="B830" s="13"/>
      <c r="C830" s="13"/>
      <c r="D830" s="17"/>
      <c r="E830" s="18"/>
      <c r="F830" s="17"/>
      <c r="G830" s="18"/>
      <c r="H830" s="13"/>
      <c r="I830" s="19">
        <f>IF($E830="","",IF($K830&lt;=0.005,"Pago",IF($D830="","Sem vencimento",IF($D830&lt;Hoje,"Vencida",IF($D830=Hoje,"Vence hoje",IF($D830-Hoje&lt;=DiasAlerta,"Vence em breve","A vencer"))))))</f>
        <v>0</v>
      </c>
      <c r="J830" s="20">
        <f>IF(OR($E830="",$D830=""),"",IF($K830&lt;=0.005,"",$D830-Hoje))</f>
        <v>0</v>
      </c>
      <c r="K830" s="21">
        <f>IF($E830="","",MAX(0,$E830-N($G830)))</f>
        <v>0</v>
      </c>
      <c r="L830" s="20">
        <f>IF($I830="Vencida","PAGAR JÁ (multa e juros)",IF($I830="Vence hoje","Pagar hoje",IF($I830="Vence em breve","Programar pagamento","")))</f>
        <v>0</v>
      </c>
    </row>
    <row r="831" spans="1:12">
      <c r="A831" s="13"/>
      <c r="B831" s="13"/>
      <c r="C831" s="13"/>
      <c r="D831" s="17"/>
      <c r="E831" s="18"/>
      <c r="F831" s="17"/>
      <c r="G831" s="18"/>
      <c r="H831" s="13"/>
      <c r="I831" s="19">
        <f>IF($E831="","",IF($K831&lt;=0.005,"Pago",IF($D831="","Sem vencimento",IF($D831&lt;Hoje,"Vencida",IF($D831=Hoje,"Vence hoje",IF($D831-Hoje&lt;=DiasAlerta,"Vence em breve","A vencer"))))))</f>
        <v>0</v>
      </c>
      <c r="J831" s="20">
        <f>IF(OR($E831="",$D831=""),"",IF($K831&lt;=0.005,"",$D831-Hoje))</f>
        <v>0</v>
      </c>
      <c r="K831" s="21">
        <f>IF($E831="","",MAX(0,$E831-N($G831)))</f>
        <v>0</v>
      </c>
      <c r="L831" s="20">
        <f>IF($I831="Vencida","PAGAR JÁ (multa e juros)",IF($I831="Vence hoje","Pagar hoje",IF($I831="Vence em breve","Programar pagamento","")))</f>
        <v>0</v>
      </c>
    </row>
    <row r="832" spans="1:12">
      <c r="A832" s="13"/>
      <c r="B832" s="13"/>
      <c r="C832" s="13"/>
      <c r="D832" s="17"/>
      <c r="E832" s="18"/>
      <c r="F832" s="17"/>
      <c r="G832" s="18"/>
      <c r="H832" s="13"/>
      <c r="I832" s="19">
        <f>IF($E832="","",IF($K832&lt;=0.005,"Pago",IF($D832="","Sem vencimento",IF($D832&lt;Hoje,"Vencida",IF($D832=Hoje,"Vence hoje",IF($D832-Hoje&lt;=DiasAlerta,"Vence em breve","A vencer"))))))</f>
        <v>0</v>
      </c>
      <c r="J832" s="20">
        <f>IF(OR($E832="",$D832=""),"",IF($K832&lt;=0.005,"",$D832-Hoje))</f>
        <v>0</v>
      </c>
      <c r="K832" s="21">
        <f>IF($E832="","",MAX(0,$E832-N($G832)))</f>
        <v>0</v>
      </c>
      <c r="L832" s="20">
        <f>IF($I832="Vencida","PAGAR JÁ (multa e juros)",IF($I832="Vence hoje","Pagar hoje",IF($I832="Vence em breve","Programar pagamento","")))</f>
        <v>0</v>
      </c>
    </row>
    <row r="833" spans="1:12">
      <c r="A833" s="13"/>
      <c r="B833" s="13"/>
      <c r="C833" s="13"/>
      <c r="D833" s="17"/>
      <c r="E833" s="18"/>
      <c r="F833" s="17"/>
      <c r="G833" s="18"/>
      <c r="H833" s="13"/>
      <c r="I833" s="19">
        <f>IF($E833="","",IF($K833&lt;=0.005,"Pago",IF($D833="","Sem vencimento",IF($D833&lt;Hoje,"Vencida",IF($D833=Hoje,"Vence hoje",IF($D833-Hoje&lt;=DiasAlerta,"Vence em breve","A vencer"))))))</f>
        <v>0</v>
      </c>
      <c r="J833" s="20">
        <f>IF(OR($E833="",$D833=""),"",IF($K833&lt;=0.005,"",$D833-Hoje))</f>
        <v>0</v>
      </c>
      <c r="K833" s="21">
        <f>IF($E833="","",MAX(0,$E833-N($G833)))</f>
        <v>0</v>
      </c>
      <c r="L833" s="20">
        <f>IF($I833="Vencida","PAGAR JÁ (multa e juros)",IF($I833="Vence hoje","Pagar hoje",IF($I833="Vence em breve","Programar pagamento","")))</f>
        <v>0</v>
      </c>
    </row>
    <row r="834" spans="1:12">
      <c r="A834" s="13"/>
      <c r="B834" s="13"/>
      <c r="C834" s="13"/>
      <c r="D834" s="17"/>
      <c r="E834" s="18"/>
      <c r="F834" s="17"/>
      <c r="G834" s="18"/>
      <c r="H834" s="13"/>
      <c r="I834" s="19">
        <f>IF($E834="","",IF($K834&lt;=0.005,"Pago",IF($D834="","Sem vencimento",IF($D834&lt;Hoje,"Vencida",IF($D834=Hoje,"Vence hoje",IF($D834-Hoje&lt;=DiasAlerta,"Vence em breve","A vencer"))))))</f>
        <v>0</v>
      </c>
      <c r="J834" s="20">
        <f>IF(OR($E834="",$D834=""),"",IF($K834&lt;=0.005,"",$D834-Hoje))</f>
        <v>0</v>
      </c>
      <c r="K834" s="21">
        <f>IF($E834="","",MAX(0,$E834-N($G834)))</f>
        <v>0</v>
      </c>
      <c r="L834" s="20">
        <f>IF($I834="Vencida","PAGAR JÁ (multa e juros)",IF($I834="Vence hoje","Pagar hoje",IF($I834="Vence em breve","Programar pagamento","")))</f>
        <v>0</v>
      </c>
    </row>
    <row r="835" spans="1:12">
      <c r="A835" s="13"/>
      <c r="B835" s="13"/>
      <c r="C835" s="13"/>
      <c r="D835" s="17"/>
      <c r="E835" s="18"/>
      <c r="F835" s="17"/>
      <c r="G835" s="18"/>
      <c r="H835" s="13"/>
      <c r="I835" s="19">
        <f>IF($E835="","",IF($K835&lt;=0.005,"Pago",IF($D835="","Sem vencimento",IF($D835&lt;Hoje,"Vencida",IF($D835=Hoje,"Vence hoje",IF($D835-Hoje&lt;=DiasAlerta,"Vence em breve","A vencer"))))))</f>
        <v>0</v>
      </c>
      <c r="J835" s="20">
        <f>IF(OR($E835="",$D835=""),"",IF($K835&lt;=0.005,"",$D835-Hoje))</f>
        <v>0</v>
      </c>
      <c r="K835" s="21">
        <f>IF($E835="","",MAX(0,$E835-N($G835)))</f>
        <v>0</v>
      </c>
      <c r="L835" s="20">
        <f>IF($I835="Vencida","PAGAR JÁ (multa e juros)",IF($I835="Vence hoje","Pagar hoje",IF($I835="Vence em breve","Programar pagamento","")))</f>
        <v>0</v>
      </c>
    </row>
    <row r="836" spans="1:12">
      <c r="A836" s="13"/>
      <c r="B836" s="13"/>
      <c r="C836" s="13"/>
      <c r="D836" s="17"/>
      <c r="E836" s="18"/>
      <c r="F836" s="17"/>
      <c r="G836" s="18"/>
      <c r="H836" s="13"/>
      <c r="I836" s="19">
        <f>IF($E836="","",IF($K836&lt;=0.005,"Pago",IF($D836="","Sem vencimento",IF($D836&lt;Hoje,"Vencida",IF($D836=Hoje,"Vence hoje",IF($D836-Hoje&lt;=DiasAlerta,"Vence em breve","A vencer"))))))</f>
        <v>0</v>
      </c>
      <c r="J836" s="20">
        <f>IF(OR($E836="",$D836=""),"",IF($K836&lt;=0.005,"",$D836-Hoje))</f>
        <v>0</v>
      </c>
      <c r="K836" s="21">
        <f>IF($E836="","",MAX(0,$E836-N($G836)))</f>
        <v>0</v>
      </c>
      <c r="L836" s="20">
        <f>IF($I836="Vencida","PAGAR JÁ (multa e juros)",IF($I836="Vence hoje","Pagar hoje",IF($I836="Vence em breve","Programar pagamento","")))</f>
        <v>0</v>
      </c>
    </row>
    <row r="837" spans="1:12">
      <c r="A837" s="13"/>
      <c r="B837" s="13"/>
      <c r="C837" s="13"/>
      <c r="D837" s="17"/>
      <c r="E837" s="18"/>
      <c r="F837" s="17"/>
      <c r="G837" s="18"/>
      <c r="H837" s="13"/>
      <c r="I837" s="19">
        <f>IF($E837="","",IF($K837&lt;=0.005,"Pago",IF($D837="","Sem vencimento",IF($D837&lt;Hoje,"Vencida",IF($D837=Hoje,"Vence hoje",IF($D837-Hoje&lt;=DiasAlerta,"Vence em breve","A vencer"))))))</f>
        <v>0</v>
      </c>
      <c r="J837" s="20">
        <f>IF(OR($E837="",$D837=""),"",IF($K837&lt;=0.005,"",$D837-Hoje))</f>
        <v>0</v>
      </c>
      <c r="K837" s="21">
        <f>IF($E837="","",MAX(0,$E837-N($G837)))</f>
        <v>0</v>
      </c>
      <c r="L837" s="20">
        <f>IF($I837="Vencida","PAGAR JÁ (multa e juros)",IF($I837="Vence hoje","Pagar hoje",IF($I837="Vence em breve","Programar pagamento","")))</f>
        <v>0</v>
      </c>
    </row>
    <row r="838" spans="1:12">
      <c r="A838" s="13"/>
      <c r="B838" s="13"/>
      <c r="C838" s="13"/>
      <c r="D838" s="17"/>
      <c r="E838" s="18"/>
      <c r="F838" s="17"/>
      <c r="G838" s="18"/>
      <c r="H838" s="13"/>
      <c r="I838" s="19">
        <f>IF($E838="","",IF($K838&lt;=0.005,"Pago",IF($D838="","Sem vencimento",IF($D838&lt;Hoje,"Vencida",IF($D838=Hoje,"Vence hoje",IF($D838-Hoje&lt;=DiasAlerta,"Vence em breve","A vencer"))))))</f>
        <v>0</v>
      </c>
      <c r="J838" s="20">
        <f>IF(OR($E838="",$D838=""),"",IF($K838&lt;=0.005,"",$D838-Hoje))</f>
        <v>0</v>
      </c>
      <c r="K838" s="21">
        <f>IF($E838="","",MAX(0,$E838-N($G838)))</f>
        <v>0</v>
      </c>
      <c r="L838" s="20">
        <f>IF($I838="Vencida","PAGAR JÁ (multa e juros)",IF($I838="Vence hoje","Pagar hoje",IF($I838="Vence em breve","Programar pagamento","")))</f>
        <v>0</v>
      </c>
    </row>
    <row r="839" spans="1:12">
      <c r="A839" s="13"/>
      <c r="B839" s="13"/>
      <c r="C839" s="13"/>
      <c r="D839" s="17"/>
      <c r="E839" s="18"/>
      <c r="F839" s="17"/>
      <c r="G839" s="18"/>
      <c r="H839" s="13"/>
      <c r="I839" s="19">
        <f>IF($E839="","",IF($K839&lt;=0.005,"Pago",IF($D839="","Sem vencimento",IF($D839&lt;Hoje,"Vencida",IF($D839=Hoje,"Vence hoje",IF($D839-Hoje&lt;=DiasAlerta,"Vence em breve","A vencer"))))))</f>
        <v>0</v>
      </c>
      <c r="J839" s="20">
        <f>IF(OR($E839="",$D839=""),"",IF($K839&lt;=0.005,"",$D839-Hoje))</f>
        <v>0</v>
      </c>
      <c r="K839" s="21">
        <f>IF($E839="","",MAX(0,$E839-N($G839)))</f>
        <v>0</v>
      </c>
      <c r="L839" s="20">
        <f>IF($I839="Vencida","PAGAR JÁ (multa e juros)",IF($I839="Vence hoje","Pagar hoje",IF($I839="Vence em breve","Programar pagamento","")))</f>
        <v>0</v>
      </c>
    </row>
    <row r="840" spans="1:12">
      <c r="A840" s="13"/>
      <c r="B840" s="13"/>
      <c r="C840" s="13"/>
      <c r="D840" s="17"/>
      <c r="E840" s="18"/>
      <c r="F840" s="17"/>
      <c r="G840" s="18"/>
      <c r="H840" s="13"/>
      <c r="I840" s="19">
        <f>IF($E840="","",IF($K840&lt;=0.005,"Pago",IF($D840="","Sem vencimento",IF($D840&lt;Hoje,"Vencida",IF($D840=Hoje,"Vence hoje",IF($D840-Hoje&lt;=DiasAlerta,"Vence em breve","A vencer"))))))</f>
        <v>0</v>
      </c>
      <c r="J840" s="20">
        <f>IF(OR($E840="",$D840=""),"",IF($K840&lt;=0.005,"",$D840-Hoje))</f>
        <v>0</v>
      </c>
      <c r="K840" s="21">
        <f>IF($E840="","",MAX(0,$E840-N($G840)))</f>
        <v>0</v>
      </c>
      <c r="L840" s="20">
        <f>IF($I840="Vencida","PAGAR JÁ (multa e juros)",IF($I840="Vence hoje","Pagar hoje",IF($I840="Vence em breve","Programar pagamento","")))</f>
        <v>0</v>
      </c>
    </row>
    <row r="841" spans="1:12">
      <c r="A841" s="13"/>
      <c r="B841" s="13"/>
      <c r="C841" s="13"/>
      <c r="D841" s="17"/>
      <c r="E841" s="18"/>
      <c r="F841" s="17"/>
      <c r="G841" s="18"/>
      <c r="H841" s="13"/>
      <c r="I841" s="19">
        <f>IF($E841="","",IF($K841&lt;=0.005,"Pago",IF($D841="","Sem vencimento",IF($D841&lt;Hoje,"Vencida",IF($D841=Hoje,"Vence hoje",IF($D841-Hoje&lt;=DiasAlerta,"Vence em breve","A vencer"))))))</f>
        <v>0</v>
      </c>
      <c r="J841" s="20">
        <f>IF(OR($E841="",$D841=""),"",IF($K841&lt;=0.005,"",$D841-Hoje))</f>
        <v>0</v>
      </c>
      <c r="K841" s="21">
        <f>IF($E841="","",MAX(0,$E841-N($G841)))</f>
        <v>0</v>
      </c>
      <c r="L841" s="20">
        <f>IF($I841="Vencida","PAGAR JÁ (multa e juros)",IF($I841="Vence hoje","Pagar hoje",IF($I841="Vence em breve","Programar pagamento","")))</f>
        <v>0</v>
      </c>
    </row>
    <row r="842" spans="1:12">
      <c r="A842" s="13"/>
      <c r="B842" s="13"/>
      <c r="C842" s="13"/>
      <c r="D842" s="17"/>
      <c r="E842" s="18"/>
      <c r="F842" s="17"/>
      <c r="G842" s="18"/>
      <c r="H842" s="13"/>
      <c r="I842" s="19">
        <f>IF($E842="","",IF($K842&lt;=0.005,"Pago",IF($D842="","Sem vencimento",IF($D842&lt;Hoje,"Vencida",IF($D842=Hoje,"Vence hoje",IF($D842-Hoje&lt;=DiasAlerta,"Vence em breve","A vencer"))))))</f>
        <v>0</v>
      </c>
      <c r="J842" s="20">
        <f>IF(OR($E842="",$D842=""),"",IF($K842&lt;=0.005,"",$D842-Hoje))</f>
        <v>0</v>
      </c>
      <c r="K842" s="21">
        <f>IF($E842="","",MAX(0,$E842-N($G842)))</f>
        <v>0</v>
      </c>
      <c r="L842" s="20">
        <f>IF($I842="Vencida","PAGAR JÁ (multa e juros)",IF($I842="Vence hoje","Pagar hoje",IF($I842="Vence em breve","Programar pagamento","")))</f>
        <v>0</v>
      </c>
    </row>
    <row r="843" spans="1:12">
      <c r="A843" s="13"/>
      <c r="B843" s="13"/>
      <c r="C843" s="13"/>
      <c r="D843" s="17"/>
      <c r="E843" s="18"/>
      <c r="F843" s="17"/>
      <c r="G843" s="18"/>
      <c r="H843" s="13"/>
      <c r="I843" s="19">
        <f>IF($E843="","",IF($K843&lt;=0.005,"Pago",IF($D843="","Sem vencimento",IF($D843&lt;Hoje,"Vencida",IF($D843=Hoje,"Vence hoje",IF($D843-Hoje&lt;=DiasAlerta,"Vence em breve","A vencer"))))))</f>
        <v>0</v>
      </c>
      <c r="J843" s="20">
        <f>IF(OR($E843="",$D843=""),"",IF($K843&lt;=0.005,"",$D843-Hoje))</f>
        <v>0</v>
      </c>
      <c r="K843" s="21">
        <f>IF($E843="","",MAX(0,$E843-N($G843)))</f>
        <v>0</v>
      </c>
      <c r="L843" s="20">
        <f>IF($I843="Vencida","PAGAR JÁ (multa e juros)",IF($I843="Vence hoje","Pagar hoje",IF($I843="Vence em breve","Programar pagamento","")))</f>
        <v>0</v>
      </c>
    </row>
    <row r="844" spans="1:12">
      <c r="A844" s="13"/>
      <c r="B844" s="13"/>
      <c r="C844" s="13"/>
      <c r="D844" s="17"/>
      <c r="E844" s="18"/>
      <c r="F844" s="17"/>
      <c r="G844" s="18"/>
      <c r="H844" s="13"/>
      <c r="I844" s="19">
        <f>IF($E844="","",IF($K844&lt;=0.005,"Pago",IF($D844="","Sem vencimento",IF($D844&lt;Hoje,"Vencida",IF($D844=Hoje,"Vence hoje",IF($D844-Hoje&lt;=DiasAlerta,"Vence em breve","A vencer"))))))</f>
        <v>0</v>
      </c>
      <c r="J844" s="20">
        <f>IF(OR($E844="",$D844=""),"",IF($K844&lt;=0.005,"",$D844-Hoje))</f>
        <v>0</v>
      </c>
      <c r="K844" s="21">
        <f>IF($E844="","",MAX(0,$E844-N($G844)))</f>
        <v>0</v>
      </c>
      <c r="L844" s="20">
        <f>IF($I844="Vencida","PAGAR JÁ (multa e juros)",IF($I844="Vence hoje","Pagar hoje",IF($I844="Vence em breve","Programar pagamento","")))</f>
        <v>0</v>
      </c>
    </row>
    <row r="845" spans="1:12">
      <c r="A845" s="13"/>
      <c r="B845" s="13"/>
      <c r="C845" s="13"/>
      <c r="D845" s="17"/>
      <c r="E845" s="18"/>
      <c r="F845" s="17"/>
      <c r="G845" s="18"/>
      <c r="H845" s="13"/>
      <c r="I845" s="19">
        <f>IF($E845="","",IF($K845&lt;=0.005,"Pago",IF($D845="","Sem vencimento",IF($D845&lt;Hoje,"Vencida",IF($D845=Hoje,"Vence hoje",IF($D845-Hoje&lt;=DiasAlerta,"Vence em breve","A vencer"))))))</f>
        <v>0</v>
      </c>
      <c r="J845" s="20">
        <f>IF(OR($E845="",$D845=""),"",IF($K845&lt;=0.005,"",$D845-Hoje))</f>
        <v>0</v>
      </c>
      <c r="K845" s="21">
        <f>IF($E845="","",MAX(0,$E845-N($G845)))</f>
        <v>0</v>
      </c>
      <c r="L845" s="20">
        <f>IF($I845="Vencida","PAGAR JÁ (multa e juros)",IF($I845="Vence hoje","Pagar hoje",IF($I845="Vence em breve","Programar pagamento","")))</f>
        <v>0</v>
      </c>
    </row>
    <row r="846" spans="1:12">
      <c r="A846" s="13"/>
      <c r="B846" s="13"/>
      <c r="C846" s="13"/>
      <c r="D846" s="17"/>
      <c r="E846" s="18"/>
      <c r="F846" s="17"/>
      <c r="G846" s="18"/>
      <c r="H846" s="13"/>
      <c r="I846" s="19">
        <f>IF($E846="","",IF($K846&lt;=0.005,"Pago",IF($D846="","Sem vencimento",IF($D846&lt;Hoje,"Vencida",IF($D846=Hoje,"Vence hoje",IF($D846-Hoje&lt;=DiasAlerta,"Vence em breve","A vencer"))))))</f>
        <v>0</v>
      </c>
      <c r="J846" s="20">
        <f>IF(OR($E846="",$D846=""),"",IF($K846&lt;=0.005,"",$D846-Hoje))</f>
        <v>0</v>
      </c>
      <c r="K846" s="21">
        <f>IF($E846="","",MAX(0,$E846-N($G846)))</f>
        <v>0</v>
      </c>
      <c r="L846" s="20">
        <f>IF($I846="Vencida","PAGAR JÁ (multa e juros)",IF($I846="Vence hoje","Pagar hoje",IF($I846="Vence em breve","Programar pagamento","")))</f>
        <v>0</v>
      </c>
    </row>
    <row r="847" spans="1:12">
      <c r="A847" s="13"/>
      <c r="B847" s="13"/>
      <c r="C847" s="13"/>
      <c r="D847" s="17"/>
      <c r="E847" s="18"/>
      <c r="F847" s="17"/>
      <c r="G847" s="18"/>
      <c r="H847" s="13"/>
      <c r="I847" s="19">
        <f>IF($E847="","",IF($K847&lt;=0.005,"Pago",IF($D847="","Sem vencimento",IF($D847&lt;Hoje,"Vencida",IF($D847=Hoje,"Vence hoje",IF($D847-Hoje&lt;=DiasAlerta,"Vence em breve","A vencer"))))))</f>
        <v>0</v>
      </c>
      <c r="J847" s="20">
        <f>IF(OR($E847="",$D847=""),"",IF($K847&lt;=0.005,"",$D847-Hoje))</f>
        <v>0</v>
      </c>
      <c r="K847" s="21">
        <f>IF($E847="","",MAX(0,$E847-N($G847)))</f>
        <v>0</v>
      </c>
      <c r="L847" s="20">
        <f>IF($I847="Vencida","PAGAR JÁ (multa e juros)",IF($I847="Vence hoje","Pagar hoje",IF($I847="Vence em breve","Programar pagamento","")))</f>
        <v>0</v>
      </c>
    </row>
    <row r="848" spans="1:12">
      <c r="A848" s="13"/>
      <c r="B848" s="13"/>
      <c r="C848" s="13"/>
      <c r="D848" s="17"/>
      <c r="E848" s="18"/>
      <c r="F848" s="17"/>
      <c r="G848" s="18"/>
      <c r="H848" s="13"/>
      <c r="I848" s="19">
        <f>IF($E848="","",IF($K848&lt;=0.005,"Pago",IF($D848="","Sem vencimento",IF($D848&lt;Hoje,"Vencida",IF($D848=Hoje,"Vence hoje",IF($D848-Hoje&lt;=DiasAlerta,"Vence em breve","A vencer"))))))</f>
        <v>0</v>
      </c>
      <c r="J848" s="20">
        <f>IF(OR($E848="",$D848=""),"",IF($K848&lt;=0.005,"",$D848-Hoje))</f>
        <v>0</v>
      </c>
      <c r="K848" s="21">
        <f>IF($E848="","",MAX(0,$E848-N($G848)))</f>
        <v>0</v>
      </c>
      <c r="L848" s="20">
        <f>IF($I848="Vencida","PAGAR JÁ (multa e juros)",IF($I848="Vence hoje","Pagar hoje",IF($I848="Vence em breve","Programar pagamento","")))</f>
        <v>0</v>
      </c>
    </row>
    <row r="849" spans="1:12">
      <c r="A849" s="13"/>
      <c r="B849" s="13"/>
      <c r="C849" s="13"/>
      <c r="D849" s="17"/>
      <c r="E849" s="18"/>
      <c r="F849" s="17"/>
      <c r="G849" s="18"/>
      <c r="H849" s="13"/>
      <c r="I849" s="19">
        <f>IF($E849="","",IF($K849&lt;=0.005,"Pago",IF($D849="","Sem vencimento",IF($D849&lt;Hoje,"Vencida",IF($D849=Hoje,"Vence hoje",IF($D849-Hoje&lt;=DiasAlerta,"Vence em breve","A vencer"))))))</f>
        <v>0</v>
      </c>
      <c r="J849" s="20">
        <f>IF(OR($E849="",$D849=""),"",IF($K849&lt;=0.005,"",$D849-Hoje))</f>
        <v>0</v>
      </c>
      <c r="K849" s="21">
        <f>IF($E849="","",MAX(0,$E849-N($G849)))</f>
        <v>0</v>
      </c>
      <c r="L849" s="20">
        <f>IF($I849="Vencida","PAGAR JÁ (multa e juros)",IF($I849="Vence hoje","Pagar hoje",IF($I849="Vence em breve","Programar pagamento","")))</f>
        <v>0</v>
      </c>
    </row>
    <row r="850" spans="1:12">
      <c r="A850" s="13"/>
      <c r="B850" s="13"/>
      <c r="C850" s="13"/>
      <c r="D850" s="17"/>
      <c r="E850" s="18"/>
      <c r="F850" s="17"/>
      <c r="G850" s="18"/>
      <c r="H850" s="13"/>
      <c r="I850" s="19">
        <f>IF($E850="","",IF($K850&lt;=0.005,"Pago",IF($D850="","Sem vencimento",IF($D850&lt;Hoje,"Vencida",IF($D850=Hoje,"Vence hoje",IF($D850-Hoje&lt;=DiasAlerta,"Vence em breve","A vencer"))))))</f>
        <v>0</v>
      </c>
      <c r="J850" s="20">
        <f>IF(OR($E850="",$D850=""),"",IF($K850&lt;=0.005,"",$D850-Hoje))</f>
        <v>0</v>
      </c>
      <c r="K850" s="21">
        <f>IF($E850="","",MAX(0,$E850-N($G850)))</f>
        <v>0</v>
      </c>
      <c r="L850" s="20">
        <f>IF($I850="Vencida","PAGAR JÁ (multa e juros)",IF($I850="Vence hoje","Pagar hoje",IF($I850="Vence em breve","Programar pagamento","")))</f>
        <v>0</v>
      </c>
    </row>
    <row r="851" spans="1:12">
      <c r="A851" s="13"/>
      <c r="B851" s="13"/>
      <c r="C851" s="13"/>
      <c r="D851" s="17"/>
      <c r="E851" s="18"/>
      <c r="F851" s="17"/>
      <c r="G851" s="18"/>
      <c r="H851" s="13"/>
      <c r="I851" s="19">
        <f>IF($E851="","",IF($K851&lt;=0.005,"Pago",IF($D851="","Sem vencimento",IF($D851&lt;Hoje,"Vencida",IF($D851=Hoje,"Vence hoje",IF($D851-Hoje&lt;=DiasAlerta,"Vence em breve","A vencer"))))))</f>
        <v>0</v>
      </c>
      <c r="J851" s="20">
        <f>IF(OR($E851="",$D851=""),"",IF($K851&lt;=0.005,"",$D851-Hoje))</f>
        <v>0</v>
      </c>
      <c r="K851" s="21">
        <f>IF($E851="","",MAX(0,$E851-N($G851)))</f>
        <v>0</v>
      </c>
      <c r="L851" s="20">
        <f>IF($I851="Vencida","PAGAR JÁ (multa e juros)",IF($I851="Vence hoje","Pagar hoje",IF($I851="Vence em breve","Programar pagamento","")))</f>
        <v>0</v>
      </c>
    </row>
    <row r="852" spans="1:12">
      <c r="A852" s="13"/>
      <c r="B852" s="13"/>
      <c r="C852" s="13"/>
      <c r="D852" s="17"/>
      <c r="E852" s="18"/>
      <c r="F852" s="17"/>
      <c r="G852" s="18"/>
      <c r="H852" s="13"/>
      <c r="I852" s="19">
        <f>IF($E852="","",IF($K852&lt;=0.005,"Pago",IF($D852="","Sem vencimento",IF($D852&lt;Hoje,"Vencida",IF($D852=Hoje,"Vence hoje",IF($D852-Hoje&lt;=DiasAlerta,"Vence em breve","A vencer"))))))</f>
        <v>0</v>
      </c>
      <c r="J852" s="20">
        <f>IF(OR($E852="",$D852=""),"",IF($K852&lt;=0.005,"",$D852-Hoje))</f>
        <v>0</v>
      </c>
      <c r="K852" s="21">
        <f>IF($E852="","",MAX(0,$E852-N($G852)))</f>
        <v>0</v>
      </c>
      <c r="L852" s="20">
        <f>IF($I852="Vencida","PAGAR JÁ (multa e juros)",IF($I852="Vence hoje","Pagar hoje",IF($I852="Vence em breve","Programar pagamento","")))</f>
        <v>0</v>
      </c>
    </row>
    <row r="853" spans="1:12">
      <c r="A853" s="13"/>
      <c r="B853" s="13"/>
      <c r="C853" s="13"/>
      <c r="D853" s="17"/>
      <c r="E853" s="18"/>
      <c r="F853" s="17"/>
      <c r="G853" s="18"/>
      <c r="H853" s="13"/>
      <c r="I853" s="19">
        <f>IF($E853="","",IF($K853&lt;=0.005,"Pago",IF($D853="","Sem vencimento",IF($D853&lt;Hoje,"Vencida",IF($D853=Hoje,"Vence hoje",IF($D853-Hoje&lt;=DiasAlerta,"Vence em breve","A vencer"))))))</f>
        <v>0</v>
      </c>
      <c r="J853" s="20">
        <f>IF(OR($E853="",$D853=""),"",IF($K853&lt;=0.005,"",$D853-Hoje))</f>
        <v>0</v>
      </c>
      <c r="K853" s="21">
        <f>IF($E853="","",MAX(0,$E853-N($G853)))</f>
        <v>0</v>
      </c>
      <c r="L853" s="20">
        <f>IF($I853="Vencida","PAGAR JÁ (multa e juros)",IF($I853="Vence hoje","Pagar hoje",IF($I853="Vence em breve","Programar pagamento","")))</f>
        <v>0</v>
      </c>
    </row>
    <row r="854" spans="1:12">
      <c r="A854" s="13"/>
      <c r="B854" s="13"/>
      <c r="C854" s="13"/>
      <c r="D854" s="17"/>
      <c r="E854" s="18"/>
      <c r="F854" s="17"/>
      <c r="G854" s="18"/>
      <c r="H854" s="13"/>
      <c r="I854" s="19">
        <f>IF($E854="","",IF($K854&lt;=0.005,"Pago",IF($D854="","Sem vencimento",IF($D854&lt;Hoje,"Vencida",IF($D854=Hoje,"Vence hoje",IF($D854-Hoje&lt;=DiasAlerta,"Vence em breve","A vencer"))))))</f>
        <v>0</v>
      </c>
      <c r="J854" s="20">
        <f>IF(OR($E854="",$D854=""),"",IF($K854&lt;=0.005,"",$D854-Hoje))</f>
        <v>0</v>
      </c>
      <c r="K854" s="21">
        <f>IF($E854="","",MAX(0,$E854-N($G854)))</f>
        <v>0</v>
      </c>
      <c r="L854" s="20">
        <f>IF($I854="Vencida","PAGAR JÁ (multa e juros)",IF($I854="Vence hoje","Pagar hoje",IF($I854="Vence em breve","Programar pagamento","")))</f>
        <v>0</v>
      </c>
    </row>
    <row r="855" spans="1:12">
      <c r="A855" s="13"/>
      <c r="B855" s="13"/>
      <c r="C855" s="13"/>
      <c r="D855" s="17"/>
      <c r="E855" s="18"/>
      <c r="F855" s="17"/>
      <c r="G855" s="18"/>
      <c r="H855" s="13"/>
      <c r="I855" s="19">
        <f>IF($E855="","",IF($K855&lt;=0.005,"Pago",IF($D855="","Sem vencimento",IF($D855&lt;Hoje,"Vencida",IF($D855=Hoje,"Vence hoje",IF($D855-Hoje&lt;=DiasAlerta,"Vence em breve","A vencer"))))))</f>
        <v>0</v>
      </c>
      <c r="J855" s="20">
        <f>IF(OR($E855="",$D855=""),"",IF($K855&lt;=0.005,"",$D855-Hoje))</f>
        <v>0</v>
      </c>
      <c r="K855" s="21">
        <f>IF($E855="","",MAX(0,$E855-N($G855)))</f>
        <v>0</v>
      </c>
      <c r="L855" s="20">
        <f>IF($I855="Vencida","PAGAR JÁ (multa e juros)",IF($I855="Vence hoje","Pagar hoje",IF($I855="Vence em breve","Programar pagamento","")))</f>
        <v>0</v>
      </c>
    </row>
    <row r="856" spans="1:12">
      <c r="A856" s="13"/>
      <c r="B856" s="13"/>
      <c r="C856" s="13"/>
      <c r="D856" s="17"/>
      <c r="E856" s="18"/>
      <c r="F856" s="17"/>
      <c r="G856" s="18"/>
      <c r="H856" s="13"/>
      <c r="I856" s="19">
        <f>IF($E856="","",IF($K856&lt;=0.005,"Pago",IF($D856="","Sem vencimento",IF($D856&lt;Hoje,"Vencida",IF($D856=Hoje,"Vence hoje",IF($D856-Hoje&lt;=DiasAlerta,"Vence em breve","A vencer"))))))</f>
        <v>0</v>
      </c>
      <c r="J856" s="20">
        <f>IF(OR($E856="",$D856=""),"",IF($K856&lt;=0.005,"",$D856-Hoje))</f>
        <v>0</v>
      </c>
      <c r="K856" s="21">
        <f>IF($E856="","",MAX(0,$E856-N($G856)))</f>
        <v>0</v>
      </c>
      <c r="L856" s="20">
        <f>IF($I856="Vencida","PAGAR JÁ (multa e juros)",IF($I856="Vence hoje","Pagar hoje",IF($I856="Vence em breve","Programar pagamento","")))</f>
        <v>0</v>
      </c>
    </row>
    <row r="857" spans="1:12">
      <c r="A857" s="13"/>
      <c r="B857" s="13"/>
      <c r="C857" s="13"/>
      <c r="D857" s="17"/>
      <c r="E857" s="18"/>
      <c r="F857" s="17"/>
      <c r="G857" s="18"/>
      <c r="H857" s="13"/>
      <c r="I857" s="19">
        <f>IF($E857="","",IF($K857&lt;=0.005,"Pago",IF($D857="","Sem vencimento",IF($D857&lt;Hoje,"Vencida",IF($D857=Hoje,"Vence hoje",IF($D857-Hoje&lt;=DiasAlerta,"Vence em breve","A vencer"))))))</f>
        <v>0</v>
      </c>
      <c r="J857" s="20">
        <f>IF(OR($E857="",$D857=""),"",IF($K857&lt;=0.005,"",$D857-Hoje))</f>
        <v>0</v>
      </c>
      <c r="K857" s="21">
        <f>IF($E857="","",MAX(0,$E857-N($G857)))</f>
        <v>0</v>
      </c>
      <c r="L857" s="20">
        <f>IF($I857="Vencida","PAGAR JÁ (multa e juros)",IF($I857="Vence hoje","Pagar hoje",IF($I857="Vence em breve","Programar pagamento","")))</f>
        <v>0</v>
      </c>
    </row>
    <row r="858" spans="1:12">
      <c r="A858" s="13"/>
      <c r="B858" s="13"/>
      <c r="C858" s="13"/>
      <c r="D858" s="17"/>
      <c r="E858" s="18"/>
      <c r="F858" s="17"/>
      <c r="G858" s="18"/>
      <c r="H858" s="13"/>
      <c r="I858" s="19">
        <f>IF($E858="","",IF($K858&lt;=0.005,"Pago",IF($D858="","Sem vencimento",IF($D858&lt;Hoje,"Vencida",IF($D858=Hoje,"Vence hoje",IF($D858-Hoje&lt;=DiasAlerta,"Vence em breve","A vencer"))))))</f>
        <v>0</v>
      </c>
      <c r="J858" s="20">
        <f>IF(OR($E858="",$D858=""),"",IF($K858&lt;=0.005,"",$D858-Hoje))</f>
        <v>0</v>
      </c>
      <c r="K858" s="21">
        <f>IF($E858="","",MAX(0,$E858-N($G858)))</f>
        <v>0</v>
      </c>
      <c r="L858" s="20">
        <f>IF($I858="Vencida","PAGAR JÁ (multa e juros)",IF($I858="Vence hoje","Pagar hoje",IF($I858="Vence em breve","Programar pagamento","")))</f>
        <v>0</v>
      </c>
    </row>
    <row r="859" spans="1:12">
      <c r="A859" s="13"/>
      <c r="B859" s="13"/>
      <c r="C859" s="13"/>
      <c r="D859" s="17"/>
      <c r="E859" s="18"/>
      <c r="F859" s="17"/>
      <c r="G859" s="18"/>
      <c r="H859" s="13"/>
      <c r="I859" s="19">
        <f>IF($E859="","",IF($K859&lt;=0.005,"Pago",IF($D859="","Sem vencimento",IF($D859&lt;Hoje,"Vencida",IF($D859=Hoje,"Vence hoje",IF($D859-Hoje&lt;=DiasAlerta,"Vence em breve","A vencer"))))))</f>
        <v>0</v>
      </c>
      <c r="J859" s="20">
        <f>IF(OR($E859="",$D859=""),"",IF($K859&lt;=0.005,"",$D859-Hoje))</f>
        <v>0</v>
      </c>
      <c r="K859" s="21">
        <f>IF($E859="","",MAX(0,$E859-N($G859)))</f>
        <v>0</v>
      </c>
      <c r="L859" s="20">
        <f>IF($I859="Vencida","PAGAR JÁ (multa e juros)",IF($I859="Vence hoje","Pagar hoje",IF($I859="Vence em breve","Programar pagamento","")))</f>
        <v>0</v>
      </c>
    </row>
    <row r="860" spans="1:12">
      <c r="A860" s="13"/>
      <c r="B860" s="13"/>
      <c r="C860" s="13"/>
      <c r="D860" s="17"/>
      <c r="E860" s="18"/>
      <c r="F860" s="17"/>
      <c r="G860" s="18"/>
      <c r="H860" s="13"/>
      <c r="I860" s="19">
        <f>IF($E860="","",IF($K860&lt;=0.005,"Pago",IF($D860="","Sem vencimento",IF($D860&lt;Hoje,"Vencida",IF($D860=Hoje,"Vence hoje",IF($D860-Hoje&lt;=DiasAlerta,"Vence em breve","A vencer"))))))</f>
        <v>0</v>
      </c>
      <c r="J860" s="20">
        <f>IF(OR($E860="",$D860=""),"",IF($K860&lt;=0.005,"",$D860-Hoje))</f>
        <v>0</v>
      </c>
      <c r="K860" s="21">
        <f>IF($E860="","",MAX(0,$E860-N($G860)))</f>
        <v>0</v>
      </c>
      <c r="L860" s="20">
        <f>IF($I860="Vencida","PAGAR JÁ (multa e juros)",IF($I860="Vence hoje","Pagar hoje",IF($I860="Vence em breve","Programar pagamento","")))</f>
        <v>0</v>
      </c>
    </row>
    <row r="861" spans="1:12">
      <c r="A861" s="13"/>
      <c r="B861" s="13"/>
      <c r="C861" s="13"/>
      <c r="D861" s="17"/>
      <c r="E861" s="18"/>
      <c r="F861" s="17"/>
      <c r="G861" s="18"/>
      <c r="H861" s="13"/>
      <c r="I861" s="19">
        <f>IF($E861="","",IF($K861&lt;=0.005,"Pago",IF($D861="","Sem vencimento",IF($D861&lt;Hoje,"Vencida",IF($D861=Hoje,"Vence hoje",IF($D861-Hoje&lt;=DiasAlerta,"Vence em breve","A vencer"))))))</f>
        <v>0</v>
      </c>
      <c r="J861" s="20">
        <f>IF(OR($E861="",$D861=""),"",IF($K861&lt;=0.005,"",$D861-Hoje))</f>
        <v>0</v>
      </c>
      <c r="K861" s="21">
        <f>IF($E861="","",MAX(0,$E861-N($G861)))</f>
        <v>0</v>
      </c>
      <c r="L861" s="20">
        <f>IF($I861="Vencida","PAGAR JÁ (multa e juros)",IF($I861="Vence hoje","Pagar hoje",IF($I861="Vence em breve","Programar pagamento","")))</f>
        <v>0</v>
      </c>
    </row>
    <row r="862" spans="1:12">
      <c r="A862" s="13"/>
      <c r="B862" s="13"/>
      <c r="C862" s="13"/>
      <c r="D862" s="17"/>
      <c r="E862" s="18"/>
      <c r="F862" s="17"/>
      <c r="G862" s="18"/>
      <c r="H862" s="13"/>
      <c r="I862" s="19">
        <f>IF($E862="","",IF($K862&lt;=0.005,"Pago",IF($D862="","Sem vencimento",IF($D862&lt;Hoje,"Vencida",IF($D862=Hoje,"Vence hoje",IF($D862-Hoje&lt;=DiasAlerta,"Vence em breve","A vencer"))))))</f>
        <v>0</v>
      </c>
      <c r="J862" s="20">
        <f>IF(OR($E862="",$D862=""),"",IF($K862&lt;=0.005,"",$D862-Hoje))</f>
        <v>0</v>
      </c>
      <c r="K862" s="21">
        <f>IF($E862="","",MAX(0,$E862-N($G862)))</f>
        <v>0</v>
      </c>
      <c r="L862" s="20">
        <f>IF($I862="Vencida","PAGAR JÁ (multa e juros)",IF($I862="Vence hoje","Pagar hoje",IF($I862="Vence em breve","Programar pagamento","")))</f>
        <v>0</v>
      </c>
    </row>
    <row r="863" spans="1:12">
      <c r="A863" s="13"/>
      <c r="B863" s="13"/>
      <c r="C863" s="13"/>
      <c r="D863" s="17"/>
      <c r="E863" s="18"/>
      <c r="F863" s="17"/>
      <c r="G863" s="18"/>
      <c r="H863" s="13"/>
      <c r="I863" s="19">
        <f>IF($E863="","",IF($K863&lt;=0.005,"Pago",IF($D863="","Sem vencimento",IF($D863&lt;Hoje,"Vencida",IF($D863=Hoje,"Vence hoje",IF($D863-Hoje&lt;=DiasAlerta,"Vence em breve","A vencer"))))))</f>
        <v>0</v>
      </c>
      <c r="J863" s="20">
        <f>IF(OR($E863="",$D863=""),"",IF($K863&lt;=0.005,"",$D863-Hoje))</f>
        <v>0</v>
      </c>
      <c r="K863" s="21">
        <f>IF($E863="","",MAX(0,$E863-N($G863)))</f>
        <v>0</v>
      </c>
      <c r="L863" s="20">
        <f>IF($I863="Vencida","PAGAR JÁ (multa e juros)",IF($I863="Vence hoje","Pagar hoje",IF($I863="Vence em breve","Programar pagamento","")))</f>
        <v>0</v>
      </c>
    </row>
    <row r="864" spans="1:12">
      <c r="A864" s="13"/>
      <c r="B864" s="13"/>
      <c r="C864" s="13"/>
      <c r="D864" s="17"/>
      <c r="E864" s="18"/>
      <c r="F864" s="17"/>
      <c r="G864" s="18"/>
      <c r="H864" s="13"/>
      <c r="I864" s="19">
        <f>IF($E864="","",IF($K864&lt;=0.005,"Pago",IF($D864="","Sem vencimento",IF($D864&lt;Hoje,"Vencida",IF($D864=Hoje,"Vence hoje",IF($D864-Hoje&lt;=DiasAlerta,"Vence em breve","A vencer"))))))</f>
        <v>0</v>
      </c>
      <c r="J864" s="20">
        <f>IF(OR($E864="",$D864=""),"",IF($K864&lt;=0.005,"",$D864-Hoje))</f>
        <v>0</v>
      </c>
      <c r="K864" s="21">
        <f>IF($E864="","",MAX(0,$E864-N($G864)))</f>
        <v>0</v>
      </c>
      <c r="L864" s="20">
        <f>IF($I864="Vencida","PAGAR JÁ (multa e juros)",IF($I864="Vence hoje","Pagar hoje",IF($I864="Vence em breve","Programar pagamento","")))</f>
        <v>0</v>
      </c>
    </row>
    <row r="865" spans="1:12">
      <c r="A865" s="13"/>
      <c r="B865" s="13"/>
      <c r="C865" s="13"/>
      <c r="D865" s="17"/>
      <c r="E865" s="18"/>
      <c r="F865" s="17"/>
      <c r="G865" s="18"/>
      <c r="H865" s="13"/>
      <c r="I865" s="19">
        <f>IF($E865="","",IF($K865&lt;=0.005,"Pago",IF($D865="","Sem vencimento",IF($D865&lt;Hoje,"Vencida",IF($D865=Hoje,"Vence hoje",IF($D865-Hoje&lt;=DiasAlerta,"Vence em breve","A vencer"))))))</f>
        <v>0</v>
      </c>
      <c r="J865" s="20">
        <f>IF(OR($E865="",$D865=""),"",IF($K865&lt;=0.005,"",$D865-Hoje))</f>
        <v>0</v>
      </c>
      <c r="K865" s="21">
        <f>IF($E865="","",MAX(0,$E865-N($G865)))</f>
        <v>0</v>
      </c>
      <c r="L865" s="20">
        <f>IF($I865="Vencida","PAGAR JÁ (multa e juros)",IF($I865="Vence hoje","Pagar hoje",IF($I865="Vence em breve","Programar pagamento","")))</f>
        <v>0</v>
      </c>
    </row>
    <row r="866" spans="1:12">
      <c r="A866" s="13"/>
      <c r="B866" s="13"/>
      <c r="C866" s="13"/>
      <c r="D866" s="17"/>
      <c r="E866" s="18"/>
      <c r="F866" s="17"/>
      <c r="G866" s="18"/>
      <c r="H866" s="13"/>
      <c r="I866" s="19">
        <f>IF($E866="","",IF($K866&lt;=0.005,"Pago",IF($D866="","Sem vencimento",IF($D866&lt;Hoje,"Vencida",IF($D866=Hoje,"Vence hoje",IF($D866-Hoje&lt;=DiasAlerta,"Vence em breve","A vencer"))))))</f>
        <v>0</v>
      </c>
      <c r="J866" s="20">
        <f>IF(OR($E866="",$D866=""),"",IF($K866&lt;=0.005,"",$D866-Hoje))</f>
        <v>0</v>
      </c>
      <c r="K866" s="21">
        <f>IF($E866="","",MAX(0,$E866-N($G866)))</f>
        <v>0</v>
      </c>
      <c r="L866" s="20">
        <f>IF($I866="Vencida","PAGAR JÁ (multa e juros)",IF($I866="Vence hoje","Pagar hoje",IF($I866="Vence em breve","Programar pagamento","")))</f>
        <v>0</v>
      </c>
    </row>
    <row r="867" spans="1:12">
      <c r="A867" s="13"/>
      <c r="B867" s="13"/>
      <c r="C867" s="13"/>
      <c r="D867" s="17"/>
      <c r="E867" s="18"/>
      <c r="F867" s="17"/>
      <c r="G867" s="18"/>
      <c r="H867" s="13"/>
      <c r="I867" s="19">
        <f>IF($E867="","",IF($K867&lt;=0.005,"Pago",IF($D867="","Sem vencimento",IF($D867&lt;Hoje,"Vencida",IF($D867=Hoje,"Vence hoje",IF($D867-Hoje&lt;=DiasAlerta,"Vence em breve","A vencer"))))))</f>
        <v>0</v>
      </c>
      <c r="J867" s="20">
        <f>IF(OR($E867="",$D867=""),"",IF($K867&lt;=0.005,"",$D867-Hoje))</f>
        <v>0</v>
      </c>
      <c r="K867" s="21">
        <f>IF($E867="","",MAX(0,$E867-N($G867)))</f>
        <v>0</v>
      </c>
      <c r="L867" s="20">
        <f>IF($I867="Vencida","PAGAR JÁ (multa e juros)",IF($I867="Vence hoje","Pagar hoje",IF($I867="Vence em breve","Programar pagamento","")))</f>
        <v>0</v>
      </c>
    </row>
    <row r="868" spans="1:12">
      <c r="A868" s="13"/>
      <c r="B868" s="13"/>
      <c r="C868" s="13"/>
      <c r="D868" s="17"/>
      <c r="E868" s="18"/>
      <c r="F868" s="17"/>
      <c r="G868" s="18"/>
      <c r="H868" s="13"/>
      <c r="I868" s="19">
        <f>IF($E868="","",IF($K868&lt;=0.005,"Pago",IF($D868="","Sem vencimento",IF($D868&lt;Hoje,"Vencida",IF($D868=Hoje,"Vence hoje",IF($D868-Hoje&lt;=DiasAlerta,"Vence em breve","A vencer"))))))</f>
        <v>0</v>
      </c>
      <c r="J868" s="20">
        <f>IF(OR($E868="",$D868=""),"",IF($K868&lt;=0.005,"",$D868-Hoje))</f>
        <v>0</v>
      </c>
      <c r="K868" s="21">
        <f>IF($E868="","",MAX(0,$E868-N($G868)))</f>
        <v>0</v>
      </c>
      <c r="L868" s="20">
        <f>IF($I868="Vencida","PAGAR JÁ (multa e juros)",IF($I868="Vence hoje","Pagar hoje",IF($I868="Vence em breve","Programar pagamento","")))</f>
        <v>0</v>
      </c>
    </row>
    <row r="869" spans="1:12">
      <c r="A869" s="13"/>
      <c r="B869" s="13"/>
      <c r="C869" s="13"/>
      <c r="D869" s="17"/>
      <c r="E869" s="18"/>
      <c r="F869" s="17"/>
      <c r="G869" s="18"/>
      <c r="H869" s="13"/>
      <c r="I869" s="19">
        <f>IF($E869="","",IF($K869&lt;=0.005,"Pago",IF($D869="","Sem vencimento",IF($D869&lt;Hoje,"Vencida",IF($D869=Hoje,"Vence hoje",IF($D869-Hoje&lt;=DiasAlerta,"Vence em breve","A vencer"))))))</f>
        <v>0</v>
      </c>
      <c r="J869" s="20">
        <f>IF(OR($E869="",$D869=""),"",IF($K869&lt;=0.005,"",$D869-Hoje))</f>
        <v>0</v>
      </c>
      <c r="K869" s="21">
        <f>IF($E869="","",MAX(0,$E869-N($G869)))</f>
        <v>0</v>
      </c>
      <c r="L869" s="20">
        <f>IF($I869="Vencida","PAGAR JÁ (multa e juros)",IF($I869="Vence hoje","Pagar hoje",IF($I869="Vence em breve","Programar pagamento","")))</f>
        <v>0</v>
      </c>
    </row>
    <row r="870" spans="1:12">
      <c r="A870" s="13"/>
      <c r="B870" s="13"/>
      <c r="C870" s="13"/>
      <c r="D870" s="17"/>
      <c r="E870" s="18"/>
      <c r="F870" s="17"/>
      <c r="G870" s="18"/>
      <c r="H870" s="13"/>
      <c r="I870" s="19">
        <f>IF($E870="","",IF($K870&lt;=0.005,"Pago",IF($D870="","Sem vencimento",IF($D870&lt;Hoje,"Vencida",IF($D870=Hoje,"Vence hoje",IF($D870-Hoje&lt;=DiasAlerta,"Vence em breve","A vencer"))))))</f>
        <v>0</v>
      </c>
      <c r="J870" s="20">
        <f>IF(OR($E870="",$D870=""),"",IF($K870&lt;=0.005,"",$D870-Hoje))</f>
        <v>0</v>
      </c>
      <c r="K870" s="21">
        <f>IF($E870="","",MAX(0,$E870-N($G870)))</f>
        <v>0</v>
      </c>
      <c r="L870" s="20">
        <f>IF($I870="Vencida","PAGAR JÁ (multa e juros)",IF($I870="Vence hoje","Pagar hoje",IF($I870="Vence em breve","Programar pagamento","")))</f>
        <v>0</v>
      </c>
    </row>
    <row r="871" spans="1:12">
      <c r="A871" s="13"/>
      <c r="B871" s="13"/>
      <c r="C871" s="13"/>
      <c r="D871" s="17"/>
      <c r="E871" s="18"/>
      <c r="F871" s="17"/>
      <c r="G871" s="18"/>
      <c r="H871" s="13"/>
      <c r="I871" s="19">
        <f>IF($E871="","",IF($K871&lt;=0.005,"Pago",IF($D871="","Sem vencimento",IF($D871&lt;Hoje,"Vencida",IF($D871=Hoje,"Vence hoje",IF($D871-Hoje&lt;=DiasAlerta,"Vence em breve","A vencer"))))))</f>
        <v>0</v>
      </c>
      <c r="J871" s="20">
        <f>IF(OR($E871="",$D871=""),"",IF($K871&lt;=0.005,"",$D871-Hoje))</f>
        <v>0</v>
      </c>
      <c r="K871" s="21">
        <f>IF($E871="","",MAX(0,$E871-N($G871)))</f>
        <v>0</v>
      </c>
      <c r="L871" s="20">
        <f>IF($I871="Vencida","PAGAR JÁ (multa e juros)",IF($I871="Vence hoje","Pagar hoje",IF($I871="Vence em breve","Programar pagamento","")))</f>
        <v>0</v>
      </c>
    </row>
    <row r="872" spans="1:12">
      <c r="A872" s="13"/>
      <c r="B872" s="13"/>
      <c r="C872" s="13"/>
      <c r="D872" s="17"/>
      <c r="E872" s="18"/>
      <c r="F872" s="17"/>
      <c r="G872" s="18"/>
      <c r="H872" s="13"/>
      <c r="I872" s="19">
        <f>IF($E872="","",IF($K872&lt;=0.005,"Pago",IF($D872="","Sem vencimento",IF($D872&lt;Hoje,"Vencida",IF($D872=Hoje,"Vence hoje",IF($D872-Hoje&lt;=DiasAlerta,"Vence em breve","A vencer"))))))</f>
        <v>0</v>
      </c>
      <c r="J872" s="20">
        <f>IF(OR($E872="",$D872=""),"",IF($K872&lt;=0.005,"",$D872-Hoje))</f>
        <v>0</v>
      </c>
      <c r="K872" s="21">
        <f>IF($E872="","",MAX(0,$E872-N($G872)))</f>
        <v>0</v>
      </c>
      <c r="L872" s="20">
        <f>IF($I872="Vencida","PAGAR JÁ (multa e juros)",IF($I872="Vence hoje","Pagar hoje",IF($I872="Vence em breve","Programar pagamento","")))</f>
        <v>0</v>
      </c>
    </row>
    <row r="873" spans="1:12">
      <c r="A873" s="13"/>
      <c r="B873" s="13"/>
      <c r="C873" s="13"/>
      <c r="D873" s="17"/>
      <c r="E873" s="18"/>
      <c r="F873" s="17"/>
      <c r="G873" s="18"/>
      <c r="H873" s="13"/>
      <c r="I873" s="19">
        <f>IF($E873="","",IF($K873&lt;=0.005,"Pago",IF($D873="","Sem vencimento",IF($D873&lt;Hoje,"Vencida",IF($D873=Hoje,"Vence hoje",IF($D873-Hoje&lt;=DiasAlerta,"Vence em breve","A vencer"))))))</f>
        <v>0</v>
      </c>
      <c r="J873" s="20">
        <f>IF(OR($E873="",$D873=""),"",IF($K873&lt;=0.005,"",$D873-Hoje))</f>
        <v>0</v>
      </c>
      <c r="K873" s="21">
        <f>IF($E873="","",MAX(0,$E873-N($G873)))</f>
        <v>0</v>
      </c>
      <c r="L873" s="20">
        <f>IF($I873="Vencida","PAGAR JÁ (multa e juros)",IF($I873="Vence hoje","Pagar hoje",IF($I873="Vence em breve","Programar pagamento","")))</f>
        <v>0</v>
      </c>
    </row>
    <row r="874" spans="1:12">
      <c r="A874" s="13"/>
      <c r="B874" s="13"/>
      <c r="C874" s="13"/>
      <c r="D874" s="17"/>
      <c r="E874" s="18"/>
      <c r="F874" s="17"/>
      <c r="G874" s="18"/>
      <c r="H874" s="13"/>
      <c r="I874" s="19">
        <f>IF($E874="","",IF($K874&lt;=0.005,"Pago",IF($D874="","Sem vencimento",IF($D874&lt;Hoje,"Vencida",IF($D874=Hoje,"Vence hoje",IF($D874-Hoje&lt;=DiasAlerta,"Vence em breve","A vencer"))))))</f>
        <v>0</v>
      </c>
      <c r="J874" s="20">
        <f>IF(OR($E874="",$D874=""),"",IF($K874&lt;=0.005,"",$D874-Hoje))</f>
        <v>0</v>
      </c>
      <c r="K874" s="21">
        <f>IF($E874="","",MAX(0,$E874-N($G874)))</f>
        <v>0</v>
      </c>
      <c r="L874" s="20">
        <f>IF($I874="Vencida","PAGAR JÁ (multa e juros)",IF($I874="Vence hoje","Pagar hoje",IF($I874="Vence em breve","Programar pagamento","")))</f>
        <v>0</v>
      </c>
    </row>
    <row r="875" spans="1:12">
      <c r="A875" s="13"/>
      <c r="B875" s="13"/>
      <c r="C875" s="13"/>
      <c r="D875" s="17"/>
      <c r="E875" s="18"/>
      <c r="F875" s="17"/>
      <c r="G875" s="18"/>
      <c r="H875" s="13"/>
      <c r="I875" s="19">
        <f>IF($E875="","",IF($K875&lt;=0.005,"Pago",IF($D875="","Sem vencimento",IF($D875&lt;Hoje,"Vencida",IF($D875=Hoje,"Vence hoje",IF($D875-Hoje&lt;=DiasAlerta,"Vence em breve","A vencer"))))))</f>
        <v>0</v>
      </c>
      <c r="J875" s="20">
        <f>IF(OR($E875="",$D875=""),"",IF($K875&lt;=0.005,"",$D875-Hoje))</f>
        <v>0</v>
      </c>
      <c r="K875" s="21">
        <f>IF($E875="","",MAX(0,$E875-N($G875)))</f>
        <v>0</v>
      </c>
      <c r="L875" s="20">
        <f>IF($I875="Vencida","PAGAR JÁ (multa e juros)",IF($I875="Vence hoje","Pagar hoje",IF($I875="Vence em breve","Programar pagamento","")))</f>
        <v>0</v>
      </c>
    </row>
    <row r="876" spans="1:12">
      <c r="A876" s="13"/>
      <c r="B876" s="13"/>
      <c r="C876" s="13"/>
      <c r="D876" s="17"/>
      <c r="E876" s="18"/>
      <c r="F876" s="17"/>
      <c r="G876" s="18"/>
      <c r="H876" s="13"/>
      <c r="I876" s="19">
        <f>IF($E876="","",IF($K876&lt;=0.005,"Pago",IF($D876="","Sem vencimento",IF($D876&lt;Hoje,"Vencida",IF($D876=Hoje,"Vence hoje",IF($D876-Hoje&lt;=DiasAlerta,"Vence em breve","A vencer"))))))</f>
        <v>0</v>
      </c>
      <c r="J876" s="20">
        <f>IF(OR($E876="",$D876=""),"",IF($K876&lt;=0.005,"",$D876-Hoje))</f>
        <v>0</v>
      </c>
      <c r="K876" s="21">
        <f>IF($E876="","",MAX(0,$E876-N($G876)))</f>
        <v>0</v>
      </c>
      <c r="L876" s="20">
        <f>IF($I876="Vencida","PAGAR JÁ (multa e juros)",IF($I876="Vence hoje","Pagar hoje",IF($I876="Vence em breve","Programar pagamento","")))</f>
        <v>0</v>
      </c>
    </row>
    <row r="877" spans="1:12">
      <c r="A877" s="13"/>
      <c r="B877" s="13"/>
      <c r="C877" s="13"/>
      <c r="D877" s="17"/>
      <c r="E877" s="18"/>
      <c r="F877" s="17"/>
      <c r="G877" s="18"/>
      <c r="H877" s="13"/>
      <c r="I877" s="19">
        <f>IF($E877="","",IF($K877&lt;=0.005,"Pago",IF($D877="","Sem vencimento",IF($D877&lt;Hoje,"Vencida",IF($D877=Hoje,"Vence hoje",IF($D877-Hoje&lt;=DiasAlerta,"Vence em breve","A vencer"))))))</f>
        <v>0</v>
      </c>
      <c r="J877" s="20">
        <f>IF(OR($E877="",$D877=""),"",IF($K877&lt;=0.005,"",$D877-Hoje))</f>
        <v>0</v>
      </c>
      <c r="K877" s="21">
        <f>IF($E877="","",MAX(0,$E877-N($G877)))</f>
        <v>0</v>
      </c>
      <c r="L877" s="20">
        <f>IF($I877="Vencida","PAGAR JÁ (multa e juros)",IF($I877="Vence hoje","Pagar hoje",IF($I877="Vence em breve","Programar pagamento","")))</f>
        <v>0</v>
      </c>
    </row>
    <row r="878" spans="1:12">
      <c r="A878" s="13"/>
      <c r="B878" s="13"/>
      <c r="C878" s="13"/>
      <c r="D878" s="17"/>
      <c r="E878" s="18"/>
      <c r="F878" s="17"/>
      <c r="G878" s="18"/>
      <c r="H878" s="13"/>
      <c r="I878" s="19">
        <f>IF($E878="","",IF($K878&lt;=0.005,"Pago",IF($D878="","Sem vencimento",IF($D878&lt;Hoje,"Vencida",IF($D878=Hoje,"Vence hoje",IF($D878-Hoje&lt;=DiasAlerta,"Vence em breve","A vencer"))))))</f>
        <v>0</v>
      </c>
      <c r="J878" s="20">
        <f>IF(OR($E878="",$D878=""),"",IF($K878&lt;=0.005,"",$D878-Hoje))</f>
        <v>0</v>
      </c>
      <c r="K878" s="21">
        <f>IF($E878="","",MAX(0,$E878-N($G878)))</f>
        <v>0</v>
      </c>
      <c r="L878" s="20">
        <f>IF($I878="Vencida","PAGAR JÁ (multa e juros)",IF($I878="Vence hoje","Pagar hoje",IF($I878="Vence em breve","Programar pagamento","")))</f>
        <v>0</v>
      </c>
    </row>
    <row r="879" spans="1:12">
      <c r="A879" s="13"/>
      <c r="B879" s="13"/>
      <c r="C879" s="13"/>
      <c r="D879" s="17"/>
      <c r="E879" s="18"/>
      <c r="F879" s="17"/>
      <c r="G879" s="18"/>
      <c r="H879" s="13"/>
      <c r="I879" s="19">
        <f>IF($E879="","",IF($K879&lt;=0.005,"Pago",IF($D879="","Sem vencimento",IF($D879&lt;Hoje,"Vencida",IF($D879=Hoje,"Vence hoje",IF($D879-Hoje&lt;=DiasAlerta,"Vence em breve","A vencer"))))))</f>
        <v>0</v>
      </c>
      <c r="J879" s="20">
        <f>IF(OR($E879="",$D879=""),"",IF($K879&lt;=0.005,"",$D879-Hoje))</f>
        <v>0</v>
      </c>
      <c r="K879" s="21">
        <f>IF($E879="","",MAX(0,$E879-N($G879)))</f>
        <v>0</v>
      </c>
      <c r="L879" s="20">
        <f>IF($I879="Vencida","PAGAR JÁ (multa e juros)",IF($I879="Vence hoje","Pagar hoje",IF($I879="Vence em breve","Programar pagamento","")))</f>
        <v>0</v>
      </c>
    </row>
    <row r="880" spans="1:12">
      <c r="A880" s="13"/>
      <c r="B880" s="13"/>
      <c r="C880" s="13"/>
      <c r="D880" s="17"/>
      <c r="E880" s="18"/>
      <c r="F880" s="17"/>
      <c r="G880" s="18"/>
      <c r="H880" s="13"/>
      <c r="I880" s="19">
        <f>IF($E880="","",IF($K880&lt;=0.005,"Pago",IF($D880="","Sem vencimento",IF($D880&lt;Hoje,"Vencida",IF($D880=Hoje,"Vence hoje",IF($D880-Hoje&lt;=DiasAlerta,"Vence em breve","A vencer"))))))</f>
        <v>0</v>
      </c>
      <c r="J880" s="20">
        <f>IF(OR($E880="",$D880=""),"",IF($K880&lt;=0.005,"",$D880-Hoje))</f>
        <v>0</v>
      </c>
      <c r="K880" s="21">
        <f>IF($E880="","",MAX(0,$E880-N($G880)))</f>
        <v>0</v>
      </c>
      <c r="L880" s="20">
        <f>IF($I880="Vencida","PAGAR JÁ (multa e juros)",IF($I880="Vence hoje","Pagar hoje",IF($I880="Vence em breve","Programar pagamento","")))</f>
        <v>0</v>
      </c>
    </row>
    <row r="881" spans="1:12">
      <c r="A881" s="13"/>
      <c r="B881" s="13"/>
      <c r="C881" s="13"/>
      <c r="D881" s="17"/>
      <c r="E881" s="18"/>
      <c r="F881" s="17"/>
      <c r="G881" s="18"/>
      <c r="H881" s="13"/>
      <c r="I881" s="19">
        <f>IF($E881="","",IF($K881&lt;=0.005,"Pago",IF($D881="","Sem vencimento",IF($D881&lt;Hoje,"Vencida",IF($D881=Hoje,"Vence hoje",IF($D881-Hoje&lt;=DiasAlerta,"Vence em breve","A vencer"))))))</f>
        <v>0</v>
      </c>
      <c r="J881" s="20">
        <f>IF(OR($E881="",$D881=""),"",IF($K881&lt;=0.005,"",$D881-Hoje))</f>
        <v>0</v>
      </c>
      <c r="K881" s="21">
        <f>IF($E881="","",MAX(0,$E881-N($G881)))</f>
        <v>0</v>
      </c>
      <c r="L881" s="20">
        <f>IF($I881="Vencida","PAGAR JÁ (multa e juros)",IF($I881="Vence hoje","Pagar hoje",IF($I881="Vence em breve","Programar pagamento","")))</f>
        <v>0</v>
      </c>
    </row>
    <row r="882" spans="1:12">
      <c r="A882" s="13"/>
      <c r="B882" s="13"/>
      <c r="C882" s="13"/>
      <c r="D882" s="17"/>
      <c r="E882" s="18"/>
      <c r="F882" s="17"/>
      <c r="G882" s="18"/>
      <c r="H882" s="13"/>
      <c r="I882" s="19">
        <f>IF($E882="","",IF($K882&lt;=0.005,"Pago",IF($D882="","Sem vencimento",IF($D882&lt;Hoje,"Vencida",IF($D882=Hoje,"Vence hoje",IF($D882-Hoje&lt;=DiasAlerta,"Vence em breve","A vencer"))))))</f>
        <v>0</v>
      </c>
      <c r="J882" s="20">
        <f>IF(OR($E882="",$D882=""),"",IF($K882&lt;=0.005,"",$D882-Hoje))</f>
        <v>0</v>
      </c>
      <c r="K882" s="21">
        <f>IF($E882="","",MAX(0,$E882-N($G882)))</f>
        <v>0</v>
      </c>
      <c r="L882" s="20">
        <f>IF($I882="Vencida","PAGAR JÁ (multa e juros)",IF($I882="Vence hoje","Pagar hoje",IF($I882="Vence em breve","Programar pagamento","")))</f>
        <v>0</v>
      </c>
    </row>
    <row r="883" spans="1:12">
      <c r="A883" s="13"/>
      <c r="B883" s="13"/>
      <c r="C883" s="13"/>
      <c r="D883" s="17"/>
      <c r="E883" s="18"/>
      <c r="F883" s="17"/>
      <c r="G883" s="18"/>
      <c r="H883" s="13"/>
      <c r="I883" s="19">
        <f>IF($E883="","",IF($K883&lt;=0.005,"Pago",IF($D883="","Sem vencimento",IF($D883&lt;Hoje,"Vencida",IF($D883=Hoje,"Vence hoje",IF($D883-Hoje&lt;=DiasAlerta,"Vence em breve","A vencer"))))))</f>
        <v>0</v>
      </c>
      <c r="J883" s="20">
        <f>IF(OR($E883="",$D883=""),"",IF($K883&lt;=0.005,"",$D883-Hoje))</f>
        <v>0</v>
      </c>
      <c r="K883" s="21">
        <f>IF($E883="","",MAX(0,$E883-N($G883)))</f>
        <v>0</v>
      </c>
      <c r="L883" s="20">
        <f>IF($I883="Vencida","PAGAR JÁ (multa e juros)",IF($I883="Vence hoje","Pagar hoje",IF($I883="Vence em breve","Programar pagamento","")))</f>
        <v>0</v>
      </c>
    </row>
    <row r="884" spans="1:12">
      <c r="A884" s="13"/>
      <c r="B884" s="13"/>
      <c r="C884" s="13"/>
      <c r="D884" s="17"/>
      <c r="E884" s="18"/>
      <c r="F884" s="17"/>
      <c r="G884" s="18"/>
      <c r="H884" s="13"/>
      <c r="I884" s="19">
        <f>IF($E884="","",IF($K884&lt;=0.005,"Pago",IF($D884="","Sem vencimento",IF($D884&lt;Hoje,"Vencida",IF($D884=Hoje,"Vence hoje",IF($D884-Hoje&lt;=DiasAlerta,"Vence em breve","A vencer"))))))</f>
        <v>0</v>
      </c>
      <c r="J884" s="20">
        <f>IF(OR($E884="",$D884=""),"",IF($K884&lt;=0.005,"",$D884-Hoje))</f>
        <v>0</v>
      </c>
      <c r="K884" s="21">
        <f>IF($E884="","",MAX(0,$E884-N($G884)))</f>
        <v>0</v>
      </c>
      <c r="L884" s="20">
        <f>IF($I884="Vencida","PAGAR JÁ (multa e juros)",IF($I884="Vence hoje","Pagar hoje",IF($I884="Vence em breve","Programar pagamento","")))</f>
        <v>0</v>
      </c>
    </row>
    <row r="885" spans="1:12">
      <c r="A885" s="13"/>
      <c r="B885" s="13"/>
      <c r="C885" s="13"/>
      <c r="D885" s="17"/>
      <c r="E885" s="18"/>
      <c r="F885" s="17"/>
      <c r="G885" s="18"/>
      <c r="H885" s="13"/>
      <c r="I885" s="19">
        <f>IF($E885="","",IF($K885&lt;=0.005,"Pago",IF($D885="","Sem vencimento",IF($D885&lt;Hoje,"Vencida",IF($D885=Hoje,"Vence hoje",IF($D885-Hoje&lt;=DiasAlerta,"Vence em breve","A vencer"))))))</f>
        <v>0</v>
      </c>
      <c r="J885" s="20">
        <f>IF(OR($E885="",$D885=""),"",IF($K885&lt;=0.005,"",$D885-Hoje))</f>
        <v>0</v>
      </c>
      <c r="K885" s="21">
        <f>IF($E885="","",MAX(0,$E885-N($G885)))</f>
        <v>0</v>
      </c>
      <c r="L885" s="20">
        <f>IF($I885="Vencida","PAGAR JÁ (multa e juros)",IF($I885="Vence hoje","Pagar hoje",IF($I885="Vence em breve","Programar pagamento","")))</f>
        <v>0</v>
      </c>
    </row>
    <row r="886" spans="1:12">
      <c r="A886" s="13"/>
      <c r="B886" s="13"/>
      <c r="C886" s="13"/>
      <c r="D886" s="17"/>
      <c r="E886" s="18"/>
      <c r="F886" s="17"/>
      <c r="G886" s="18"/>
      <c r="H886" s="13"/>
      <c r="I886" s="19">
        <f>IF($E886="","",IF($K886&lt;=0.005,"Pago",IF($D886="","Sem vencimento",IF($D886&lt;Hoje,"Vencida",IF($D886=Hoje,"Vence hoje",IF($D886-Hoje&lt;=DiasAlerta,"Vence em breve","A vencer"))))))</f>
        <v>0</v>
      </c>
      <c r="J886" s="20">
        <f>IF(OR($E886="",$D886=""),"",IF($K886&lt;=0.005,"",$D886-Hoje))</f>
        <v>0</v>
      </c>
      <c r="K886" s="21">
        <f>IF($E886="","",MAX(0,$E886-N($G886)))</f>
        <v>0</v>
      </c>
      <c r="L886" s="20">
        <f>IF($I886="Vencida","PAGAR JÁ (multa e juros)",IF($I886="Vence hoje","Pagar hoje",IF($I886="Vence em breve","Programar pagamento","")))</f>
        <v>0</v>
      </c>
    </row>
    <row r="887" spans="1:12">
      <c r="A887" s="13"/>
      <c r="B887" s="13"/>
      <c r="C887" s="13"/>
      <c r="D887" s="17"/>
      <c r="E887" s="18"/>
      <c r="F887" s="17"/>
      <c r="G887" s="18"/>
      <c r="H887" s="13"/>
      <c r="I887" s="19">
        <f>IF($E887="","",IF($K887&lt;=0.005,"Pago",IF($D887="","Sem vencimento",IF($D887&lt;Hoje,"Vencida",IF($D887=Hoje,"Vence hoje",IF($D887-Hoje&lt;=DiasAlerta,"Vence em breve","A vencer"))))))</f>
        <v>0</v>
      </c>
      <c r="J887" s="20">
        <f>IF(OR($E887="",$D887=""),"",IF($K887&lt;=0.005,"",$D887-Hoje))</f>
        <v>0</v>
      </c>
      <c r="K887" s="21">
        <f>IF($E887="","",MAX(0,$E887-N($G887)))</f>
        <v>0</v>
      </c>
      <c r="L887" s="20">
        <f>IF($I887="Vencida","PAGAR JÁ (multa e juros)",IF($I887="Vence hoje","Pagar hoje",IF($I887="Vence em breve","Programar pagamento","")))</f>
        <v>0</v>
      </c>
    </row>
    <row r="888" spans="1:12">
      <c r="A888" s="13"/>
      <c r="B888" s="13"/>
      <c r="C888" s="13"/>
      <c r="D888" s="17"/>
      <c r="E888" s="18"/>
      <c r="F888" s="17"/>
      <c r="G888" s="18"/>
      <c r="H888" s="13"/>
      <c r="I888" s="19">
        <f>IF($E888="","",IF($K888&lt;=0.005,"Pago",IF($D888="","Sem vencimento",IF($D888&lt;Hoje,"Vencida",IF($D888=Hoje,"Vence hoje",IF($D888-Hoje&lt;=DiasAlerta,"Vence em breve","A vencer"))))))</f>
        <v>0</v>
      </c>
      <c r="J888" s="20">
        <f>IF(OR($E888="",$D888=""),"",IF($K888&lt;=0.005,"",$D888-Hoje))</f>
        <v>0</v>
      </c>
      <c r="K888" s="21">
        <f>IF($E888="","",MAX(0,$E888-N($G888)))</f>
        <v>0</v>
      </c>
      <c r="L888" s="20">
        <f>IF($I888="Vencida","PAGAR JÁ (multa e juros)",IF($I888="Vence hoje","Pagar hoje",IF($I888="Vence em breve","Programar pagamento","")))</f>
        <v>0</v>
      </c>
    </row>
    <row r="889" spans="1:12">
      <c r="A889" s="13"/>
      <c r="B889" s="13"/>
      <c r="C889" s="13"/>
      <c r="D889" s="17"/>
      <c r="E889" s="18"/>
      <c r="F889" s="17"/>
      <c r="G889" s="18"/>
      <c r="H889" s="13"/>
      <c r="I889" s="19">
        <f>IF($E889="","",IF($K889&lt;=0.005,"Pago",IF($D889="","Sem vencimento",IF($D889&lt;Hoje,"Vencida",IF($D889=Hoje,"Vence hoje",IF($D889-Hoje&lt;=DiasAlerta,"Vence em breve","A vencer"))))))</f>
        <v>0</v>
      </c>
      <c r="J889" s="20">
        <f>IF(OR($E889="",$D889=""),"",IF($K889&lt;=0.005,"",$D889-Hoje))</f>
        <v>0</v>
      </c>
      <c r="K889" s="21">
        <f>IF($E889="","",MAX(0,$E889-N($G889)))</f>
        <v>0</v>
      </c>
      <c r="L889" s="20">
        <f>IF($I889="Vencida","PAGAR JÁ (multa e juros)",IF($I889="Vence hoje","Pagar hoje",IF($I889="Vence em breve","Programar pagamento","")))</f>
        <v>0</v>
      </c>
    </row>
    <row r="890" spans="1:12">
      <c r="A890" s="13"/>
      <c r="B890" s="13"/>
      <c r="C890" s="13"/>
      <c r="D890" s="17"/>
      <c r="E890" s="18"/>
      <c r="F890" s="17"/>
      <c r="G890" s="18"/>
      <c r="H890" s="13"/>
      <c r="I890" s="19">
        <f>IF($E890="","",IF($K890&lt;=0.005,"Pago",IF($D890="","Sem vencimento",IF($D890&lt;Hoje,"Vencida",IF($D890=Hoje,"Vence hoje",IF($D890-Hoje&lt;=DiasAlerta,"Vence em breve","A vencer"))))))</f>
        <v>0</v>
      </c>
      <c r="J890" s="20">
        <f>IF(OR($E890="",$D890=""),"",IF($K890&lt;=0.005,"",$D890-Hoje))</f>
        <v>0</v>
      </c>
      <c r="K890" s="21">
        <f>IF($E890="","",MAX(0,$E890-N($G890)))</f>
        <v>0</v>
      </c>
      <c r="L890" s="20">
        <f>IF($I890="Vencida","PAGAR JÁ (multa e juros)",IF($I890="Vence hoje","Pagar hoje",IF($I890="Vence em breve","Programar pagamento","")))</f>
        <v>0</v>
      </c>
    </row>
    <row r="891" spans="1:12">
      <c r="A891" s="13"/>
      <c r="B891" s="13"/>
      <c r="C891" s="13"/>
      <c r="D891" s="17"/>
      <c r="E891" s="18"/>
      <c r="F891" s="17"/>
      <c r="G891" s="18"/>
      <c r="H891" s="13"/>
      <c r="I891" s="19">
        <f>IF($E891="","",IF($K891&lt;=0.005,"Pago",IF($D891="","Sem vencimento",IF($D891&lt;Hoje,"Vencida",IF($D891=Hoje,"Vence hoje",IF($D891-Hoje&lt;=DiasAlerta,"Vence em breve","A vencer"))))))</f>
        <v>0</v>
      </c>
      <c r="J891" s="20">
        <f>IF(OR($E891="",$D891=""),"",IF($K891&lt;=0.005,"",$D891-Hoje))</f>
        <v>0</v>
      </c>
      <c r="K891" s="21">
        <f>IF($E891="","",MAX(0,$E891-N($G891)))</f>
        <v>0</v>
      </c>
      <c r="L891" s="20">
        <f>IF($I891="Vencida","PAGAR JÁ (multa e juros)",IF($I891="Vence hoje","Pagar hoje",IF($I891="Vence em breve","Programar pagamento","")))</f>
        <v>0</v>
      </c>
    </row>
    <row r="892" spans="1:12">
      <c r="A892" s="13"/>
      <c r="B892" s="13"/>
      <c r="C892" s="13"/>
      <c r="D892" s="17"/>
      <c r="E892" s="18"/>
      <c r="F892" s="17"/>
      <c r="G892" s="18"/>
      <c r="H892" s="13"/>
      <c r="I892" s="19">
        <f>IF($E892="","",IF($K892&lt;=0.005,"Pago",IF($D892="","Sem vencimento",IF($D892&lt;Hoje,"Vencida",IF($D892=Hoje,"Vence hoje",IF($D892-Hoje&lt;=DiasAlerta,"Vence em breve","A vencer"))))))</f>
        <v>0</v>
      </c>
      <c r="J892" s="20">
        <f>IF(OR($E892="",$D892=""),"",IF($K892&lt;=0.005,"",$D892-Hoje))</f>
        <v>0</v>
      </c>
      <c r="K892" s="21">
        <f>IF($E892="","",MAX(0,$E892-N($G892)))</f>
        <v>0</v>
      </c>
      <c r="L892" s="20">
        <f>IF($I892="Vencida","PAGAR JÁ (multa e juros)",IF($I892="Vence hoje","Pagar hoje",IF($I892="Vence em breve","Programar pagamento","")))</f>
        <v>0</v>
      </c>
    </row>
    <row r="893" spans="1:12">
      <c r="A893" s="13"/>
      <c r="B893" s="13"/>
      <c r="C893" s="13"/>
      <c r="D893" s="17"/>
      <c r="E893" s="18"/>
      <c r="F893" s="17"/>
      <c r="G893" s="18"/>
      <c r="H893" s="13"/>
      <c r="I893" s="19">
        <f>IF($E893="","",IF($K893&lt;=0.005,"Pago",IF($D893="","Sem vencimento",IF($D893&lt;Hoje,"Vencida",IF($D893=Hoje,"Vence hoje",IF($D893-Hoje&lt;=DiasAlerta,"Vence em breve","A vencer"))))))</f>
        <v>0</v>
      </c>
      <c r="J893" s="20">
        <f>IF(OR($E893="",$D893=""),"",IF($K893&lt;=0.005,"",$D893-Hoje))</f>
        <v>0</v>
      </c>
      <c r="K893" s="21">
        <f>IF($E893="","",MAX(0,$E893-N($G893)))</f>
        <v>0</v>
      </c>
      <c r="L893" s="20">
        <f>IF($I893="Vencida","PAGAR JÁ (multa e juros)",IF($I893="Vence hoje","Pagar hoje",IF($I893="Vence em breve","Programar pagamento","")))</f>
        <v>0</v>
      </c>
    </row>
    <row r="894" spans="1:12">
      <c r="A894" s="13"/>
      <c r="B894" s="13"/>
      <c r="C894" s="13"/>
      <c r="D894" s="17"/>
      <c r="E894" s="18"/>
      <c r="F894" s="17"/>
      <c r="G894" s="18"/>
      <c r="H894" s="13"/>
      <c r="I894" s="19">
        <f>IF($E894="","",IF($K894&lt;=0.005,"Pago",IF($D894="","Sem vencimento",IF($D894&lt;Hoje,"Vencida",IF($D894=Hoje,"Vence hoje",IF($D894-Hoje&lt;=DiasAlerta,"Vence em breve","A vencer"))))))</f>
        <v>0</v>
      </c>
      <c r="J894" s="20">
        <f>IF(OR($E894="",$D894=""),"",IF($K894&lt;=0.005,"",$D894-Hoje))</f>
        <v>0</v>
      </c>
      <c r="K894" s="21">
        <f>IF($E894="","",MAX(0,$E894-N($G894)))</f>
        <v>0</v>
      </c>
      <c r="L894" s="20">
        <f>IF($I894="Vencida","PAGAR JÁ (multa e juros)",IF($I894="Vence hoje","Pagar hoje",IF($I894="Vence em breve","Programar pagamento","")))</f>
        <v>0</v>
      </c>
    </row>
    <row r="895" spans="1:12">
      <c r="A895" s="13"/>
      <c r="B895" s="13"/>
      <c r="C895" s="13"/>
      <c r="D895" s="17"/>
      <c r="E895" s="18"/>
      <c r="F895" s="17"/>
      <c r="G895" s="18"/>
      <c r="H895" s="13"/>
      <c r="I895" s="19">
        <f>IF($E895="","",IF($K895&lt;=0.005,"Pago",IF($D895="","Sem vencimento",IF($D895&lt;Hoje,"Vencida",IF($D895=Hoje,"Vence hoje",IF($D895-Hoje&lt;=DiasAlerta,"Vence em breve","A vencer"))))))</f>
        <v>0</v>
      </c>
      <c r="J895" s="20">
        <f>IF(OR($E895="",$D895=""),"",IF($K895&lt;=0.005,"",$D895-Hoje))</f>
        <v>0</v>
      </c>
      <c r="K895" s="21">
        <f>IF($E895="","",MAX(0,$E895-N($G895)))</f>
        <v>0</v>
      </c>
      <c r="L895" s="20">
        <f>IF($I895="Vencida","PAGAR JÁ (multa e juros)",IF($I895="Vence hoje","Pagar hoje",IF($I895="Vence em breve","Programar pagamento","")))</f>
        <v>0</v>
      </c>
    </row>
    <row r="896" spans="1:12">
      <c r="A896" s="13"/>
      <c r="B896" s="13"/>
      <c r="C896" s="13"/>
      <c r="D896" s="17"/>
      <c r="E896" s="18"/>
      <c r="F896" s="17"/>
      <c r="G896" s="18"/>
      <c r="H896" s="13"/>
      <c r="I896" s="19">
        <f>IF($E896="","",IF($K896&lt;=0.005,"Pago",IF($D896="","Sem vencimento",IF($D896&lt;Hoje,"Vencida",IF($D896=Hoje,"Vence hoje",IF($D896-Hoje&lt;=DiasAlerta,"Vence em breve","A vencer"))))))</f>
        <v>0</v>
      </c>
      <c r="J896" s="20">
        <f>IF(OR($E896="",$D896=""),"",IF($K896&lt;=0.005,"",$D896-Hoje))</f>
        <v>0</v>
      </c>
      <c r="K896" s="21">
        <f>IF($E896="","",MAX(0,$E896-N($G896)))</f>
        <v>0</v>
      </c>
      <c r="L896" s="20">
        <f>IF($I896="Vencida","PAGAR JÁ (multa e juros)",IF($I896="Vence hoje","Pagar hoje",IF($I896="Vence em breve","Programar pagamento","")))</f>
        <v>0</v>
      </c>
    </row>
    <row r="897" spans="1:12">
      <c r="A897" s="13"/>
      <c r="B897" s="13"/>
      <c r="C897" s="13"/>
      <c r="D897" s="17"/>
      <c r="E897" s="18"/>
      <c r="F897" s="17"/>
      <c r="G897" s="18"/>
      <c r="H897" s="13"/>
      <c r="I897" s="19">
        <f>IF($E897="","",IF($K897&lt;=0.005,"Pago",IF($D897="","Sem vencimento",IF($D897&lt;Hoje,"Vencida",IF($D897=Hoje,"Vence hoje",IF($D897-Hoje&lt;=DiasAlerta,"Vence em breve","A vencer"))))))</f>
        <v>0</v>
      </c>
      <c r="J897" s="20">
        <f>IF(OR($E897="",$D897=""),"",IF($K897&lt;=0.005,"",$D897-Hoje))</f>
        <v>0</v>
      </c>
      <c r="K897" s="21">
        <f>IF($E897="","",MAX(0,$E897-N($G897)))</f>
        <v>0</v>
      </c>
      <c r="L897" s="20">
        <f>IF($I897="Vencida","PAGAR JÁ (multa e juros)",IF($I897="Vence hoje","Pagar hoje",IF($I897="Vence em breve","Programar pagamento","")))</f>
        <v>0</v>
      </c>
    </row>
    <row r="898" spans="1:12">
      <c r="A898" s="13"/>
      <c r="B898" s="13"/>
      <c r="C898" s="13"/>
      <c r="D898" s="17"/>
      <c r="E898" s="18"/>
      <c r="F898" s="17"/>
      <c r="G898" s="18"/>
      <c r="H898" s="13"/>
      <c r="I898" s="19">
        <f>IF($E898="","",IF($K898&lt;=0.005,"Pago",IF($D898="","Sem vencimento",IF($D898&lt;Hoje,"Vencida",IF($D898=Hoje,"Vence hoje",IF($D898-Hoje&lt;=DiasAlerta,"Vence em breve","A vencer"))))))</f>
        <v>0</v>
      </c>
      <c r="J898" s="20">
        <f>IF(OR($E898="",$D898=""),"",IF($K898&lt;=0.005,"",$D898-Hoje))</f>
        <v>0</v>
      </c>
      <c r="K898" s="21">
        <f>IF($E898="","",MAX(0,$E898-N($G898)))</f>
        <v>0</v>
      </c>
      <c r="L898" s="20">
        <f>IF($I898="Vencida","PAGAR JÁ (multa e juros)",IF($I898="Vence hoje","Pagar hoje",IF($I898="Vence em breve","Programar pagamento","")))</f>
        <v>0</v>
      </c>
    </row>
    <row r="899" spans="1:12">
      <c r="A899" s="13"/>
      <c r="B899" s="13"/>
      <c r="C899" s="13"/>
      <c r="D899" s="17"/>
      <c r="E899" s="18"/>
      <c r="F899" s="17"/>
      <c r="G899" s="18"/>
      <c r="H899" s="13"/>
      <c r="I899" s="19">
        <f>IF($E899="","",IF($K899&lt;=0.005,"Pago",IF($D899="","Sem vencimento",IF($D899&lt;Hoje,"Vencida",IF($D899=Hoje,"Vence hoje",IF($D899-Hoje&lt;=DiasAlerta,"Vence em breve","A vencer"))))))</f>
        <v>0</v>
      </c>
      <c r="J899" s="20">
        <f>IF(OR($E899="",$D899=""),"",IF($K899&lt;=0.005,"",$D899-Hoje))</f>
        <v>0</v>
      </c>
      <c r="K899" s="21">
        <f>IF($E899="","",MAX(0,$E899-N($G899)))</f>
        <v>0</v>
      </c>
      <c r="L899" s="20">
        <f>IF($I899="Vencida","PAGAR JÁ (multa e juros)",IF($I899="Vence hoje","Pagar hoje",IF($I899="Vence em breve","Programar pagamento","")))</f>
        <v>0</v>
      </c>
    </row>
    <row r="900" spans="1:12">
      <c r="A900" s="13"/>
      <c r="B900" s="13"/>
      <c r="C900" s="13"/>
      <c r="D900" s="17"/>
      <c r="E900" s="18"/>
      <c r="F900" s="17"/>
      <c r="G900" s="18"/>
      <c r="H900" s="13"/>
      <c r="I900" s="19">
        <f>IF($E900="","",IF($K900&lt;=0.005,"Pago",IF($D900="","Sem vencimento",IF($D900&lt;Hoje,"Vencida",IF($D900=Hoje,"Vence hoje",IF($D900-Hoje&lt;=DiasAlerta,"Vence em breve","A vencer"))))))</f>
        <v>0</v>
      </c>
      <c r="J900" s="20">
        <f>IF(OR($E900="",$D900=""),"",IF($K900&lt;=0.005,"",$D900-Hoje))</f>
        <v>0</v>
      </c>
      <c r="K900" s="21">
        <f>IF($E900="","",MAX(0,$E900-N($G900)))</f>
        <v>0</v>
      </c>
      <c r="L900" s="20">
        <f>IF($I900="Vencida","PAGAR JÁ (multa e juros)",IF($I900="Vence hoje","Pagar hoje",IF($I900="Vence em breve","Programar pagamento","")))</f>
        <v>0</v>
      </c>
    </row>
    <row r="901" spans="1:12">
      <c r="A901" s="13"/>
      <c r="B901" s="13"/>
      <c r="C901" s="13"/>
      <c r="D901" s="17"/>
      <c r="E901" s="18"/>
      <c r="F901" s="17"/>
      <c r="G901" s="18"/>
      <c r="H901" s="13"/>
      <c r="I901" s="19">
        <f>IF($E901="","",IF($K901&lt;=0.005,"Pago",IF($D901="","Sem vencimento",IF($D901&lt;Hoje,"Vencida",IF($D901=Hoje,"Vence hoje",IF($D901-Hoje&lt;=DiasAlerta,"Vence em breve","A vencer"))))))</f>
        <v>0</v>
      </c>
      <c r="J901" s="20">
        <f>IF(OR($E901="",$D901=""),"",IF($K901&lt;=0.005,"",$D901-Hoje))</f>
        <v>0</v>
      </c>
      <c r="K901" s="21">
        <f>IF($E901="","",MAX(0,$E901-N($G901)))</f>
        <v>0</v>
      </c>
      <c r="L901" s="20">
        <f>IF($I901="Vencida","PAGAR JÁ (multa e juros)",IF($I901="Vence hoje","Pagar hoje",IF($I901="Vence em breve","Programar pagamento","")))</f>
        <v>0</v>
      </c>
    </row>
    <row r="902" spans="1:12">
      <c r="A902" s="13"/>
      <c r="B902" s="13"/>
      <c r="C902" s="13"/>
      <c r="D902" s="17"/>
      <c r="E902" s="18"/>
      <c r="F902" s="17"/>
      <c r="G902" s="18"/>
      <c r="H902" s="13"/>
      <c r="I902" s="19">
        <f>IF($E902="","",IF($K902&lt;=0.005,"Pago",IF($D902="","Sem vencimento",IF($D902&lt;Hoje,"Vencida",IF($D902=Hoje,"Vence hoje",IF($D902-Hoje&lt;=DiasAlerta,"Vence em breve","A vencer"))))))</f>
        <v>0</v>
      </c>
      <c r="J902" s="20">
        <f>IF(OR($E902="",$D902=""),"",IF($K902&lt;=0.005,"",$D902-Hoje))</f>
        <v>0</v>
      </c>
      <c r="K902" s="21">
        <f>IF($E902="","",MAX(0,$E902-N($G902)))</f>
        <v>0</v>
      </c>
      <c r="L902" s="20">
        <f>IF($I902="Vencida","PAGAR JÁ (multa e juros)",IF($I902="Vence hoje","Pagar hoje",IF($I902="Vence em breve","Programar pagamento","")))</f>
        <v>0</v>
      </c>
    </row>
    <row r="903" spans="1:12">
      <c r="A903" s="13"/>
      <c r="B903" s="13"/>
      <c r="C903" s="13"/>
      <c r="D903" s="17"/>
      <c r="E903" s="18"/>
      <c r="F903" s="17"/>
      <c r="G903" s="18"/>
      <c r="H903" s="13"/>
      <c r="I903" s="19">
        <f>IF($E903="","",IF($K903&lt;=0.005,"Pago",IF($D903="","Sem vencimento",IF($D903&lt;Hoje,"Vencida",IF($D903=Hoje,"Vence hoje",IF($D903-Hoje&lt;=DiasAlerta,"Vence em breve","A vencer"))))))</f>
        <v>0</v>
      </c>
      <c r="J903" s="20">
        <f>IF(OR($E903="",$D903=""),"",IF($K903&lt;=0.005,"",$D903-Hoje))</f>
        <v>0</v>
      </c>
      <c r="K903" s="21">
        <f>IF($E903="","",MAX(0,$E903-N($G903)))</f>
        <v>0</v>
      </c>
      <c r="L903" s="20">
        <f>IF($I903="Vencida","PAGAR JÁ (multa e juros)",IF($I903="Vence hoje","Pagar hoje",IF($I903="Vence em breve","Programar pagamento","")))</f>
        <v>0</v>
      </c>
    </row>
    <row r="904" spans="1:12">
      <c r="A904" s="13"/>
      <c r="B904" s="13"/>
      <c r="C904" s="13"/>
      <c r="D904" s="17"/>
      <c r="E904" s="18"/>
      <c r="F904" s="17"/>
      <c r="G904" s="18"/>
      <c r="H904" s="13"/>
      <c r="I904" s="19">
        <f>IF($E904="","",IF($K904&lt;=0.005,"Pago",IF($D904="","Sem vencimento",IF($D904&lt;Hoje,"Vencida",IF($D904=Hoje,"Vence hoje",IF($D904-Hoje&lt;=DiasAlerta,"Vence em breve","A vencer"))))))</f>
        <v>0</v>
      </c>
      <c r="J904" s="20">
        <f>IF(OR($E904="",$D904=""),"",IF($K904&lt;=0.005,"",$D904-Hoje))</f>
        <v>0</v>
      </c>
      <c r="K904" s="21">
        <f>IF($E904="","",MAX(0,$E904-N($G904)))</f>
        <v>0</v>
      </c>
      <c r="L904" s="20">
        <f>IF($I904="Vencida","PAGAR JÁ (multa e juros)",IF($I904="Vence hoje","Pagar hoje",IF($I904="Vence em breve","Programar pagamento","")))</f>
        <v>0</v>
      </c>
    </row>
    <row r="905" spans="1:12">
      <c r="A905" s="13"/>
      <c r="B905" s="13"/>
      <c r="C905" s="13"/>
      <c r="D905" s="17"/>
      <c r="E905" s="18"/>
      <c r="F905" s="17"/>
      <c r="G905" s="18"/>
      <c r="H905" s="13"/>
      <c r="I905" s="19">
        <f>IF($E905="","",IF($K905&lt;=0.005,"Pago",IF($D905="","Sem vencimento",IF($D905&lt;Hoje,"Vencida",IF($D905=Hoje,"Vence hoje",IF($D905-Hoje&lt;=DiasAlerta,"Vence em breve","A vencer"))))))</f>
        <v>0</v>
      </c>
      <c r="J905" s="20">
        <f>IF(OR($E905="",$D905=""),"",IF($K905&lt;=0.005,"",$D905-Hoje))</f>
        <v>0</v>
      </c>
      <c r="K905" s="21">
        <f>IF($E905="","",MAX(0,$E905-N($G905)))</f>
        <v>0</v>
      </c>
      <c r="L905" s="20">
        <f>IF($I905="Vencida","PAGAR JÁ (multa e juros)",IF($I905="Vence hoje","Pagar hoje",IF($I905="Vence em breve","Programar pagamento","")))</f>
        <v>0</v>
      </c>
    </row>
    <row r="906" spans="1:12">
      <c r="A906" s="13"/>
      <c r="B906" s="13"/>
      <c r="C906" s="13"/>
      <c r="D906" s="17"/>
      <c r="E906" s="18"/>
      <c r="F906" s="17"/>
      <c r="G906" s="18"/>
      <c r="H906" s="13"/>
      <c r="I906" s="19">
        <f>IF($E906="","",IF($K906&lt;=0.005,"Pago",IF($D906="","Sem vencimento",IF($D906&lt;Hoje,"Vencida",IF($D906=Hoje,"Vence hoje",IF($D906-Hoje&lt;=DiasAlerta,"Vence em breve","A vencer"))))))</f>
        <v>0</v>
      </c>
      <c r="J906" s="20">
        <f>IF(OR($E906="",$D906=""),"",IF($K906&lt;=0.005,"",$D906-Hoje))</f>
        <v>0</v>
      </c>
      <c r="K906" s="21">
        <f>IF($E906="","",MAX(0,$E906-N($G906)))</f>
        <v>0</v>
      </c>
      <c r="L906" s="20">
        <f>IF($I906="Vencida","PAGAR JÁ (multa e juros)",IF($I906="Vence hoje","Pagar hoje",IF($I906="Vence em breve","Programar pagamento","")))</f>
        <v>0</v>
      </c>
    </row>
    <row r="907" spans="1:12">
      <c r="A907" s="13"/>
      <c r="B907" s="13"/>
      <c r="C907" s="13"/>
      <c r="D907" s="17"/>
      <c r="E907" s="18"/>
      <c r="F907" s="17"/>
      <c r="G907" s="18"/>
      <c r="H907" s="13"/>
      <c r="I907" s="19">
        <f>IF($E907="","",IF($K907&lt;=0.005,"Pago",IF($D907="","Sem vencimento",IF($D907&lt;Hoje,"Vencida",IF($D907=Hoje,"Vence hoje",IF($D907-Hoje&lt;=DiasAlerta,"Vence em breve","A vencer"))))))</f>
        <v>0</v>
      </c>
      <c r="J907" s="20">
        <f>IF(OR($E907="",$D907=""),"",IF($K907&lt;=0.005,"",$D907-Hoje))</f>
        <v>0</v>
      </c>
      <c r="K907" s="21">
        <f>IF($E907="","",MAX(0,$E907-N($G907)))</f>
        <v>0</v>
      </c>
      <c r="L907" s="20">
        <f>IF($I907="Vencida","PAGAR JÁ (multa e juros)",IF($I907="Vence hoje","Pagar hoje",IF($I907="Vence em breve","Programar pagamento","")))</f>
        <v>0</v>
      </c>
    </row>
    <row r="908" spans="1:12">
      <c r="A908" s="13"/>
      <c r="B908" s="13"/>
      <c r="C908" s="13"/>
      <c r="D908" s="17"/>
      <c r="E908" s="18"/>
      <c r="F908" s="17"/>
      <c r="G908" s="18"/>
      <c r="H908" s="13"/>
      <c r="I908" s="19">
        <f>IF($E908="","",IF($K908&lt;=0.005,"Pago",IF($D908="","Sem vencimento",IF($D908&lt;Hoje,"Vencida",IF($D908=Hoje,"Vence hoje",IF($D908-Hoje&lt;=DiasAlerta,"Vence em breve","A vencer"))))))</f>
        <v>0</v>
      </c>
      <c r="J908" s="20">
        <f>IF(OR($E908="",$D908=""),"",IF($K908&lt;=0.005,"",$D908-Hoje))</f>
        <v>0</v>
      </c>
      <c r="K908" s="21">
        <f>IF($E908="","",MAX(0,$E908-N($G908)))</f>
        <v>0</v>
      </c>
      <c r="L908" s="20">
        <f>IF($I908="Vencida","PAGAR JÁ (multa e juros)",IF($I908="Vence hoje","Pagar hoje",IF($I908="Vence em breve","Programar pagamento","")))</f>
        <v>0</v>
      </c>
    </row>
    <row r="909" spans="1:12">
      <c r="A909" s="13"/>
      <c r="B909" s="13"/>
      <c r="C909" s="13"/>
      <c r="D909" s="17"/>
      <c r="E909" s="18"/>
      <c r="F909" s="17"/>
      <c r="G909" s="18"/>
      <c r="H909" s="13"/>
      <c r="I909" s="19">
        <f>IF($E909="","",IF($K909&lt;=0.005,"Pago",IF($D909="","Sem vencimento",IF($D909&lt;Hoje,"Vencida",IF($D909=Hoje,"Vence hoje",IF($D909-Hoje&lt;=DiasAlerta,"Vence em breve","A vencer"))))))</f>
        <v>0</v>
      </c>
      <c r="J909" s="20">
        <f>IF(OR($E909="",$D909=""),"",IF($K909&lt;=0.005,"",$D909-Hoje))</f>
        <v>0</v>
      </c>
      <c r="K909" s="21">
        <f>IF($E909="","",MAX(0,$E909-N($G909)))</f>
        <v>0</v>
      </c>
      <c r="L909" s="20">
        <f>IF($I909="Vencida","PAGAR JÁ (multa e juros)",IF($I909="Vence hoje","Pagar hoje",IF($I909="Vence em breve","Programar pagamento","")))</f>
        <v>0</v>
      </c>
    </row>
    <row r="910" spans="1:12">
      <c r="A910" s="13"/>
      <c r="B910" s="13"/>
      <c r="C910" s="13"/>
      <c r="D910" s="17"/>
      <c r="E910" s="18"/>
      <c r="F910" s="17"/>
      <c r="G910" s="18"/>
      <c r="H910" s="13"/>
      <c r="I910" s="19">
        <f>IF($E910="","",IF($K910&lt;=0.005,"Pago",IF($D910="","Sem vencimento",IF($D910&lt;Hoje,"Vencida",IF($D910=Hoje,"Vence hoje",IF($D910-Hoje&lt;=DiasAlerta,"Vence em breve","A vencer"))))))</f>
        <v>0</v>
      </c>
      <c r="J910" s="20">
        <f>IF(OR($E910="",$D910=""),"",IF($K910&lt;=0.005,"",$D910-Hoje))</f>
        <v>0</v>
      </c>
      <c r="K910" s="21">
        <f>IF($E910="","",MAX(0,$E910-N($G910)))</f>
        <v>0</v>
      </c>
      <c r="L910" s="20">
        <f>IF($I910="Vencida","PAGAR JÁ (multa e juros)",IF($I910="Vence hoje","Pagar hoje",IF($I910="Vence em breve","Programar pagamento","")))</f>
        <v>0</v>
      </c>
    </row>
    <row r="911" spans="1:12">
      <c r="A911" s="13"/>
      <c r="B911" s="13"/>
      <c r="C911" s="13"/>
      <c r="D911" s="17"/>
      <c r="E911" s="18"/>
      <c r="F911" s="17"/>
      <c r="G911" s="18"/>
      <c r="H911" s="13"/>
      <c r="I911" s="19">
        <f>IF($E911="","",IF($K911&lt;=0.005,"Pago",IF($D911="","Sem vencimento",IF($D911&lt;Hoje,"Vencida",IF($D911=Hoje,"Vence hoje",IF($D911-Hoje&lt;=DiasAlerta,"Vence em breve","A vencer"))))))</f>
        <v>0</v>
      </c>
      <c r="J911" s="20">
        <f>IF(OR($E911="",$D911=""),"",IF($K911&lt;=0.005,"",$D911-Hoje))</f>
        <v>0</v>
      </c>
      <c r="K911" s="21">
        <f>IF($E911="","",MAX(0,$E911-N($G911)))</f>
        <v>0</v>
      </c>
      <c r="L911" s="20">
        <f>IF($I911="Vencida","PAGAR JÁ (multa e juros)",IF($I911="Vence hoje","Pagar hoje",IF($I911="Vence em breve","Programar pagamento","")))</f>
        <v>0</v>
      </c>
    </row>
    <row r="912" spans="1:12">
      <c r="A912" s="13"/>
      <c r="B912" s="13"/>
      <c r="C912" s="13"/>
      <c r="D912" s="17"/>
      <c r="E912" s="18"/>
      <c r="F912" s="17"/>
      <c r="G912" s="18"/>
      <c r="H912" s="13"/>
      <c r="I912" s="19">
        <f>IF($E912="","",IF($K912&lt;=0.005,"Pago",IF($D912="","Sem vencimento",IF($D912&lt;Hoje,"Vencida",IF($D912=Hoje,"Vence hoje",IF($D912-Hoje&lt;=DiasAlerta,"Vence em breve","A vencer"))))))</f>
        <v>0</v>
      </c>
      <c r="J912" s="20">
        <f>IF(OR($E912="",$D912=""),"",IF($K912&lt;=0.005,"",$D912-Hoje))</f>
        <v>0</v>
      </c>
      <c r="K912" s="21">
        <f>IF($E912="","",MAX(0,$E912-N($G912)))</f>
        <v>0</v>
      </c>
      <c r="L912" s="20">
        <f>IF($I912="Vencida","PAGAR JÁ (multa e juros)",IF($I912="Vence hoje","Pagar hoje",IF($I912="Vence em breve","Programar pagamento","")))</f>
        <v>0</v>
      </c>
    </row>
    <row r="913" spans="1:12">
      <c r="A913" s="13"/>
      <c r="B913" s="13"/>
      <c r="C913" s="13"/>
      <c r="D913" s="17"/>
      <c r="E913" s="18"/>
      <c r="F913" s="17"/>
      <c r="G913" s="18"/>
      <c r="H913" s="13"/>
      <c r="I913" s="19">
        <f>IF($E913="","",IF($K913&lt;=0.005,"Pago",IF($D913="","Sem vencimento",IF($D913&lt;Hoje,"Vencida",IF($D913=Hoje,"Vence hoje",IF($D913-Hoje&lt;=DiasAlerta,"Vence em breve","A vencer"))))))</f>
        <v>0</v>
      </c>
      <c r="J913" s="20">
        <f>IF(OR($E913="",$D913=""),"",IF($K913&lt;=0.005,"",$D913-Hoje))</f>
        <v>0</v>
      </c>
      <c r="K913" s="21">
        <f>IF($E913="","",MAX(0,$E913-N($G913)))</f>
        <v>0</v>
      </c>
      <c r="L913" s="20">
        <f>IF($I913="Vencida","PAGAR JÁ (multa e juros)",IF($I913="Vence hoje","Pagar hoje",IF($I913="Vence em breve","Programar pagamento","")))</f>
        <v>0</v>
      </c>
    </row>
    <row r="914" spans="1:12">
      <c r="A914" s="13"/>
      <c r="B914" s="13"/>
      <c r="C914" s="13"/>
      <c r="D914" s="17"/>
      <c r="E914" s="18"/>
      <c r="F914" s="17"/>
      <c r="G914" s="18"/>
      <c r="H914" s="13"/>
      <c r="I914" s="19">
        <f>IF($E914="","",IF($K914&lt;=0.005,"Pago",IF($D914="","Sem vencimento",IF($D914&lt;Hoje,"Vencida",IF($D914=Hoje,"Vence hoje",IF($D914-Hoje&lt;=DiasAlerta,"Vence em breve","A vencer"))))))</f>
        <v>0</v>
      </c>
      <c r="J914" s="20">
        <f>IF(OR($E914="",$D914=""),"",IF($K914&lt;=0.005,"",$D914-Hoje))</f>
        <v>0</v>
      </c>
      <c r="K914" s="21">
        <f>IF($E914="","",MAX(0,$E914-N($G914)))</f>
        <v>0</v>
      </c>
      <c r="L914" s="20">
        <f>IF($I914="Vencida","PAGAR JÁ (multa e juros)",IF($I914="Vence hoje","Pagar hoje",IF($I914="Vence em breve","Programar pagamento","")))</f>
        <v>0</v>
      </c>
    </row>
    <row r="915" spans="1:12">
      <c r="A915" s="13"/>
      <c r="B915" s="13"/>
      <c r="C915" s="13"/>
      <c r="D915" s="17"/>
      <c r="E915" s="18"/>
      <c r="F915" s="17"/>
      <c r="G915" s="18"/>
      <c r="H915" s="13"/>
      <c r="I915" s="19">
        <f>IF($E915="","",IF($K915&lt;=0.005,"Pago",IF($D915="","Sem vencimento",IF($D915&lt;Hoje,"Vencida",IF($D915=Hoje,"Vence hoje",IF($D915-Hoje&lt;=DiasAlerta,"Vence em breve","A vencer"))))))</f>
        <v>0</v>
      </c>
      <c r="J915" s="20">
        <f>IF(OR($E915="",$D915=""),"",IF($K915&lt;=0.005,"",$D915-Hoje))</f>
        <v>0</v>
      </c>
      <c r="K915" s="21">
        <f>IF($E915="","",MAX(0,$E915-N($G915)))</f>
        <v>0</v>
      </c>
      <c r="L915" s="20">
        <f>IF($I915="Vencida","PAGAR JÁ (multa e juros)",IF($I915="Vence hoje","Pagar hoje",IF($I915="Vence em breve","Programar pagamento","")))</f>
        <v>0</v>
      </c>
    </row>
    <row r="916" spans="1:12">
      <c r="A916" s="13"/>
      <c r="B916" s="13"/>
      <c r="C916" s="13"/>
      <c r="D916" s="17"/>
      <c r="E916" s="18"/>
      <c r="F916" s="17"/>
      <c r="G916" s="18"/>
      <c r="H916" s="13"/>
      <c r="I916" s="19">
        <f>IF($E916="","",IF($K916&lt;=0.005,"Pago",IF($D916="","Sem vencimento",IF($D916&lt;Hoje,"Vencida",IF($D916=Hoje,"Vence hoje",IF($D916-Hoje&lt;=DiasAlerta,"Vence em breve","A vencer"))))))</f>
        <v>0</v>
      </c>
      <c r="J916" s="20">
        <f>IF(OR($E916="",$D916=""),"",IF($K916&lt;=0.005,"",$D916-Hoje))</f>
        <v>0</v>
      </c>
      <c r="K916" s="21">
        <f>IF($E916="","",MAX(0,$E916-N($G916)))</f>
        <v>0</v>
      </c>
      <c r="L916" s="20">
        <f>IF($I916="Vencida","PAGAR JÁ (multa e juros)",IF($I916="Vence hoje","Pagar hoje",IF($I916="Vence em breve","Programar pagamento","")))</f>
        <v>0</v>
      </c>
    </row>
    <row r="917" spans="1:12">
      <c r="A917" s="13"/>
      <c r="B917" s="13"/>
      <c r="C917" s="13"/>
      <c r="D917" s="17"/>
      <c r="E917" s="18"/>
      <c r="F917" s="17"/>
      <c r="G917" s="18"/>
      <c r="H917" s="13"/>
      <c r="I917" s="19">
        <f>IF($E917="","",IF($K917&lt;=0.005,"Pago",IF($D917="","Sem vencimento",IF($D917&lt;Hoje,"Vencida",IF($D917=Hoje,"Vence hoje",IF($D917-Hoje&lt;=DiasAlerta,"Vence em breve","A vencer"))))))</f>
        <v>0</v>
      </c>
      <c r="J917" s="20">
        <f>IF(OR($E917="",$D917=""),"",IF($K917&lt;=0.005,"",$D917-Hoje))</f>
        <v>0</v>
      </c>
      <c r="K917" s="21">
        <f>IF($E917="","",MAX(0,$E917-N($G917)))</f>
        <v>0</v>
      </c>
      <c r="L917" s="20">
        <f>IF($I917="Vencida","PAGAR JÁ (multa e juros)",IF($I917="Vence hoje","Pagar hoje",IF($I917="Vence em breve","Programar pagamento","")))</f>
        <v>0</v>
      </c>
    </row>
    <row r="918" spans="1:12">
      <c r="A918" s="13"/>
      <c r="B918" s="13"/>
      <c r="C918" s="13"/>
      <c r="D918" s="17"/>
      <c r="E918" s="18"/>
      <c r="F918" s="17"/>
      <c r="G918" s="18"/>
      <c r="H918" s="13"/>
      <c r="I918" s="19">
        <f>IF($E918="","",IF($K918&lt;=0.005,"Pago",IF($D918="","Sem vencimento",IF($D918&lt;Hoje,"Vencida",IF($D918=Hoje,"Vence hoje",IF($D918-Hoje&lt;=DiasAlerta,"Vence em breve","A vencer"))))))</f>
        <v>0</v>
      </c>
      <c r="J918" s="20">
        <f>IF(OR($E918="",$D918=""),"",IF($K918&lt;=0.005,"",$D918-Hoje))</f>
        <v>0</v>
      </c>
      <c r="K918" s="21">
        <f>IF($E918="","",MAX(0,$E918-N($G918)))</f>
        <v>0</v>
      </c>
      <c r="L918" s="20">
        <f>IF($I918="Vencida","PAGAR JÁ (multa e juros)",IF($I918="Vence hoje","Pagar hoje",IF($I918="Vence em breve","Programar pagamento","")))</f>
        <v>0</v>
      </c>
    </row>
    <row r="919" spans="1:12">
      <c r="A919" s="13"/>
      <c r="B919" s="13"/>
      <c r="C919" s="13"/>
      <c r="D919" s="17"/>
      <c r="E919" s="18"/>
      <c r="F919" s="17"/>
      <c r="G919" s="18"/>
      <c r="H919" s="13"/>
      <c r="I919" s="19">
        <f>IF($E919="","",IF($K919&lt;=0.005,"Pago",IF($D919="","Sem vencimento",IF($D919&lt;Hoje,"Vencida",IF($D919=Hoje,"Vence hoje",IF($D919-Hoje&lt;=DiasAlerta,"Vence em breve","A vencer"))))))</f>
        <v>0</v>
      </c>
      <c r="J919" s="20">
        <f>IF(OR($E919="",$D919=""),"",IF($K919&lt;=0.005,"",$D919-Hoje))</f>
        <v>0</v>
      </c>
      <c r="K919" s="21">
        <f>IF($E919="","",MAX(0,$E919-N($G919)))</f>
        <v>0</v>
      </c>
      <c r="L919" s="20">
        <f>IF($I919="Vencida","PAGAR JÁ (multa e juros)",IF($I919="Vence hoje","Pagar hoje",IF($I919="Vence em breve","Programar pagamento","")))</f>
        <v>0</v>
      </c>
    </row>
    <row r="920" spans="1:12">
      <c r="A920" s="13"/>
      <c r="B920" s="13"/>
      <c r="C920" s="13"/>
      <c r="D920" s="17"/>
      <c r="E920" s="18"/>
      <c r="F920" s="17"/>
      <c r="G920" s="18"/>
      <c r="H920" s="13"/>
      <c r="I920" s="19">
        <f>IF($E920="","",IF($K920&lt;=0.005,"Pago",IF($D920="","Sem vencimento",IF($D920&lt;Hoje,"Vencida",IF($D920=Hoje,"Vence hoje",IF($D920-Hoje&lt;=DiasAlerta,"Vence em breve","A vencer"))))))</f>
        <v>0</v>
      </c>
      <c r="J920" s="20">
        <f>IF(OR($E920="",$D920=""),"",IF($K920&lt;=0.005,"",$D920-Hoje))</f>
        <v>0</v>
      </c>
      <c r="K920" s="21">
        <f>IF($E920="","",MAX(0,$E920-N($G920)))</f>
        <v>0</v>
      </c>
      <c r="L920" s="20">
        <f>IF($I920="Vencida","PAGAR JÁ (multa e juros)",IF($I920="Vence hoje","Pagar hoje",IF($I920="Vence em breve","Programar pagamento","")))</f>
        <v>0</v>
      </c>
    </row>
    <row r="921" spans="1:12">
      <c r="A921" s="13"/>
      <c r="B921" s="13"/>
      <c r="C921" s="13"/>
      <c r="D921" s="17"/>
      <c r="E921" s="18"/>
      <c r="F921" s="17"/>
      <c r="G921" s="18"/>
      <c r="H921" s="13"/>
      <c r="I921" s="19">
        <f>IF($E921="","",IF($K921&lt;=0.005,"Pago",IF($D921="","Sem vencimento",IF($D921&lt;Hoje,"Vencida",IF($D921=Hoje,"Vence hoje",IF($D921-Hoje&lt;=DiasAlerta,"Vence em breve","A vencer"))))))</f>
        <v>0</v>
      </c>
      <c r="J921" s="20">
        <f>IF(OR($E921="",$D921=""),"",IF($K921&lt;=0.005,"",$D921-Hoje))</f>
        <v>0</v>
      </c>
      <c r="K921" s="21">
        <f>IF($E921="","",MAX(0,$E921-N($G921)))</f>
        <v>0</v>
      </c>
      <c r="L921" s="20">
        <f>IF($I921="Vencida","PAGAR JÁ (multa e juros)",IF($I921="Vence hoje","Pagar hoje",IF($I921="Vence em breve","Programar pagamento","")))</f>
        <v>0</v>
      </c>
    </row>
    <row r="922" spans="1:12">
      <c r="A922" s="13"/>
      <c r="B922" s="13"/>
      <c r="C922" s="13"/>
      <c r="D922" s="17"/>
      <c r="E922" s="18"/>
      <c r="F922" s="17"/>
      <c r="G922" s="18"/>
      <c r="H922" s="13"/>
      <c r="I922" s="19">
        <f>IF($E922="","",IF($K922&lt;=0.005,"Pago",IF($D922="","Sem vencimento",IF($D922&lt;Hoje,"Vencida",IF($D922=Hoje,"Vence hoje",IF($D922-Hoje&lt;=DiasAlerta,"Vence em breve","A vencer"))))))</f>
        <v>0</v>
      </c>
      <c r="J922" s="20">
        <f>IF(OR($E922="",$D922=""),"",IF($K922&lt;=0.005,"",$D922-Hoje))</f>
        <v>0</v>
      </c>
      <c r="K922" s="21">
        <f>IF($E922="","",MAX(0,$E922-N($G922)))</f>
        <v>0</v>
      </c>
      <c r="L922" s="20">
        <f>IF($I922="Vencida","PAGAR JÁ (multa e juros)",IF($I922="Vence hoje","Pagar hoje",IF($I922="Vence em breve","Programar pagamento","")))</f>
        <v>0</v>
      </c>
    </row>
    <row r="923" spans="1:12">
      <c r="A923" s="13"/>
      <c r="B923" s="13"/>
      <c r="C923" s="13"/>
      <c r="D923" s="17"/>
      <c r="E923" s="18"/>
      <c r="F923" s="17"/>
      <c r="G923" s="18"/>
      <c r="H923" s="13"/>
      <c r="I923" s="19">
        <f>IF($E923="","",IF($K923&lt;=0.005,"Pago",IF($D923="","Sem vencimento",IF($D923&lt;Hoje,"Vencida",IF($D923=Hoje,"Vence hoje",IF($D923-Hoje&lt;=DiasAlerta,"Vence em breve","A vencer"))))))</f>
        <v>0</v>
      </c>
      <c r="J923" s="20">
        <f>IF(OR($E923="",$D923=""),"",IF($K923&lt;=0.005,"",$D923-Hoje))</f>
        <v>0</v>
      </c>
      <c r="K923" s="21">
        <f>IF($E923="","",MAX(0,$E923-N($G923)))</f>
        <v>0</v>
      </c>
      <c r="L923" s="20">
        <f>IF($I923="Vencida","PAGAR JÁ (multa e juros)",IF($I923="Vence hoje","Pagar hoje",IF($I923="Vence em breve","Programar pagamento","")))</f>
        <v>0</v>
      </c>
    </row>
    <row r="924" spans="1:12">
      <c r="A924" s="13"/>
      <c r="B924" s="13"/>
      <c r="C924" s="13"/>
      <c r="D924" s="17"/>
      <c r="E924" s="18"/>
      <c r="F924" s="17"/>
      <c r="G924" s="18"/>
      <c r="H924" s="13"/>
      <c r="I924" s="19">
        <f>IF($E924="","",IF($K924&lt;=0.005,"Pago",IF($D924="","Sem vencimento",IF($D924&lt;Hoje,"Vencida",IF($D924=Hoje,"Vence hoje",IF($D924-Hoje&lt;=DiasAlerta,"Vence em breve","A vencer"))))))</f>
        <v>0</v>
      </c>
      <c r="J924" s="20">
        <f>IF(OR($E924="",$D924=""),"",IF($K924&lt;=0.005,"",$D924-Hoje))</f>
        <v>0</v>
      </c>
      <c r="K924" s="21">
        <f>IF($E924="","",MAX(0,$E924-N($G924)))</f>
        <v>0</v>
      </c>
      <c r="L924" s="20">
        <f>IF($I924="Vencida","PAGAR JÁ (multa e juros)",IF($I924="Vence hoje","Pagar hoje",IF($I924="Vence em breve","Programar pagamento","")))</f>
        <v>0</v>
      </c>
    </row>
    <row r="925" spans="1:12">
      <c r="A925" s="13"/>
      <c r="B925" s="13"/>
      <c r="C925" s="13"/>
      <c r="D925" s="17"/>
      <c r="E925" s="18"/>
      <c r="F925" s="17"/>
      <c r="G925" s="18"/>
      <c r="H925" s="13"/>
      <c r="I925" s="19">
        <f>IF($E925="","",IF($K925&lt;=0.005,"Pago",IF($D925="","Sem vencimento",IF($D925&lt;Hoje,"Vencida",IF($D925=Hoje,"Vence hoje",IF($D925-Hoje&lt;=DiasAlerta,"Vence em breve","A vencer"))))))</f>
        <v>0</v>
      </c>
      <c r="J925" s="20">
        <f>IF(OR($E925="",$D925=""),"",IF($K925&lt;=0.005,"",$D925-Hoje))</f>
        <v>0</v>
      </c>
      <c r="K925" s="21">
        <f>IF($E925="","",MAX(0,$E925-N($G925)))</f>
        <v>0</v>
      </c>
      <c r="L925" s="20">
        <f>IF($I925="Vencida","PAGAR JÁ (multa e juros)",IF($I925="Vence hoje","Pagar hoje",IF($I925="Vence em breve","Programar pagamento","")))</f>
        <v>0</v>
      </c>
    </row>
    <row r="926" spans="1:12">
      <c r="A926" s="13"/>
      <c r="B926" s="13"/>
      <c r="C926" s="13"/>
      <c r="D926" s="17"/>
      <c r="E926" s="18"/>
      <c r="F926" s="17"/>
      <c r="G926" s="18"/>
      <c r="H926" s="13"/>
      <c r="I926" s="19">
        <f>IF($E926="","",IF($K926&lt;=0.005,"Pago",IF($D926="","Sem vencimento",IF($D926&lt;Hoje,"Vencida",IF($D926=Hoje,"Vence hoje",IF($D926-Hoje&lt;=DiasAlerta,"Vence em breve","A vencer"))))))</f>
        <v>0</v>
      </c>
      <c r="J926" s="20">
        <f>IF(OR($E926="",$D926=""),"",IF($K926&lt;=0.005,"",$D926-Hoje))</f>
        <v>0</v>
      </c>
      <c r="K926" s="21">
        <f>IF($E926="","",MAX(0,$E926-N($G926)))</f>
        <v>0</v>
      </c>
      <c r="L926" s="20">
        <f>IF($I926="Vencida","PAGAR JÁ (multa e juros)",IF($I926="Vence hoje","Pagar hoje",IF($I926="Vence em breve","Programar pagamento","")))</f>
        <v>0</v>
      </c>
    </row>
    <row r="927" spans="1:12">
      <c r="A927" s="13"/>
      <c r="B927" s="13"/>
      <c r="C927" s="13"/>
      <c r="D927" s="17"/>
      <c r="E927" s="18"/>
      <c r="F927" s="17"/>
      <c r="G927" s="18"/>
      <c r="H927" s="13"/>
      <c r="I927" s="19">
        <f>IF($E927="","",IF($K927&lt;=0.005,"Pago",IF($D927="","Sem vencimento",IF($D927&lt;Hoje,"Vencida",IF($D927=Hoje,"Vence hoje",IF($D927-Hoje&lt;=DiasAlerta,"Vence em breve","A vencer"))))))</f>
        <v>0</v>
      </c>
      <c r="J927" s="20">
        <f>IF(OR($E927="",$D927=""),"",IF($K927&lt;=0.005,"",$D927-Hoje))</f>
        <v>0</v>
      </c>
      <c r="K927" s="21">
        <f>IF($E927="","",MAX(0,$E927-N($G927)))</f>
        <v>0</v>
      </c>
      <c r="L927" s="20">
        <f>IF($I927="Vencida","PAGAR JÁ (multa e juros)",IF($I927="Vence hoje","Pagar hoje",IF($I927="Vence em breve","Programar pagamento","")))</f>
        <v>0</v>
      </c>
    </row>
    <row r="928" spans="1:12">
      <c r="A928" s="13"/>
      <c r="B928" s="13"/>
      <c r="C928" s="13"/>
      <c r="D928" s="17"/>
      <c r="E928" s="18"/>
      <c r="F928" s="17"/>
      <c r="G928" s="18"/>
      <c r="H928" s="13"/>
      <c r="I928" s="19">
        <f>IF($E928="","",IF($K928&lt;=0.005,"Pago",IF($D928="","Sem vencimento",IF($D928&lt;Hoje,"Vencida",IF($D928=Hoje,"Vence hoje",IF($D928-Hoje&lt;=DiasAlerta,"Vence em breve","A vencer"))))))</f>
        <v>0</v>
      </c>
      <c r="J928" s="20">
        <f>IF(OR($E928="",$D928=""),"",IF($K928&lt;=0.005,"",$D928-Hoje))</f>
        <v>0</v>
      </c>
      <c r="K928" s="21">
        <f>IF($E928="","",MAX(0,$E928-N($G928)))</f>
        <v>0</v>
      </c>
      <c r="L928" s="20">
        <f>IF($I928="Vencida","PAGAR JÁ (multa e juros)",IF($I928="Vence hoje","Pagar hoje",IF($I928="Vence em breve","Programar pagamento","")))</f>
        <v>0</v>
      </c>
    </row>
    <row r="929" spans="1:12">
      <c r="A929" s="13"/>
      <c r="B929" s="13"/>
      <c r="C929" s="13"/>
      <c r="D929" s="17"/>
      <c r="E929" s="18"/>
      <c r="F929" s="17"/>
      <c r="G929" s="18"/>
      <c r="H929" s="13"/>
      <c r="I929" s="19">
        <f>IF($E929="","",IF($K929&lt;=0.005,"Pago",IF($D929="","Sem vencimento",IF($D929&lt;Hoje,"Vencida",IF($D929=Hoje,"Vence hoje",IF($D929-Hoje&lt;=DiasAlerta,"Vence em breve","A vencer"))))))</f>
        <v>0</v>
      </c>
      <c r="J929" s="20">
        <f>IF(OR($E929="",$D929=""),"",IF($K929&lt;=0.005,"",$D929-Hoje))</f>
        <v>0</v>
      </c>
      <c r="K929" s="21">
        <f>IF($E929="","",MAX(0,$E929-N($G929)))</f>
        <v>0</v>
      </c>
      <c r="L929" s="20">
        <f>IF($I929="Vencida","PAGAR JÁ (multa e juros)",IF($I929="Vence hoje","Pagar hoje",IF($I929="Vence em breve","Programar pagamento","")))</f>
        <v>0</v>
      </c>
    </row>
    <row r="930" spans="1:12">
      <c r="A930" s="13"/>
      <c r="B930" s="13"/>
      <c r="C930" s="13"/>
      <c r="D930" s="17"/>
      <c r="E930" s="18"/>
      <c r="F930" s="17"/>
      <c r="G930" s="18"/>
      <c r="H930" s="13"/>
      <c r="I930" s="19">
        <f>IF($E930="","",IF($K930&lt;=0.005,"Pago",IF($D930="","Sem vencimento",IF($D930&lt;Hoje,"Vencida",IF($D930=Hoje,"Vence hoje",IF($D930-Hoje&lt;=DiasAlerta,"Vence em breve","A vencer"))))))</f>
        <v>0</v>
      </c>
      <c r="J930" s="20">
        <f>IF(OR($E930="",$D930=""),"",IF($K930&lt;=0.005,"",$D930-Hoje))</f>
        <v>0</v>
      </c>
      <c r="K930" s="21">
        <f>IF($E930="","",MAX(0,$E930-N($G930)))</f>
        <v>0</v>
      </c>
      <c r="L930" s="20">
        <f>IF($I930="Vencida","PAGAR JÁ (multa e juros)",IF($I930="Vence hoje","Pagar hoje",IF($I930="Vence em breve","Programar pagamento","")))</f>
        <v>0</v>
      </c>
    </row>
    <row r="931" spans="1:12">
      <c r="A931" s="13"/>
      <c r="B931" s="13"/>
      <c r="C931" s="13"/>
      <c r="D931" s="17"/>
      <c r="E931" s="18"/>
      <c r="F931" s="17"/>
      <c r="G931" s="18"/>
      <c r="H931" s="13"/>
      <c r="I931" s="19">
        <f>IF($E931="","",IF($K931&lt;=0.005,"Pago",IF($D931="","Sem vencimento",IF($D931&lt;Hoje,"Vencida",IF($D931=Hoje,"Vence hoje",IF($D931-Hoje&lt;=DiasAlerta,"Vence em breve","A vencer"))))))</f>
        <v>0</v>
      </c>
      <c r="J931" s="20">
        <f>IF(OR($E931="",$D931=""),"",IF($K931&lt;=0.005,"",$D931-Hoje))</f>
        <v>0</v>
      </c>
      <c r="K931" s="21">
        <f>IF($E931="","",MAX(0,$E931-N($G931)))</f>
        <v>0</v>
      </c>
      <c r="L931" s="20">
        <f>IF($I931="Vencida","PAGAR JÁ (multa e juros)",IF($I931="Vence hoje","Pagar hoje",IF($I931="Vence em breve","Programar pagamento","")))</f>
        <v>0</v>
      </c>
    </row>
    <row r="932" spans="1:12">
      <c r="A932" s="13"/>
      <c r="B932" s="13"/>
      <c r="C932" s="13"/>
      <c r="D932" s="17"/>
      <c r="E932" s="18"/>
      <c r="F932" s="17"/>
      <c r="G932" s="18"/>
      <c r="H932" s="13"/>
      <c r="I932" s="19">
        <f>IF($E932="","",IF($K932&lt;=0.005,"Pago",IF($D932="","Sem vencimento",IF($D932&lt;Hoje,"Vencida",IF($D932=Hoje,"Vence hoje",IF($D932-Hoje&lt;=DiasAlerta,"Vence em breve","A vencer"))))))</f>
        <v>0</v>
      </c>
      <c r="J932" s="20">
        <f>IF(OR($E932="",$D932=""),"",IF($K932&lt;=0.005,"",$D932-Hoje))</f>
        <v>0</v>
      </c>
      <c r="K932" s="21">
        <f>IF($E932="","",MAX(0,$E932-N($G932)))</f>
        <v>0</v>
      </c>
      <c r="L932" s="20">
        <f>IF($I932="Vencida","PAGAR JÁ (multa e juros)",IF($I932="Vence hoje","Pagar hoje",IF($I932="Vence em breve","Programar pagamento","")))</f>
        <v>0</v>
      </c>
    </row>
    <row r="933" spans="1:12">
      <c r="A933" s="13"/>
      <c r="B933" s="13"/>
      <c r="C933" s="13"/>
      <c r="D933" s="17"/>
      <c r="E933" s="18"/>
      <c r="F933" s="17"/>
      <c r="G933" s="18"/>
      <c r="H933" s="13"/>
      <c r="I933" s="19">
        <f>IF($E933="","",IF($K933&lt;=0.005,"Pago",IF($D933="","Sem vencimento",IF($D933&lt;Hoje,"Vencida",IF($D933=Hoje,"Vence hoje",IF($D933-Hoje&lt;=DiasAlerta,"Vence em breve","A vencer"))))))</f>
        <v>0</v>
      </c>
      <c r="J933" s="20">
        <f>IF(OR($E933="",$D933=""),"",IF($K933&lt;=0.005,"",$D933-Hoje))</f>
        <v>0</v>
      </c>
      <c r="K933" s="21">
        <f>IF($E933="","",MAX(0,$E933-N($G933)))</f>
        <v>0</v>
      </c>
      <c r="L933" s="20">
        <f>IF($I933="Vencida","PAGAR JÁ (multa e juros)",IF($I933="Vence hoje","Pagar hoje",IF($I933="Vence em breve","Programar pagamento","")))</f>
        <v>0</v>
      </c>
    </row>
    <row r="934" spans="1:12">
      <c r="A934" s="13"/>
      <c r="B934" s="13"/>
      <c r="C934" s="13"/>
      <c r="D934" s="17"/>
      <c r="E934" s="18"/>
      <c r="F934" s="17"/>
      <c r="G934" s="18"/>
      <c r="H934" s="13"/>
      <c r="I934" s="19">
        <f>IF($E934="","",IF($K934&lt;=0.005,"Pago",IF($D934="","Sem vencimento",IF($D934&lt;Hoje,"Vencida",IF($D934=Hoje,"Vence hoje",IF($D934-Hoje&lt;=DiasAlerta,"Vence em breve","A vencer"))))))</f>
        <v>0</v>
      </c>
      <c r="J934" s="20">
        <f>IF(OR($E934="",$D934=""),"",IF($K934&lt;=0.005,"",$D934-Hoje))</f>
        <v>0</v>
      </c>
      <c r="K934" s="21">
        <f>IF($E934="","",MAX(0,$E934-N($G934)))</f>
        <v>0</v>
      </c>
      <c r="L934" s="20">
        <f>IF($I934="Vencida","PAGAR JÁ (multa e juros)",IF($I934="Vence hoje","Pagar hoje",IF($I934="Vence em breve","Programar pagamento","")))</f>
        <v>0</v>
      </c>
    </row>
    <row r="935" spans="1:12">
      <c r="A935" s="13"/>
      <c r="B935" s="13"/>
      <c r="C935" s="13"/>
      <c r="D935" s="17"/>
      <c r="E935" s="18"/>
      <c r="F935" s="17"/>
      <c r="G935" s="18"/>
      <c r="H935" s="13"/>
      <c r="I935" s="19">
        <f>IF($E935="","",IF($K935&lt;=0.005,"Pago",IF($D935="","Sem vencimento",IF($D935&lt;Hoje,"Vencida",IF($D935=Hoje,"Vence hoje",IF($D935-Hoje&lt;=DiasAlerta,"Vence em breve","A vencer"))))))</f>
        <v>0</v>
      </c>
      <c r="J935" s="20">
        <f>IF(OR($E935="",$D935=""),"",IF($K935&lt;=0.005,"",$D935-Hoje))</f>
        <v>0</v>
      </c>
      <c r="K935" s="21">
        <f>IF($E935="","",MAX(0,$E935-N($G935)))</f>
        <v>0</v>
      </c>
      <c r="L935" s="20">
        <f>IF($I935="Vencida","PAGAR JÁ (multa e juros)",IF($I935="Vence hoje","Pagar hoje",IF($I935="Vence em breve","Programar pagamento","")))</f>
        <v>0</v>
      </c>
    </row>
    <row r="936" spans="1:12">
      <c r="A936" s="13"/>
      <c r="B936" s="13"/>
      <c r="C936" s="13"/>
      <c r="D936" s="17"/>
      <c r="E936" s="18"/>
      <c r="F936" s="17"/>
      <c r="G936" s="18"/>
      <c r="H936" s="13"/>
      <c r="I936" s="19">
        <f>IF($E936="","",IF($K936&lt;=0.005,"Pago",IF($D936="","Sem vencimento",IF($D936&lt;Hoje,"Vencida",IF($D936=Hoje,"Vence hoje",IF($D936-Hoje&lt;=DiasAlerta,"Vence em breve","A vencer"))))))</f>
        <v>0</v>
      </c>
      <c r="J936" s="20">
        <f>IF(OR($E936="",$D936=""),"",IF($K936&lt;=0.005,"",$D936-Hoje))</f>
        <v>0</v>
      </c>
      <c r="K936" s="21">
        <f>IF($E936="","",MAX(0,$E936-N($G936)))</f>
        <v>0</v>
      </c>
      <c r="L936" s="20">
        <f>IF($I936="Vencida","PAGAR JÁ (multa e juros)",IF($I936="Vence hoje","Pagar hoje",IF($I936="Vence em breve","Programar pagamento","")))</f>
        <v>0</v>
      </c>
    </row>
    <row r="937" spans="1:12">
      <c r="A937" s="13"/>
      <c r="B937" s="13"/>
      <c r="C937" s="13"/>
      <c r="D937" s="17"/>
      <c r="E937" s="18"/>
      <c r="F937" s="17"/>
      <c r="G937" s="18"/>
      <c r="H937" s="13"/>
      <c r="I937" s="19">
        <f>IF($E937="","",IF($K937&lt;=0.005,"Pago",IF($D937="","Sem vencimento",IF($D937&lt;Hoje,"Vencida",IF($D937=Hoje,"Vence hoje",IF($D937-Hoje&lt;=DiasAlerta,"Vence em breve","A vencer"))))))</f>
        <v>0</v>
      </c>
      <c r="J937" s="20">
        <f>IF(OR($E937="",$D937=""),"",IF($K937&lt;=0.005,"",$D937-Hoje))</f>
        <v>0</v>
      </c>
      <c r="K937" s="21">
        <f>IF($E937="","",MAX(0,$E937-N($G937)))</f>
        <v>0</v>
      </c>
      <c r="L937" s="20">
        <f>IF($I937="Vencida","PAGAR JÁ (multa e juros)",IF($I937="Vence hoje","Pagar hoje",IF($I937="Vence em breve","Programar pagamento","")))</f>
        <v>0</v>
      </c>
    </row>
    <row r="938" spans="1:12">
      <c r="A938" s="13"/>
      <c r="B938" s="13"/>
      <c r="C938" s="13"/>
      <c r="D938" s="17"/>
      <c r="E938" s="18"/>
      <c r="F938" s="17"/>
      <c r="G938" s="18"/>
      <c r="H938" s="13"/>
      <c r="I938" s="19">
        <f>IF($E938="","",IF($K938&lt;=0.005,"Pago",IF($D938="","Sem vencimento",IF($D938&lt;Hoje,"Vencida",IF($D938=Hoje,"Vence hoje",IF($D938-Hoje&lt;=DiasAlerta,"Vence em breve","A vencer"))))))</f>
        <v>0</v>
      </c>
      <c r="J938" s="20">
        <f>IF(OR($E938="",$D938=""),"",IF($K938&lt;=0.005,"",$D938-Hoje))</f>
        <v>0</v>
      </c>
      <c r="K938" s="21">
        <f>IF($E938="","",MAX(0,$E938-N($G938)))</f>
        <v>0</v>
      </c>
      <c r="L938" s="20">
        <f>IF($I938="Vencida","PAGAR JÁ (multa e juros)",IF($I938="Vence hoje","Pagar hoje",IF($I938="Vence em breve","Programar pagamento","")))</f>
        <v>0</v>
      </c>
    </row>
    <row r="939" spans="1:12">
      <c r="A939" s="13"/>
      <c r="B939" s="13"/>
      <c r="C939" s="13"/>
      <c r="D939" s="17"/>
      <c r="E939" s="18"/>
      <c r="F939" s="17"/>
      <c r="G939" s="18"/>
      <c r="H939" s="13"/>
      <c r="I939" s="19">
        <f>IF($E939="","",IF($K939&lt;=0.005,"Pago",IF($D939="","Sem vencimento",IF($D939&lt;Hoje,"Vencida",IF($D939=Hoje,"Vence hoje",IF($D939-Hoje&lt;=DiasAlerta,"Vence em breve","A vencer"))))))</f>
        <v>0</v>
      </c>
      <c r="J939" s="20">
        <f>IF(OR($E939="",$D939=""),"",IF($K939&lt;=0.005,"",$D939-Hoje))</f>
        <v>0</v>
      </c>
      <c r="K939" s="21">
        <f>IF($E939="","",MAX(0,$E939-N($G939)))</f>
        <v>0</v>
      </c>
      <c r="L939" s="20">
        <f>IF($I939="Vencida","PAGAR JÁ (multa e juros)",IF($I939="Vence hoje","Pagar hoje",IF($I939="Vence em breve","Programar pagamento","")))</f>
        <v>0</v>
      </c>
    </row>
    <row r="940" spans="1:12">
      <c r="A940" s="13"/>
      <c r="B940" s="13"/>
      <c r="C940" s="13"/>
      <c r="D940" s="17"/>
      <c r="E940" s="18"/>
      <c r="F940" s="17"/>
      <c r="G940" s="18"/>
      <c r="H940" s="13"/>
      <c r="I940" s="19">
        <f>IF($E940="","",IF($K940&lt;=0.005,"Pago",IF($D940="","Sem vencimento",IF($D940&lt;Hoje,"Vencida",IF($D940=Hoje,"Vence hoje",IF($D940-Hoje&lt;=DiasAlerta,"Vence em breve","A vencer"))))))</f>
        <v>0</v>
      </c>
      <c r="J940" s="20">
        <f>IF(OR($E940="",$D940=""),"",IF($K940&lt;=0.005,"",$D940-Hoje))</f>
        <v>0</v>
      </c>
      <c r="K940" s="21">
        <f>IF($E940="","",MAX(0,$E940-N($G940)))</f>
        <v>0</v>
      </c>
      <c r="L940" s="20">
        <f>IF($I940="Vencida","PAGAR JÁ (multa e juros)",IF($I940="Vence hoje","Pagar hoje",IF($I940="Vence em breve","Programar pagamento","")))</f>
        <v>0</v>
      </c>
    </row>
    <row r="941" spans="1:12">
      <c r="A941" s="13"/>
      <c r="B941" s="13"/>
      <c r="C941" s="13"/>
      <c r="D941" s="17"/>
      <c r="E941" s="18"/>
      <c r="F941" s="17"/>
      <c r="G941" s="18"/>
      <c r="H941" s="13"/>
      <c r="I941" s="19">
        <f>IF($E941="","",IF($K941&lt;=0.005,"Pago",IF($D941="","Sem vencimento",IF($D941&lt;Hoje,"Vencida",IF($D941=Hoje,"Vence hoje",IF($D941-Hoje&lt;=DiasAlerta,"Vence em breve","A vencer"))))))</f>
        <v>0</v>
      </c>
      <c r="J941" s="20">
        <f>IF(OR($E941="",$D941=""),"",IF($K941&lt;=0.005,"",$D941-Hoje))</f>
        <v>0</v>
      </c>
      <c r="K941" s="21">
        <f>IF($E941="","",MAX(0,$E941-N($G941)))</f>
        <v>0</v>
      </c>
      <c r="L941" s="20">
        <f>IF($I941="Vencida","PAGAR JÁ (multa e juros)",IF($I941="Vence hoje","Pagar hoje",IF($I941="Vence em breve","Programar pagamento","")))</f>
        <v>0</v>
      </c>
    </row>
    <row r="942" spans="1:12">
      <c r="A942" s="13"/>
      <c r="B942" s="13"/>
      <c r="C942" s="13"/>
      <c r="D942" s="17"/>
      <c r="E942" s="18"/>
      <c r="F942" s="17"/>
      <c r="G942" s="18"/>
      <c r="H942" s="13"/>
      <c r="I942" s="19">
        <f>IF($E942="","",IF($K942&lt;=0.005,"Pago",IF($D942="","Sem vencimento",IF($D942&lt;Hoje,"Vencida",IF($D942=Hoje,"Vence hoje",IF($D942-Hoje&lt;=DiasAlerta,"Vence em breve","A vencer"))))))</f>
        <v>0</v>
      </c>
      <c r="J942" s="20">
        <f>IF(OR($E942="",$D942=""),"",IF($K942&lt;=0.005,"",$D942-Hoje))</f>
        <v>0</v>
      </c>
      <c r="K942" s="21">
        <f>IF($E942="","",MAX(0,$E942-N($G942)))</f>
        <v>0</v>
      </c>
      <c r="L942" s="20">
        <f>IF($I942="Vencida","PAGAR JÁ (multa e juros)",IF($I942="Vence hoje","Pagar hoje",IF($I942="Vence em breve","Programar pagamento","")))</f>
        <v>0</v>
      </c>
    </row>
    <row r="943" spans="1:12">
      <c r="A943" s="13"/>
      <c r="B943" s="13"/>
      <c r="C943" s="13"/>
      <c r="D943" s="17"/>
      <c r="E943" s="18"/>
      <c r="F943" s="17"/>
      <c r="G943" s="18"/>
      <c r="H943" s="13"/>
      <c r="I943" s="19">
        <f>IF($E943="","",IF($K943&lt;=0.005,"Pago",IF($D943="","Sem vencimento",IF($D943&lt;Hoje,"Vencida",IF($D943=Hoje,"Vence hoje",IF($D943-Hoje&lt;=DiasAlerta,"Vence em breve","A vencer"))))))</f>
        <v>0</v>
      </c>
      <c r="J943" s="20">
        <f>IF(OR($E943="",$D943=""),"",IF($K943&lt;=0.005,"",$D943-Hoje))</f>
        <v>0</v>
      </c>
      <c r="K943" s="21">
        <f>IF($E943="","",MAX(0,$E943-N($G943)))</f>
        <v>0</v>
      </c>
      <c r="L943" s="20">
        <f>IF($I943="Vencida","PAGAR JÁ (multa e juros)",IF($I943="Vence hoje","Pagar hoje",IF($I943="Vence em breve","Programar pagamento","")))</f>
        <v>0</v>
      </c>
    </row>
    <row r="944" spans="1:12">
      <c r="A944" s="13"/>
      <c r="B944" s="13"/>
      <c r="C944" s="13"/>
      <c r="D944" s="17"/>
      <c r="E944" s="18"/>
      <c r="F944" s="17"/>
      <c r="G944" s="18"/>
      <c r="H944" s="13"/>
      <c r="I944" s="19">
        <f>IF($E944="","",IF($K944&lt;=0.005,"Pago",IF($D944="","Sem vencimento",IF($D944&lt;Hoje,"Vencida",IF($D944=Hoje,"Vence hoje",IF($D944-Hoje&lt;=DiasAlerta,"Vence em breve","A vencer"))))))</f>
        <v>0</v>
      </c>
      <c r="J944" s="20">
        <f>IF(OR($E944="",$D944=""),"",IF($K944&lt;=0.005,"",$D944-Hoje))</f>
        <v>0</v>
      </c>
      <c r="K944" s="21">
        <f>IF($E944="","",MAX(0,$E944-N($G944)))</f>
        <v>0</v>
      </c>
      <c r="L944" s="20">
        <f>IF($I944="Vencida","PAGAR JÁ (multa e juros)",IF($I944="Vence hoje","Pagar hoje",IF($I944="Vence em breve","Programar pagamento","")))</f>
        <v>0</v>
      </c>
    </row>
    <row r="945" spans="1:12">
      <c r="A945" s="13"/>
      <c r="B945" s="13"/>
      <c r="C945" s="13"/>
      <c r="D945" s="17"/>
      <c r="E945" s="18"/>
      <c r="F945" s="17"/>
      <c r="G945" s="18"/>
      <c r="H945" s="13"/>
      <c r="I945" s="19">
        <f>IF($E945="","",IF($K945&lt;=0.005,"Pago",IF($D945="","Sem vencimento",IF($D945&lt;Hoje,"Vencida",IF($D945=Hoje,"Vence hoje",IF($D945-Hoje&lt;=DiasAlerta,"Vence em breve","A vencer"))))))</f>
        <v>0</v>
      </c>
      <c r="J945" s="20">
        <f>IF(OR($E945="",$D945=""),"",IF($K945&lt;=0.005,"",$D945-Hoje))</f>
        <v>0</v>
      </c>
      <c r="K945" s="21">
        <f>IF($E945="","",MAX(0,$E945-N($G945)))</f>
        <v>0</v>
      </c>
      <c r="L945" s="20">
        <f>IF($I945="Vencida","PAGAR JÁ (multa e juros)",IF($I945="Vence hoje","Pagar hoje",IF($I945="Vence em breve","Programar pagamento","")))</f>
        <v>0</v>
      </c>
    </row>
    <row r="946" spans="1:12">
      <c r="A946" s="13"/>
      <c r="B946" s="13"/>
      <c r="C946" s="13"/>
      <c r="D946" s="17"/>
      <c r="E946" s="18"/>
      <c r="F946" s="17"/>
      <c r="G946" s="18"/>
      <c r="H946" s="13"/>
      <c r="I946" s="19">
        <f>IF($E946="","",IF($K946&lt;=0.005,"Pago",IF($D946="","Sem vencimento",IF($D946&lt;Hoje,"Vencida",IF($D946=Hoje,"Vence hoje",IF($D946-Hoje&lt;=DiasAlerta,"Vence em breve","A vencer"))))))</f>
        <v>0</v>
      </c>
      <c r="J946" s="20">
        <f>IF(OR($E946="",$D946=""),"",IF($K946&lt;=0.005,"",$D946-Hoje))</f>
        <v>0</v>
      </c>
      <c r="K946" s="21">
        <f>IF($E946="","",MAX(0,$E946-N($G946)))</f>
        <v>0</v>
      </c>
      <c r="L946" s="20">
        <f>IF($I946="Vencida","PAGAR JÁ (multa e juros)",IF($I946="Vence hoje","Pagar hoje",IF($I946="Vence em breve","Programar pagamento","")))</f>
        <v>0</v>
      </c>
    </row>
    <row r="947" spans="1:12">
      <c r="A947" s="13"/>
      <c r="B947" s="13"/>
      <c r="C947" s="13"/>
      <c r="D947" s="17"/>
      <c r="E947" s="18"/>
      <c r="F947" s="17"/>
      <c r="G947" s="18"/>
      <c r="H947" s="13"/>
      <c r="I947" s="19">
        <f>IF($E947="","",IF($K947&lt;=0.005,"Pago",IF($D947="","Sem vencimento",IF($D947&lt;Hoje,"Vencida",IF($D947=Hoje,"Vence hoje",IF($D947-Hoje&lt;=DiasAlerta,"Vence em breve","A vencer"))))))</f>
        <v>0</v>
      </c>
      <c r="J947" s="20">
        <f>IF(OR($E947="",$D947=""),"",IF($K947&lt;=0.005,"",$D947-Hoje))</f>
        <v>0</v>
      </c>
      <c r="K947" s="21">
        <f>IF($E947="","",MAX(0,$E947-N($G947)))</f>
        <v>0</v>
      </c>
      <c r="L947" s="20">
        <f>IF($I947="Vencida","PAGAR JÁ (multa e juros)",IF($I947="Vence hoje","Pagar hoje",IF($I947="Vence em breve","Programar pagamento","")))</f>
        <v>0</v>
      </c>
    </row>
    <row r="948" spans="1:12">
      <c r="A948" s="13"/>
      <c r="B948" s="13"/>
      <c r="C948" s="13"/>
      <c r="D948" s="17"/>
      <c r="E948" s="18"/>
      <c r="F948" s="17"/>
      <c r="G948" s="18"/>
      <c r="H948" s="13"/>
      <c r="I948" s="19">
        <f>IF($E948="","",IF($K948&lt;=0.005,"Pago",IF($D948="","Sem vencimento",IF($D948&lt;Hoje,"Vencida",IF($D948=Hoje,"Vence hoje",IF($D948-Hoje&lt;=DiasAlerta,"Vence em breve","A vencer"))))))</f>
        <v>0</v>
      </c>
      <c r="J948" s="20">
        <f>IF(OR($E948="",$D948=""),"",IF($K948&lt;=0.005,"",$D948-Hoje))</f>
        <v>0</v>
      </c>
      <c r="K948" s="21">
        <f>IF($E948="","",MAX(0,$E948-N($G948)))</f>
        <v>0</v>
      </c>
      <c r="L948" s="20">
        <f>IF($I948="Vencida","PAGAR JÁ (multa e juros)",IF($I948="Vence hoje","Pagar hoje",IF($I948="Vence em breve","Programar pagamento","")))</f>
        <v>0</v>
      </c>
    </row>
    <row r="949" spans="1:12">
      <c r="A949" s="13"/>
      <c r="B949" s="13"/>
      <c r="C949" s="13"/>
      <c r="D949" s="17"/>
      <c r="E949" s="18"/>
      <c r="F949" s="17"/>
      <c r="G949" s="18"/>
      <c r="H949" s="13"/>
      <c r="I949" s="19">
        <f>IF($E949="","",IF($K949&lt;=0.005,"Pago",IF($D949="","Sem vencimento",IF($D949&lt;Hoje,"Vencida",IF($D949=Hoje,"Vence hoje",IF($D949-Hoje&lt;=DiasAlerta,"Vence em breve","A vencer"))))))</f>
        <v>0</v>
      </c>
      <c r="J949" s="20">
        <f>IF(OR($E949="",$D949=""),"",IF($K949&lt;=0.005,"",$D949-Hoje))</f>
        <v>0</v>
      </c>
      <c r="K949" s="21">
        <f>IF($E949="","",MAX(0,$E949-N($G949)))</f>
        <v>0</v>
      </c>
      <c r="L949" s="20">
        <f>IF($I949="Vencida","PAGAR JÁ (multa e juros)",IF($I949="Vence hoje","Pagar hoje",IF($I949="Vence em breve","Programar pagamento","")))</f>
        <v>0</v>
      </c>
    </row>
    <row r="950" spans="1:12">
      <c r="A950" s="13"/>
      <c r="B950" s="13"/>
      <c r="C950" s="13"/>
      <c r="D950" s="17"/>
      <c r="E950" s="18"/>
      <c r="F950" s="17"/>
      <c r="G950" s="18"/>
      <c r="H950" s="13"/>
      <c r="I950" s="19">
        <f>IF($E950="","",IF($K950&lt;=0.005,"Pago",IF($D950="","Sem vencimento",IF($D950&lt;Hoje,"Vencida",IF($D950=Hoje,"Vence hoje",IF($D950-Hoje&lt;=DiasAlerta,"Vence em breve","A vencer"))))))</f>
        <v>0</v>
      </c>
      <c r="J950" s="20">
        <f>IF(OR($E950="",$D950=""),"",IF($K950&lt;=0.005,"",$D950-Hoje))</f>
        <v>0</v>
      </c>
      <c r="K950" s="21">
        <f>IF($E950="","",MAX(0,$E950-N($G950)))</f>
        <v>0</v>
      </c>
      <c r="L950" s="20">
        <f>IF($I950="Vencida","PAGAR JÁ (multa e juros)",IF($I950="Vence hoje","Pagar hoje",IF($I950="Vence em breve","Programar pagamento","")))</f>
        <v>0</v>
      </c>
    </row>
    <row r="951" spans="1:12">
      <c r="A951" s="13"/>
      <c r="B951" s="13"/>
      <c r="C951" s="13"/>
      <c r="D951" s="17"/>
      <c r="E951" s="18"/>
      <c r="F951" s="17"/>
      <c r="G951" s="18"/>
      <c r="H951" s="13"/>
      <c r="I951" s="19">
        <f>IF($E951="","",IF($K951&lt;=0.005,"Pago",IF($D951="","Sem vencimento",IF($D951&lt;Hoje,"Vencida",IF($D951=Hoje,"Vence hoje",IF($D951-Hoje&lt;=DiasAlerta,"Vence em breve","A vencer"))))))</f>
        <v>0</v>
      </c>
      <c r="J951" s="20">
        <f>IF(OR($E951="",$D951=""),"",IF($K951&lt;=0.005,"",$D951-Hoje))</f>
        <v>0</v>
      </c>
      <c r="K951" s="21">
        <f>IF($E951="","",MAX(0,$E951-N($G951)))</f>
        <v>0</v>
      </c>
      <c r="L951" s="20">
        <f>IF($I951="Vencida","PAGAR JÁ (multa e juros)",IF($I951="Vence hoje","Pagar hoje",IF($I951="Vence em breve","Programar pagamento","")))</f>
        <v>0</v>
      </c>
    </row>
    <row r="952" spans="1:12">
      <c r="A952" s="13"/>
      <c r="B952" s="13"/>
      <c r="C952" s="13"/>
      <c r="D952" s="17"/>
      <c r="E952" s="18"/>
      <c r="F952" s="17"/>
      <c r="G952" s="18"/>
      <c r="H952" s="13"/>
      <c r="I952" s="19">
        <f>IF($E952="","",IF($K952&lt;=0.005,"Pago",IF($D952="","Sem vencimento",IF($D952&lt;Hoje,"Vencida",IF($D952=Hoje,"Vence hoje",IF($D952-Hoje&lt;=DiasAlerta,"Vence em breve","A vencer"))))))</f>
        <v>0</v>
      </c>
      <c r="J952" s="20">
        <f>IF(OR($E952="",$D952=""),"",IF($K952&lt;=0.005,"",$D952-Hoje))</f>
        <v>0</v>
      </c>
      <c r="K952" s="21">
        <f>IF($E952="","",MAX(0,$E952-N($G952)))</f>
        <v>0</v>
      </c>
      <c r="L952" s="20">
        <f>IF($I952="Vencida","PAGAR JÁ (multa e juros)",IF($I952="Vence hoje","Pagar hoje",IF($I952="Vence em breve","Programar pagamento","")))</f>
        <v>0</v>
      </c>
    </row>
    <row r="953" spans="1:12">
      <c r="A953" s="13"/>
      <c r="B953" s="13"/>
      <c r="C953" s="13"/>
      <c r="D953" s="17"/>
      <c r="E953" s="18"/>
      <c r="F953" s="17"/>
      <c r="G953" s="18"/>
      <c r="H953" s="13"/>
      <c r="I953" s="19">
        <f>IF($E953="","",IF($K953&lt;=0.005,"Pago",IF($D953="","Sem vencimento",IF($D953&lt;Hoje,"Vencida",IF($D953=Hoje,"Vence hoje",IF($D953-Hoje&lt;=DiasAlerta,"Vence em breve","A vencer"))))))</f>
        <v>0</v>
      </c>
      <c r="J953" s="20">
        <f>IF(OR($E953="",$D953=""),"",IF($K953&lt;=0.005,"",$D953-Hoje))</f>
        <v>0</v>
      </c>
      <c r="K953" s="21">
        <f>IF($E953="","",MAX(0,$E953-N($G953)))</f>
        <v>0</v>
      </c>
      <c r="L953" s="20">
        <f>IF($I953="Vencida","PAGAR JÁ (multa e juros)",IF($I953="Vence hoje","Pagar hoje",IF($I953="Vence em breve","Programar pagamento","")))</f>
        <v>0</v>
      </c>
    </row>
    <row r="954" spans="1:12">
      <c r="A954" s="13"/>
      <c r="B954" s="13"/>
      <c r="C954" s="13"/>
      <c r="D954" s="17"/>
      <c r="E954" s="18"/>
      <c r="F954" s="17"/>
      <c r="G954" s="18"/>
      <c r="H954" s="13"/>
      <c r="I954" s="19">
        <f>IF($E954="","",IF($K954&lt;=0.005,"Pago",IF($D954="","Sem vencimento",IF($D954&lt;Hoje,"Vencida",IF($D954=Hoje,"Vence hoje",IF($D954-Hoje&lt;=DiasAlerta,"Vence em breve","A vencer"))))))</f>
        <v>0</v>
      </c>
      <c r="J954" s="20">
        <f>IF(OR($E954="",$D954=""),"",IF($K954&lt;=0.005,"",$D954-Hoje))</f>
        <v>0</v>
      </c>
      <c r="K954" s="21">
        <f>IF($E954="","",MAX(0,$E954-N($G954)))</f>
        <v>0</v>
      </c>
      <c r="L954" s="20">
        <f>IF($I954="Vencida","PAGAR JÁ (multa e juros)",IF($I954="Vence hoje","Pagar hoje",IF($I954="Vence em breve","Programar pagamento","")))</f>
        <v>0</v>
      </c>
    </row>
    <row r="955" spans="1:12">
      <c r="A955" s="13"/>
      <c r="B955" s="13"/>
      <c r="C955" s="13"/>
      <c r="D955" s="17"/>
      <c r="E955" s="18"/>
      <c r="F955" s="17"/>
      <c r="G955" s="18"/>
      <c r="H955" s="13"/>
      <c r="I955" s="19">
        <f>IF($E955="","",IF($K955&lt;=0.005,"Pago",IF($D955="","Sem vencimento",IF($D955&lt;Hoje,"Vencida",IF($D955=Hoje,"Vence hoje",IF($D955-Hoje&lt;=DiasAlerta,"Vence em breve","A vencer"))))))</f>
        <v>0</v>
      </c>
      <c r="J955" s="20">
        <f>IF(OR($E955="",$D955=""),"",IF($K955&lt;=0.005,"",$D955-Hoje))</f>
        <v>0</v>
      </c>
      <c r="K955" s="21">
        <f>IF($E955="","",MAX(0,$E955-N($G955)))</f>
        <v>0</v>
      </c>
      <c r="L955" s="20">
        <f>IF($I955="Vencida","PAGAR JÁ (multa e juros)",IF($I955="Vence hoje","Pagar hoje",IF($I955="Vence em breve","Programar pagamento","")))</f>
        <v>0</v>
      </c>
    </row>
    <row r="956" spans="1:12">
      <c r="A956" s="13"/>
      <c r="B956" s="13"/>
      <c r="C956" s="13"/>
      <c r="D956" s="17"/>
      <c r="E956" s="18"/>
      <c r="F956" s="17"/>
      <c r="G956" s="18"/>
      <c r="H956" s="13"/>
      <c r="I956" s="19">
        <f>IF($E956="","",IF($K956&lt;=0.005,"Pago",IF($D956="","Sem vencimento",IF($D956&lt;Hoje,"Vencida",IF($D956=Hoje,"Vence hoje",IF($D956-Hoje&lt;=DiasAlerta,"Vence em breve","A vencer"))))))</f>
        <v>0</v>
      </c>
      <c r="J956" s="20">
        <f>IF(OR($E956="",$D956=""),"",IF($K956&lt;=0.005,"",$D956-Hoje))</f>
        <v>0</v>
      </c>
      <c r="K956" s="21">
        <f>IF($E956="","",MAX(0,$E956-N($G956)))</f>
        <v>0</v>
      </c>
      <c r="L956" s="20">
        <f>IF($I956="Vencida","PAGAR JÁ (multa e juros)",IF($I956="Vence hoje","Pagar hoje",IF($I956="Vence em breve","Programar pagamento","")))</f>
        <v>0</v>
      </c>
    </row>
    <row r="957" spans="1:12">
      <c r="A957" s="13"/>
      <c r="B957" s="13"/>
      <c r="C957" s="13"/>
      <c r="D957" s="17"/>
      <c r="E957" s="18"/>
      <c r="F957" s="17"/>
      <c r="G957" s="18"/>
      <c r="H957" s="13"/>
      <c r="I957" s="19">
        <f>IF($E957="","",IF($K957&lt;=0.005,"Pago",IF($D957="","Sem vencimento",IF($D957&lt;Hoje,"Vencida",IF($D957=Hoje,"Vence hoje",IF($D957-Hoje&lt;=DiasAlerta,"Vence em breve","A vencer"))))))</f>
        <v>0</v>
      </c>
      <c r="J957" s="20">
        <f>IF(OR($E957="",$D957=""),"",IF($K957&lt;=0.005,"",$D957-Hoje))</f>
        <v>0</v>
      </c>
      <c r="K957" s="21">
        <f>IF($E957="","",MAX(0,$E957-N($G957)))</f>
        <v>0</v>
      </c>
      <c r="L957" s="20">
        <f>IF($I957="Vencida","PAGAR JÁ (multa e juros)",IF($I957="Vence hoje","Pagar hoje",IF($I957="Vence em breve","Programar pagamento","")))</f>
        <v>0</v>
      </c>
    </row>
    <row r="958" spans="1:12">
      <c r="A958" s="13"/>
      <c r="B958" s="13"/>
      <c r="C958" s="13"/>
      <c r="D958" s="17"/>
      <c r="E958" s="18"/>
      <c r="F958" s="17"/>
      <c r="G958" s="18"/>
      <c r="H958" s="13"/>
      <c r="I958" s="19">
        <f>IF($E958="","",IF($K958&lt;=0.005,"Pago",IF($D958="","Sem vencimento",IF($D958&lt;Hoje,"Vencida",IF($D958=Hoje,"Vence hoje",IF($D958-Hoje&lt;=DiasAlerta,"Vence em breve","A vencer"))))))</f>
        <v>0</v>
      </c>
      <c r="J958" s="20">
        <f>IF(OR($E958="",$D958=""),"",IF($K958&lt;=0.005,"",$D958-Hoje))</f>
        <v>0</v>
      </c>
      <c r="K958" s="21">
        <f>IF($E958="","",MAX(0,$E958-N($G958)))</f>
        <v>0</v>
      </c>
      <c r="L958" s="20">
        <f>IF($I958="Vencida","PAGAR JÁ (multa e juros)",IF($I958="Vence hoje","Pagar hoje",IF($I958="Vence em breve","Programar pagamento","")))</f>
        <v>0</v>
      </c>
    </row>
    <row r="959" spans="1:12">
      <c r="A959" s="13"/>
      <c r="B959" s="13"/>
      <c r="C959" s="13"/>
      <c r="D959" s="17"/>
      <c r="E959" s="18"/>
      <c r="F959" s="17"/>
      <c r="G959" s="18"/>
      <c r="H959" s="13"/>
      <c r="I959" s="19">
        <f>IF($E959="","",IF($K959&lt;=0.005,"Pago",IF($D959="","Sem vencimento",IF($D959&lt;Hoje,"Vencida",IF($D959=Hoje,"Vence hoje",IF($D959-Hoje&lt;=DiasAlerta,"Vence em breve","A vencer"))))))</f>
        <v>0</v>
      </c>
      <c r="J959" s="20">
        <f>IF(OR($E959="",$D959=""),"",IF($K959&lt;=0.005,"",$D959-Hoje))</f>
        <v>0</v>
      </c>
      <c r="K959" s="21">
        <f>IF($E959="","",MAX(0,$E959-N($G959)))</f>
        <v>0</v>
      </c>
      <c r="L959" s="20">
        <f>IF($I959="Vencida","PAGAR JÁ (multa e juros)",IF($I959="Vence hoje","Pagar hoje",IF($I959="Vence em breve","Programar pagamento","")))</f>
        <v>0</v>
      </c>
    </row>
    <row r="960" spans="1:12">
      <c r="A960" s="13"/>
      <c r="B960" s="13"/>
      <c r="C960" s="13"/>
      <c r="D960" s="17"/>
      <c r="E960" s="18"/>
      <c r="F960" s="17"/>
      <c r="G960" s="18"/>
      <c r="H960" s="13"/>
      <c r="I960" s="19">
        <f>IF($E960="","",IF($K960&lt;=0.005,"Pago",IF($D960="","Sem vencimento",IF($D960&lt;Hoje,"Vencida",IF($D960=Hoje,"Vence hoje",IF($D960-Hoje&lt;=DiasAlerta,"Vence em breve","A vencer"))))))</f>
        <v>0</v>
      </c>
      <c r="J960" s="20">
        <f>IF(OR($E960="",$D960=""),"",IF($K960&lt;=0.005,"",$D960-Hoje))</f>
        <v>0</v>
      </c>
      <c r="K960" s="21">
        <f>IF($E960="","",MAX(0,$E960-N($G960)))</f>
        <v>0</v>
      </c>
      <c r="L960" s="20">
        <f>IF($I960="Vencida","PAGAR JÁ (multa e juros)",IF($I960="Vence hoje","Pagar hoje",IF($I960="Vence em breve","Programar pagamento","")))</f>
        <v>0</v>
      </c>
    </row>
    <row r="961" spans="1:12">
      <c r="A961" s="13"/>
      <c r="B961" s="13"/>
      <c r="C961" s="13"/>
      <c r="D961" s="17"/>
      <c r="E961" s="18"/>
      <c r="F961" s="17"/>
      <c r="G961" s="18"/>
      <c r="H961" s="13"/>
      <c r="I961" s="19">
        <f>IF($E961="","",IF($K961&lt;=0.005,"Pago",IF($D961="","Sem vencimento",IF($D961&lt;Hoje,"Vencida",IF($D961=Hoje,"Vence hoje",IF($D961-Hoje&lt;=DiasAlerta,"Vence em breve","A vencer"))))))</f>
        <v>0</v>
      </c>
      <c r="J961" s="20">
        <f>IF(OR($E961="",$D961=""),"",IF($K961&lt;=0.005,"",$D961-Hoje))</f>
        <v>0</v>
      </c>
      <c r="K961" s="21">
        <f>IF($E961="","",MAX(0,$E961-N($G961)))</f>
        <v>0</v>
      </c>
      <c r="L961" s="20">
        <f>IF($I961="Vencida","PAGAR JÁ (multa e juros)",IF($I961="Vence hoje","Pagar hoje",IF($I961="Vence em breve","Programar pagamento","")))</f>
        <v>0</v>
      </c>
    </row>
    <row r="962" spans="1:12">
      <c r="A962" s="13"/>
      <c r="B962" s="13"/>
      <c r="C962" s="13"/>
      <c r="D962" s="17"/>
      <c r="E962" s="18"/>
      <c r="F962" s="17"/>
      <c r="G962" s="18"/>
      <c r="H962" s="13"/>
      <c r="I962" s="19">
        <f>IF($E962="","",IF($K962&lt;=0.005,"Pago",IF($D962="","Sem vencimento",IF($D962&lt;Hoje,"Vencida",IF($D962=Hoje,"Vence hoje",IF($D962-Hoje&lt;=DiasAlerta,"Vence em breve","A vencer"))))))</f>
        <v>0</v>
      </c>
      <c r="J962" s="20">
        <f>IF(OR($E962="",$D962=""),"",IF($K962&lt;=0.005,"",$D962-Hoje))</f>
        <v>0</v>
      </c>
      <c r="K962" s="21">
        <f>IF($E962="","",MAX(0,$E962-N($G962)))</f>
        <v>0</v>
      </c>
      <c r="L962" s="20">
        <f>IF($I962="Vencida","PAGAR JÁ (multa e juros)",IF($I962="Vence hoje","Pagar hoje",IF($I962="Vence em breve","Programar pagamento","")))</f>
        <v>0</v>
      </c>
    </row>
    <row r="963" spans="1:12">
      <c r="A963" s="13"/>
      <c r="B963" s="13"/>
      <c r="C963" s="13"/>
      <c r="D963" s="17"/>
      <c r="E963" s="18"/>
      <c r="F963" s="17"/>
      <c r="G963" s="18"/>
      <c r="H963" s="13"/>
      <c r="I963" s="19">
        <f>IF($E963="","",IF($K963&lt;=0.005,"Pago",IF($D963="","Sem vencimento",IF($D963&lt;Hoje,"Vencida",IF($D963=Hoje,"Vence hoje",IF($D963-Hoje&lt;=DiasAlerta,"Vence em breve","A vencer"))))))</f>
        <v>0</v>
      </c>
      <c r="J963" s="20">
        <f>IF(OR($E963="",$D963=""),"",IF($K963&lt;=0.005,"",$D963-Hoje))</f>
        <v>0</v>
      </c>
      <c r="K963" s="21">
        <f>IF($E963="","",MAX(0,$E963-N($G963)))</f>
        <v>0</v>
      </c>
      <c r="L963" s="20">
        <f>IF($I963="Vencida","PAGAR JÁ (multa e juros)",IF($I963="Vence hoje","Pagar hoje",IF($I963="Vence em breve","Programar pagamento","")))</f>
        <v>0</v>
      </c>
    </row>
    <row r="964" spans="1:12">
      <c r="A964" s="13"/>
      <c r="B964" s="13"/>
      <c r="C964" s="13"/>
      <c r="D964" s="17"/>
      <c r="E964" s="18"/>
      <c r="F964" s="17"/>
      <c r="G964" s="18"/>
      <c r="H964" s="13"/>
      <c r="I964" s="19">
        <f>IF($E964="","",IF($K964&lt;=0.005,"Pago",IF($D964="","Sem vencimento",IF($D964&lt;Hoje,"Vencida",IF($D964=Hoje,"Vence hoje",IF($D964-Hoje&lt;=DiasAlerta,"Vence em breve","A vencer"))))))</f>
        <v>0</v>
      </c>
      <c r="J964" s="20">
        <f>IF(OR($E964="",$D964=""),"",IF($K964&lt;=0.005,"",$D964-Hoje))</f>
        <v>0</v>
      </c>
      <c r="K964" s="21">
        <f>IF($E964="","",MAX(0,$E964-N($G964)))</f>
        <v>0</v>
      </c>
      <c r="L964" s="20">
        <f>IF($I964="Vencida","PAGAR JÁ (multa e juros)",IF($I964="Vence hoje","Pagar hoje",IF($I964="Vence em breve","Programar pagamento","")))</f>
        <v>0</v>
      </c>
    </row>
    <row r="965" spans="1:12">
      <c r="A965" s="13"/>
      <c r="B965" s="13"/>
      <c r="C965" s="13"/>
      <c r="D965" s="17"/>
      <c r="E965" s="18"/>
      <c r="F965" s="17"/>
      <c r="G965" s="18"/>
      <c r="H965" s="13"/>
      <c r="I965" s="19">
        <f>IF($E965="","",IF($K965&lt;=0.005,"Pago",IF($D965="","Sem vencimento",IF($D965&lt;Hoje,"Vencida",IF($D965=Hoje,"Vence hoje",IF($D965-Hoje&lt;=DiasAlerta,"Vence em breve","A vencer"))))))</f>
        <v>0</v>
      </c>
      <c r="J965" s="20">
        <f>IF(OR($E965="",$D965=""),"",IF($K965&lt;=0.005,"",$D965-Hoje))</f>
        <v>0</v>
      </c>
      <c r="K965" s="21">
        <f>IF($E965="","",MAX(0,$E965-N($G965)))</f>
        <v>0</v>
      </c>
      <c r="L965" s="20">
        <f>IF($I965="Vencida","PAGAR JÁ (multa e juros)",IF($I965="Vence hoje","Pagar hoje",IF($I965="Vence em breve","Programar pagamento","")))</f>
        <v>0</v>
      </c>
    </row>
    <row r="966" spans="1:12">
      <c r="A966" s="13"/>
      <c r="B966" s="13"/>
      <c r="C966" s="13"/>
      <c r="D966" s="17"/>
      <c r="E966" s="18"/>
      <c r="F966" s="17"/>
      <c r="G966" s="18"/>
      <c r="H966" s="13"/>
      <c r="I966" s="19">
        <f>IF($E966="","",IF($K966&lt;=0.005,"Pago",IF($D966="","Sem vencimento",IF($D966&lt;Hoje,"Vencida",IF($D966=Hoje,"Vence hoje",IF($D966-Hoje&lt;=DiasAlerta,"Vence em breve","A vencer"))))))</f>
        <v>0</v>
      </c>
      <c r="J966" s="20">
        <f>IF(OR($E966="",$D966=""),"",IF($K966&lt;=0.005,"",$D966-Hoje))</f>
        <v>0</v>
      </c>
      <c r="K966" s="21">
        <f>IF($E966="","",MAX(0,$E966-N($G966)))</f>
        <v>0</v>
      </c>
      <c r="L966" s="20">
        <f>IF($I966="Vencida","PAGAR JÁ (multa e juros)",IF($I966="Vence hoje","Pagar hoje",IF($I966="Vence em breve","Programar pagamento","")))</f>
        <v>0</v>
      </c>
    </row>
    <row r="967" spans="1:12">
      <c r="A967" s="13"/>
      <c r="B967" s="13"/>
      <c r="C967" s="13"/>
      <c r="D967" s="17"/>
      <c r="E967" s="18"/>
      <c r="F967" s="17"/>
      <c r="G967" s="18"/>
      <c r="H967" s="13"/>
      <c r="I967" s="19">
        <f>IF($E967="","",IF($K967&lt;=0.005,"Pago",IF($D967="","Sem vencimento",IF($D967&lt;Hoje,"Vencida",IF($D967=Hoje,"Vence hoje",IF($D967-Hoje&lt;=DiasAlerta,"Vence em breve","A vencer"))))))</f>
        <v>0</v>
      </c>
      <c r="J967" s="20">
        <f>IF(OR($E967="",$D967=""),"",IF($K967&lt;=0.005,"",$D967-Hoje))</f>
        <v>0</v>
      </c>
      <c r="K967" s="21">
        <f>IF($E967="","",MAX(0,$E967-N($G967)))</f>
        <v>0</v>
      </c>
      <c r="L967" s="20">
        <f>IF($I967="Vencida","PAGAR JÁ (multa e juros)",IF($I967="Vence hoje","Pagar hoje",IF($I967="Vence em breve","Programar pagamento","")))</f>
        <v>0</v>
      </c>
    </row>
    <row r="968" spans="1:12">
      <c r="A968" s="13"/>
      <c r="B968" s="13"/>
      <c r="C968" s="13"/>
      <c r="D968" s="17"/>
      <c r="E968" s="18"/>
      <c r="F968" s="17"/>
      <c r="G968" s="18"/>
      <c r="H968" s="13"/>
      <c r="I968" s="19">
        <f>IF($E968="","",IF($K968&lt;=0.005,"Pago",IF($D968="","Sem vencimento",IF($D968&lt;Hoje,"Vencida",IF($D968=Hoje,"Vence hoje",IF($D968-Hoje&lt;=DiasAlerta,"Vence em breve","A vencer"))))))</f>
        <v>0</v>
      </c>
      <c r="J968" s="20">
        <f>IF(OR($E968="",$D968=""),"",IF($K968&lt;=0.005,"",$D968-Hoje))</f>
        <v>0</v>
      </c>
      <c r="K968" s="21">
        <f>IF($E968="","",MAX(0,$E968-N($G968)))</f>
        <v>0</v>
      </c>
      <c r="L968" s="20">
        <f>IF($I968="Vencida","PAGAR JÁ (multa e juros)",IF($I968="Vence hoje","Pagar hoje",IF($I968="Vence em breve","Programar pagamento","")))</f>
        <v>0</v>
      </c>
    </row>
    <row r="969" spans="1:12">
      <c r="A969" s="13"/>
      <c r="B969" s="13"/>
      <c r="C969" s="13"/>
      <c r="D969" s="17"/>
      <c r="E969" s="18"/>
      <c r="F969" s="17"/>
      <c r="G969" s="18"/>
      <c r="H969" s="13"/>
      <c r="I969" s="19">
        <f>IF($E969="","",IF($K969&lt;=0.005,"Pago",IF($D969="","Sem vencimento",IF($D969&lt;Hoje,"Vencida",IF($D969=Hoje,"Vence hoje",IF($D969-Hoje&lt;=DiasAlerta,"Vence em breve","A vencer"))))))</f>
        <v>0</v>
      </c>
      <c r="J969" s="20">
        <f>IF(OR($E969="",$D969=""),"",IF($K969&lt;=0.005,"",$D969-Hoje))</f>
        <v>0</v>
      </c>
      <c r="K969" s="21">
        <f>IF($E969="","",MAX(0,$E969-N($G969)))</f>
        <v>0</v>
      </c>
      <c r="L969" s="20">
        <f>IF($I969="Vencida","PAGAR JÁ (multa e juros)",IF($I969="Vence hoje","Pagar hoje",IF($I969="Vence em breve","Programar pagamento","")))</f>
        <v>0</v>
      </c>
    </row>
    <row r="970" spans="1:12">
      <c r="A970" s="13"/>
      <c r="B970" s="13"/>
      <c r="C970" s="13"/>
      <c r="D970" s="17"/>
      <c r="E970" s="18"/>
      <c r="F970" s="17"/>
      <c r="G970" s="18"/>
      <c r="H970" s="13"/>
      <c r="I970" s="19">
        <f>IF($E970="","",IF($K970&lt;=0.005,"Pago",IF($D970="","Sem vencimento",IF($D970&lt;Hoje,"Vencida",IF($D970=Hoje,"Vence hoje",IF($D970-Hoje&lt;=DiasAlerta,"Vence em breve","A vencer"))))))</f>
        <v>0</v>
      </c>
      <c r="J970" s="20">
        <f>IF(OR($E970="",$D970=""),"",IF($K970&lt;=0.005,"",$D970-Hoje))</f>
        <v>0</v>
      </c>
      <c r="K970" s="21">
        <f>IF($E970="","",MAX(0,$E970-N($G970)))</f>
        <v>0</v>
      </c>
      <c r="L970" s="20">
        <f>IF($I970="Vencida","PAGAR JÁ (multa e juros)",IF($I970="Vence hoje","Pagar hoje",IF($I970="Vence em breve","Programar pagamento","")))</f>
        <v>0</v>
      </c>
    </row>
    <row r="971" spans="1:12">
      <c r="A971" s="13"/>
      <c r="B971" s="13"/>
      <c r="C971" s="13"/>
      <c r="D971" s="17"/>
      <c r="E971" s="18"/>
      <c r="F971" s="17"/>
      <c r="G971" s="18"/>
      <c r="H971" s="13"/>
      <c r="I971" s="19">
        <f>IF($E971="","",IF($K971&lt;=0.005,"Pago",IF($D971="","Sem vencimento",IF($D971&lt;Hoje,"Vencida",IF($D971=Hoje,"Vence hoje",IF($D971-Hoje&lt;=DiasAlerta,"Vence em breve","A vencer"))))))</f>
        <v>0</v>
      </c>
      <c r="J971" s="20">
        <f>IF(OR($E971="",$D971=""),"",IF($K971&lt;=0.005,"",$D971-Hoje))</f>
        <v>0</v>
      </c>
      <c r="K971" s="21">
        <f>IF($E971="","",MAX(0,$E971-N($G971)))</f>
        <v>0</v>
      </c>
      <c r="L971" s="20">
        <f>IF($I971="Vencida","PAGAR JÁ (multa e juros)",IF($I971="Vence hoje","Pagar hoje",IF($I971="Vence em breve","Programar pagamento","")))</f>
        <v>0</v>
      </c>
    </row>
    <row r="972" spans="1:12">
      <c r="A972" s="13"/>
      <c r="B972" s="13"/>
      <c r="C972" s="13"/>
      <c r="D972" s="17"/>
      <c r="E972" s="18"/>
      <c r="F972" s="17"/>
      <c r="G972" s="18"/>
      <c r="H972" s="13"/>
      <c r="I972" s="19">
        <f>IF($E972="","",IF($K972&lt;=0.005,"Pago",IF($D972="","Sem vencimento",IF($D972&lt;Hoje,"Vencida",IF($D972=Hoje,"Vence hoje",IF($D972-Hoje&lt;=DiasAlerta,"Vence em breve","A vencer"))))))</f>
        <v>0</v>
      </c>
      <c r="J972" s="20">
        <f>IF(OR($E972="",$D972=""),"",IF($K972&lt;=0.005,"",$D972-Hoje))</f>
        <v>0</v>
      </c>
      <c r="K972" s="21">
        <f>IF($E972="","",MAX(0,$E972-N($G972)))</f>
        <v>0</v>
      </c>
      <c r="L972" s="20">
        <f>IF($I972="Vencida","PAGAR JÁ (multa e juros)",IF($I972="Vence hoje","Pagar hoje",IF($I972="Vence em breve","Programar pagamento","")))</f>
        <v>0</v>
      </c>
    </row>
    <row r="973" spans="1:12">
      <c r="A973" s="13"/>
      <c r="B973" s="13"/>
      <c r="C973" s="13"/>
      <c r="D973" s="17"/>
      <c r="E973" s="18"/>
      <c r="F973" s="17"/>
      <c r="G973" s="18"/>
      <c r="H973" s="13"/>
      <c r="I973" s="19">
        <f>IF($E973="","",IF($K973&lt;=0.005,"Pago",IF($D973="","Sem vencimento",IF($D973&lt;Hoje,"Vencida",IF($D973=Hoje,"Vence hoje",IF($D973-Hoje&lt;=DiasAlerta,"Vence em breve","A vencer"))))))</f>
        <v>0</v>
      </c>
      <c r="J973" s="20">
        <f>IF(OR($E973="",$D973=""),"",IF($K973&lt;=0.005,"",$D973-Hoje))</f>
        <v>0</v>
      </c>
      <c r="K973" s="21">
        <f>IF($E973="","",MAX(0,$E973-N($G973)))</f>
        <v>0</v>
      </c>
      <c r="L973" s="20">
        <f>IF($I973="Vencida","PAGAR JÁ (multa e juros)",IF($I973="Vence hoje","Pagar hoje",IF($I973="Vence em breve","Programar pagamento","")))</f>
        <v>0</v>
      </c>
    </row>
    <row r="974" spans="1:12">
      <c r="A974" s="13"/>
      <c r="B974" s="13"/>
      <c r="C974" s="13"/>
      <c r="D974" s="17"/>
      <c r="E974" s="18"/>
      <c r="F974" s="17"/>
      <c r="G974" s="18"/>
      <c r="H974" s="13"/>
      <c r="I974" s="19">
        <f>IF($E974="","",IF($K974&lt;=0.005,"Pago",IF($D974="","Sem vencimento",IF($D974&lt;Hoje,"Vencida",IF($D974=Hoje,"Vence hoje",IF($D974-Hoje&lt;=DiasAlerta,"Vence em breve","A vencer"))))))</f>
        <v>0</v>
      </c>
      <c r="J974" s="20">
        <f>IF(OR($E974="",$D974=""),"",IF($K974&lt;=0.005,"",$D974-Hoje))</f>
        <v>0</v>
      </c>
      <c r="K974" s="21">
        <f>IF($E974="","",MAX(0,$E974-N($G974)))</f>
        <v>0</v>
      </c>
      <c r="L974" s="20">
        <f>IF($I974="Vencida","PAGAR JÁ (multa e juros)",IF($I974="Vence hoje","Pagar hoje",IF($I974="Vence em breve","Programar pagamento","")))</f>
        <v>0</v>
      </c>
    </row>
    <row r="975" spans="1:12">
      <c r="A975" s="13"/>
      <c r="B975" s="13"/>
      <c r="C975" s="13"/>
      <c r="D975" s="17"/>
      <c r="E975" s="18"/>
      <c r="F975" s="17"/>
      <c r="G975" s="18"/>
      <c r="H975" s="13"/>
      <c r="I975" s="19">
        <f>IF($E975="","",IF($K975&lt;=0.005,"Pago",IF($D975="","Sem vencimento",IF($D975&lt;Hoje,"Vencida",IF($D975=Hoje,"Vence hoje",IF($D975-Hoje&lt;=DiasAlerta,"Vence em breve","A vencer"))))))</f>
        <v>0</v>
      </c>
      <c r="J975" s="20">
        <f>IF(OR($E975="",$D975=""),"",IF($K975&lt;=0.005,"",$D975-Hoje))</f>
        <v>0</v>
      </c>
      <c r="K975" s="21">
        <f>IF($E975="","",MAX(0,$E975-N($G975)))</f>
        <v>0</v>
      </c>
      <c r="L975" s="20">
        <f>IF($I975="Vencida","PAGAR JÁ (multa e juros)",IF($I975="Vence hoje","Pagar hoje",IF($I975="Vence em breve","Programar pagamento","")))</f>
        <v>0</v>
      </c>
    </row>
    <row r="976" spans="1:12">
      <c r="A976" s="13"/>
      <c r="B976" s="13"/>
      <c r="C976" s="13"/>
      <c r="D976" s="17"/>
      <c r="E976" s="18"/>
      <c r="F976" s="17"/>
      <c r="G976" s="18"/>
      <c r="H976" s="13"/>
      <c r="I976" s="19">
        <f>IF($E976="","",IF($K976&lt;=0.005,"Pago",IF($D976="","Sem vencimento",IF($D976&lt;Hoje,"Vencida",IF($D976=Hoje,"Vence hoje",IF($D976-Hoje&lt;=DiasAlerta,"Vence em breve","A vencer"))))))</f>
        <v>0</v>
      </c>
      <c r="J976" s="20">
        <f>IF(OR($E976="",$D976=""),"",IF($K976&lt;=0.005,"",$D976-Hoje))</f>
        <v>0</v>
      </c>
      <c r="K976" s="21">
        <f>IF($E976="","",MAX(0,$E976-N($G976)))</f>
        <v>0</v>
      </c>
      <c r="L976" s="20">
        <f>IF($I976="Vencida","PAGAR JÁ (multa e juros)",IF($I976="Vence hoje","Pagar hoje",IF($I976="Vence em breve","Programar pagamento","")))</f>
        <v>0</v>
      </c>
    </row>
    <row r="977" spans="1:12">
      <c r="A977" s="13"/>
      <c r="B977" s="13"/>
      <c r="C977" s="13"/>
      <c r="D977" s="17"/>
      <c r="E977" s="18"/>
      <c r="F977" s="17"/>
      <c r="G977" s="18"/>
      <c r="H977" s="13"/>
      <c r="I977" s="19">
        <f>IF($E977="","",IF($K977&lt;=0.005,"Pago",IF($D977="","Sem vencimento",IF($D977&lt;Hoje,"Vencida",IF($D977=Hoje,"Vence hoje",IF($D977-Hoje&lt;=DiasAlerta,"Vence em breve","A vencer"))))))</f>
        <v>0</v>
      </c>
      <c r="J977" s="20">
        <f>IF(OR($E977="",$D977=""),"",IF($K977&lt;=0.005,"",$D977-Hoje))</f>
        <v>0</v>
      </c>
      <c r="K977" s="21">
        <f>IF($E977="","",MAX(0,$E977-N($G977)))</f>
        <v>0</v>
      </c>
      <c r="L977" s="20">
        <f>IF($I977="Vencida","PAGAR JÁ (multa e juros)",IF($I977="Vence hoje","Pagar hoje",IF($I977="Vence em breve","Programar pagamento","")))</f>
        <v>0</v>
      </c>
    </row>
    <row r="978" spans="1:12">
      <c r="A978" s="13"/>
      <c r="B978" s="13"/>
      <c r="C978" s="13"/>
      <c r="D978" s="17"/>
      <c r="E978" s="18"/>
      <c r="F978" s="17"/>
      <c r="G978" s="18"/>
      <c r="H978" s="13"/>
      <c r="I978" s="19">
        <f>IF($E978="","",IF($K978&lt;=0.005,"Pago",IF($D978="","Sem vencimento",IF($D978&lt;Hoje,"Vencida",IF($D978=Hoje,"Vence hoje",IF($D978-Hoje&lt;=DiasAlerta,"Vence em breve","A vencer"))))))</f>
        <v>0</v>
      </c>
      <c r="J978" s="20">
        <f>IF(OR($E978="",$D978=""),"",IF($K978&lt;=0.005,"",$D978-Hoje))</f>
        <v>0</v>
      </c>
      <c r="K978" s="21">
        <f>IF($E978="","",MAX(0,$E978-N($G978)))</f>
        <v>0</v>
      </c>
      <c r="L978" s="20">
        <f>IF($I978="Vencida","PAGAR JÁ (multa e juros)",IF($I978="Vence hoje","Pagar hoje",IF($I978="Vence em breve","Programar pagamento","")))</f>
        <v>0</v>
      </c>
    </row>
    <row r="979" spans="1:12">
      <c r="A979" s="13"/>
      <c r="B979" s="13"/>
      <c r="C979" s="13"/>
      <c r="D979" s="17"/>
      <c r="E979" s="18"/>
      <c r="F979" s="17"/>
      <c r="G979" s="18"/>
      <c r="H979" s="13"/>
      <c r="I979" s="19">
        <f>IF($E979="","",IF($K979&lt;=0.005,"Pago",IF($D979="","Sem vencimento",IF($D979&lt;Hoje,"Vencida",IF($D979=Hoje,"Vence hoje",IF($D979-Hoje&lt;=DiasAlerta,"Vence em breve","A vencer"))))))</f>
        <v>0</v>
      </c>
      <c r="J979" s="20">
        <f>IF(OR($E979="",$D979=""),"",IF($K979&lt;=0.005,"",$D979-Hoje))</f>
        <v>0</v>
      </c>
      <c r="K979" s="21">
        <f>IF($E979="","",MAX(0,$E979-N($G979)))</f>
        <v>0</v>
      </c>
      <c r="L979" s="20">
        <f>IF($I979="Vencida","PAGAR JÁ (multa e juros)",IF($I979="Vence hoje","Pagar hoje",IF($I979="Vence em breve","Programar pagamento","")))</f>
        <v>0</v>
      </c>
    </row>
    <row r="980" spans="1:12">
      <c r="A980" s="13"/>
      <c r="B980" s="13"/>
      <c r="C980" s="13"/>
      <c r="D980" s="17"/>
      <c r="E980" s="18"/>
      <c r="F980" s="17"/>
      <c r="G980" s="18"/>
      <c r="H980" s="13"/>
      <c r="I980" s="19">
        <f>IF($E980="","",IF($K980&lt;=0.005,"Pago",IF($D980="","Sem vencimento",IF($D980&lt;Hoje,"Vencida",IF($D980=Hoje,"Vence hoje",IF($D980-Hoje&lt;=DiasAlerta,"Vence em breve","A vencer"))))))</f>
        <v>0</v>
      </c>
      <c r="J980" s="20">
        <f>IF(OR($E980="",$D980=""),"",IF($K980&lt;=0.005,"",$D980-Hoje))</f>
        <v>0</v>
      </c>
      <c r="K980" s="21">
        <f>IF($E980="","",MAX(0,$E980-N($G980)))</f>
        <v>0</v>
      </c>
      <c r="L980" s="20">
        <f>IF($I980="Vencida","PAGAR JÁ (multa e juros)",IF($I980="Vence hoje","Pagar hoje",IF($I980="Vence em breve","Programar pagamento","")))</f>
        <v>0</v>
      </c>
    </row>
    <row r="981" spans="1:12">
      <c r="A981" s="13"/>
      <c r="B981" s="13"/>
      <c r="C981" s="13"/>
      <c r="D981" s="17"/>
      <c r="E981" s="18"/>
      <c r="F981" s="17"/>
      <c r="G981" s="18"/>
      <c r="H981" s="13"/>
      <c r="I981" s="19">
        <f>IF($E981="","",IF($K981&lt;=0.005,"Pago",IF($D981="","Sem vencimento",IF($D981&lt;Hoje,"Vencida",IF($D981=Hoje,"Vence hoje",IF($D981-Hoje&lt;=DiasAlerta,"Vence em breve","A vencer"))))))</f>
        <v>0</v>
      </c>
      <c r="J981" s="20">
        <f>IF(OR($E981="",$D981=""),"",IF($K981&lt;=0.005,"",$D981-Hoje))</f>
        <v>0</v>
      </c>
      <c r="K981" s="21">
        <f>IF($E981="","",MAX(0,$E981-N($G981)))</f>
        <v>0</v>
      </c>
      <c r="L981" s="20">
        <f>IF($I981="Vencida","PAGAR JÁ (multa e juros)",IF($I981="Vence hoje","Pagar hoje",IF($I981="Vence em breve","Programar pagamento","")))</f>
        <v>0</v>
      </c>
    </row>
    <row r="982" spans="1:12">
      <c r="A982" s="13"/>
      <c r="B982" s="13"/>
      <c r="C982" s="13"/>
      <c r="D982" s="17"/>
      <c r="E982" s="18"/>
      <c r="F982" s="17"/>
      <c r="G982" s="18"/>
      <c r="H982" s="13"/>
      <c r="I982" s="19">
        <f>IF($E982="","",IF($K982&lt;=0.005,"Pago",IF($D982="","Sem vencimento",IF($D982&lt;Hoje,"Vencida",IF($D982=Hoje,"Vence hoje",IF($D982-Hoje&lt;=DiasAlerta,"Vence em breve","A vencer"))))))</f>
        <v>0</v>
      </c>
      <c r="J982" s="20">
        <f>IF(OR($E982="",$D982=""),"",IF($K982&lt;=0.005,"",$D982-Hoje))</f>
        <v>0</v>
      </c>
      <c r="K982" s="21">
        <f>IF($E982="","",MAX(0,$E982-N($G982)))</f>
        <v>0</v>
      </c>
      <c r="L982" s="20">
        <f>IF($I982="Vencida","PAGAR JÁ (multa e juros)",IF($I982="Vence hoje","Pagar hoje",IF($I982="Vence em breve","Programar pagamento","")))</f>
        <v>0</v>
      </c>
    </row>
    <row r="983" spans="1:12">
      <c r="A983" s="13"/>
      <c r="B983" s="13"/>
      <c r="C983" s="13"/>
      <c r="D983" s="17"/>
      <c r="E983" s="18"/>
      <c r="F983" s="17"/>
      <c r="G983" s="18"/>
      <c r="H983" s="13"/>
      <c r="I983" s="19">
        <f>IF($E983="","",IF($K983&lt;=0.005,"Pago",IF($D983="","Sem vencimento",IF($D983&lt;Hoje,"Vencida",IF($D983=Hoje,"Vence hoje",IF($D983-Hoje&lt;=DiasAlerta,"Vence em breve","A vencer"))))))</f>
        <v>0</v>
      </c>
      <c r="J983" s="20">
        <f>IF(OR($E983="",$D983=""),"",IF($K983&lt;=0.005,"",$D983-Hoje))</f>
        <v>0</v>
      </c>
      <c r="K983" s="21">
        <f>IF($E983="","",MAX(0,$E983-N($G983)))</f>
        <v>0</v>
      </c>
      <c r="L983" s="20">
        <f>IF($I983="Vencida","PAGAR JÁ (multa e juros)",IF($I983="Vence hoje","Pagar hoje",IF($I983="Vence em breve","Programar pagamento","")))</f>
        <v>0</v>
      </c>
    </row>
    <row r="984" spans="1:12">
      <c r="A984" s="13"/>
      <c r="B984" s="13"/>
      <c r="C984" s="13"/>
      <c r="D984" s="17"/>
      <c r="E984" s="18"/>
      <c r="F984" s="17"/>
      <c r="G984" s="18"/>
      <c r="H984" s="13"/>
      <c r="I984" s="19">
        <f>IF($E984="","",IF($K984&lt;=0.005,"Pago",IF($D984="","Sem vencimento",IF($D984&lt;Hoje,"Vencida",IF($D984=Hoje,"Vence hoje",IF($D984-Hoje&lt;=DiasAlerta,"Vence em breve","A vencer"))))))</f>
        <v>0</v>
      </c>
      <c r="J984" s="20">
        <f>IF(OR($E984="",$D984=""),"",IF($K984&lt;=0.005,"",$D984-Hoje))</f>
        <v>0</v>
      </c>
      <c r="K984" s="21">
        <f>IF($E984="","",MAX(0,$E984-N($G984)))</f>
        <v>0</v>
      </c>
      <c r="L984" s="20">
        <f>IF($I984="Vencida","PAGAR JÁ (multa e juros)",IF($I984="Vence hoje","Pagar hoje",IF($I984="Vence em breve","Programar pagamento","")))</f>
        <v>0</v>
      </c>
    </row>
    <row r="985" spans="1:12">
      <c r="A985" s="13"/>
      <c r="B985" s="13"/>
      <c r="C985" s="13"/>
      <c r="D985" s="17"/>
      <c r="E985" s="18"/>
      <c r="F985" s="17"/>
      <c r="G985" s="18"/>
      <c r="H985" s="13"/>
      <c r="I985" s="19">
        <f>IF($E985="","",IF($K985&lt;=0.005,"Pago",IF($D985="","Sem vencimento",IF($D985&lt;Hoje,"Vencida",IF($D985=Hoje,"Vence hoje",IF($D985-Hoje&lt;=DiasAlerta,"Vence em breve","A vencer"))))))</f>
        <v>0</v>
      </c>
      <c r="J985" s="20">
        <f>IF(OR($E985="",$D985=""),"",IF($K985&lt;=0.005,"",$D985-Hoje))</f>
        <v>0</v>
      </c>
      <c r="K985" s="21">
        <f>IF($E985="","",MAX(0,$E985-N($G985)))</f>
        <v>0</v>
      </c>
      <c r="L985" s="20">
        <f>IF($I985="Vencida","PAGAR JÁ (multa e juros)",IF($I985="Vence hoje","Pagar hoje",IF($I985="Vence em breve","Programar pagamento","")))</f>
        <v>0</v>
      </c>
    </row>
    <row r="986" spans="1:12">
      <c r="A986" s="13"/>
      <c r="B986" s="13"/>
      <c r="C986" s="13"/>
      <c r="D986" s="17"/>
      <c r="E986" s="18"/>
      <c r="F986" s="17"/>
      <c r="G986" s="18"/>
      <c r="H986" s="13"/>
      <c r="I986" s="19">
        <f>IF($E986="","",IF($K986&lt;=0.005,"Pago",IF($D986="","Sem vencimento",IF($D986&lt;Hoje,"Vencida",IF($D986=Hoje,"Vence hoje",IF($D986-Hoje&lt;=DiasAlerta,"Vence em breve","A vencer"))))))</f>
        <v>0</v>
      </c>
      <c r="J986" s="20">
        <f>IF(OR($E986="",$D986=""),"",IF($K986&lt;=0.005,"",$D986-Hoje))</f>
        <v>0</v>
      </c>
      <c r="K986" s="21">
        <f>IF($E986="","",MAX(0,$E986-N($G986)))</f>
        <v>0</v>
      </c>
      <c r="L986" s="20">
        <f>IF($I986="Vencida","PAGAR JÁ (multa e juros)",IF($I986="Vence hoje","Pagar hoje",IF($I986="Vence em breve","Programar pagamento","")))</f>
        <v>0</v>
      </c>
    </row>
    <row r="987" spans="1:12">
      <c r="A987" s="13"/>
      <c r="B987" s="13"/>
      <c r="C987" s="13"/>
      <c r="D987" s="17"/>
      <c r="E987" s="18"/>
      <c r="F987" s="17"/>
      <c r="G987" s="18"/>
      <c r="H987" s="13"/>
      <c r="I987" s="19">
        <f>IF($E987="","",IF($K987&lt;=0.005,"Pago",IF($D987="","Sem vencimento",IF($D987&lt;Hoje,"Vencida",IF($D987=Hoje,"Vence hoje",IF($D987-Hoje&lt;=DiasAlerta,"Vence em breve","A vencer"))))))</f>
        <v>0</v>
      </c>
      <c r="J987" s="20">
        <f>IF(OR($E987="",$D987=""),"",IF($K987&lt;=0.005,"",$D987-Hoje))</f>
        <v>0</v>
      </c>
      <c r="K987" s="21">
        <f>IF($E987="","",MAX(0,$E987-N($G987)))</f>
        <v>0</v>
      </c>
      <c r="L987" s="20">
        <f>IF($I987="Vencida","PAGAR JÁ (multa e juros)",IF($I987="Vence hoje","Pagar hoje",IF($I987="Vence em breve","Programar pagamento","")))</f>
        <v>0</v>
      </c>
    </row>
    <row r="988" spans="1:12">
      <c r="A988" s="13"/>
      <c r="B988" s="13"/>
      <c r="C988" s="13"/>
      <c r="D988" s="17"/>
      <c r="E988" s="18"/>
      <c r="F988" s="17"/>
      <c r="G988" s="18"/>
      <c r="H988" s="13"/>
      <c r="I988" s="19">
        <f>IF($E988="","",IF($K988&lt;=0.005,"Pago",IF($D988="","Sem vencimento",IF($D988&lt;Hoje,"Vencida",IF($D988=Hoje,"Vence hoje",IF($D988-Hoje&lt;=DiasAlerta,"Vence em breve","A vencer"))))))</f>
        <v>0</v>
      </c>
      <c r="J988" s="20">
        <f>IF(OR($E988="",$D988=""),"",IF($K988&lt;=0.005,"",$D988-Hoje))</f>
        <v>0</v>
      </c>
      <c r="K988" s="21">
        <f>IF($E988="","",MAX(0,$E988-N($G988)))</f>
        <v>0</v>
      </c>
      <c r="L988" s="20">
        <f>IF($I988="Vencida","PAGAR JÁ (multa e juros)",IF($I988="Vence hoje","Pagar hoje",IF($I988="Vence em breve","Programar pagamento","")))</f>
        <v>0</v>
      </c>
    </row>
    <row r="989" spans="1:12">
      <c r="A989" s="13"/>
      <c r="B989" s="13"/>
      <c r="C989" s="13"/>
      <c r="D989" s="17"/>
      <c r="E989" s="18"/>
      <c r="F989" s="17"/>
      <c r="G989" s="18"/>
      <c r="H989" s="13"/>
      <c r="I989" s="19">
        <f>IF($E989="","",IF($K989&lt;=0.005,"Pago",IF($D989="","Sem vencimento",IF($D989&lt;Hoje,"Vencida",IF($D989=Hoje,"Vence hoje",IF($D989-Hoje&lt;=DiasAlerta,"Vence em breve","A vencer"))))))</f>
        <v>0</v>
      </c>
      <c r="J989" s="20">
        <f>IF(OR($E989="",$D989=""),"",IF($K989&lt;=0.005,"",$D989-Hoje))</f>
        <v>0</v>
      </c>
      <c r="K989" s="21">
        <f>IF($E989="","",MAX(0,$E989-N($G989)))</f>
        <v>0</v>
      </c>
      <c r="L989" s="20">
        <f>IF($I989="Vencida","PAGAR JÁ (multa e juros)",IF($I989="Vence hoje","Pagar hoje",IF($I989="Vence em breve","Programar pagamento","")))</f>
        <v>0</v>
      </c>
    </row>
    <row r="990" spans="1:12">
      <c r="A990" s="13"/>
      <c r="B990" s="13"/>
      <c r="C990" s="13"/>
      <c r="D990" s="17"/>
      <c r="E990" s="18"/>
      <c r="F990" s="17"/>
      <c r="G990" s="18"/>
      <c r="H990" s="13"/>
      <c r="I990" s="19">
        <f>IF($E990="","",IF($K990&lt;=0.005,"Pago",IF($D990="","Sem vencimento",IF($D990&lt;Hoje,"Vencida",IF($D990=Hoje,"Vence hoje",IF($D990-Hoje&lt;=DiasAlerta,"Vence em breve","A vencer"))))))</f>
        <v>0</v>
      </c>
      <c r="J990" s="20">
        <f>IF(OR($E990="",$D990=""),"",IF($K990&lt;=0.005,"",$D990-Hoje))</f>
        <v>0</v>
      </c>
      <c r="K990" s="21">
        <f>IF($E990="","",MAX(0,$E990-N($G990)))</f>
        <v>0</v>
      </c>
      <c r="L990" s="20">
        <f>IF($I990="Vencida","PAGAR JÁ (multa e juros)",IF($I990="Vence hoje","Pagar hoje",IF($I990="Vence em breve","Programar pagamento","")))</f>
        <v>0</v>
      </c>
    </row>
    <row r="991" spans="1:12">
      <c r="A991" s="13"/>
      <c r="B991" s="13"/>
      <c r="C991" s="13"/>
      <c r="D991" s="17"/>
      <c r="E991" s="18"/>
      <c r="F991" s="17"/>
      <c r="G991" s="18"/>
      <c r="H991" s="13"/>
      <c r="I991" s="19">
        <f>IF($E991="","",IF($K991&lt;=0.005,"Pago",IF($D991="","Sem vencimento",IF($D991&lt;Hoje,"Vencida",IF($D991=Hoje,"Vence hoje",IF($D991-Hoje&lt;=DiasAlerta,"Vence em breve","A vencer"))))))</f>
        <v>0</v>
      </c>
      <c r="J991" s="20">
        <f>IF(OR($E991="",$D991=""),"",IF($K991&lt;=0.005,"",$D991-Hoje))</f>
        <v>0</v>
      </c>
      <c r="K991" s="21">
        <f>IF($E991="","",MAX(0,$E991-N($G991)))</f>
        <v>0</v>
      </c>
      <c r="L991" s="20">
        <f>IF($I991="Vencida","PAGAR JÁ (multa e juros)",IF($I991="Vence hoje","Pagar hoje",IF($I991="Vence em breve","Programar pagamento","")))</f>
        <v>0</v>
      </c>
    </row>
    <row r="992" spans="1:12">
      <c r="A992" s="13"/>
      <c r="B992" s="13"/>
      <c r="C992" s="13"/>
      <c r="D992" s="17"/>
      <c r="E992" s="18"/>
      <c r="F992" s="17"/>
      <c r="G992" s="18"/>
      <c r="H992" s="13"/>
      <c r="I992" s="19">
        <f>IF($E992="","",IF($K992&lt;=0.005,"Pago",IF($D992="","Sem vencimento",IF($D992&lt;Hoje,"Vencida",IF($D992=Hoje,"Vence hoje",IF($D992-Hoje&lt;=DiasAlerta,"Vence em breve","A vencer"))))))</f>
        <v>0</v>
      </c>
      <c r="J992" s="20">
        <f>IF(OR($E992="",$D992=""),"",IF($K992&lt;=0.005,"",$D992-Hoje))</f>
        <v>0</v>
      </c>
      <c r="K992" s="21">
        <f>IF($E992="","",MAX(0,$E992-N($G992)))</f>
        <v>0</v>
      </c>
      <c r="L992" s="20">
        <f>IF($I992="Vencida","PAGAR JÁ (multa e juros)",IF($I992="Vence hoje","Pagar hoje",IF($I992="Vence em breve","Programar pagamento","")))</f>
        <v>0</v>
      </c>
    </row>
    <row r="993" spans="1:12">
      <c r="A993" s="13"/>
      <c r="B993" s="13"/>
      <c r="C993" s="13"/>
      <c r="D993" s="17"/>
      <c r="E993" s="18"/>
      <c r="F993" s="17"/>
      <c r="G993" s="18"/>
      <c r="H993" s="13"/>
      <c r="I993" s="19">
        <f>IF($E993="","",IF($K993&lt;=0.005,"Pago",IF($D993="","Sem vencimento",IF($D993&lt;Hoje,"Vencida",IF($D993=Hoje,"Vence hoje",IF($D993-Hoje&lt;=DiasAlerta,"Vence em breve","A vencer"))))))</f>
        <v>0</v>
      </c>
      <c r="J993" s="20">
        <f>IF(OR($E993="",$D993=""),"",IF($K993&lt;=0.005,"",$D993-Hoje))</f>
        <v>0</v>
      </c>
      <c r="K993" s="21">
        <f>IF($E993="","",MAX(0,$E993-N($G993)))</f>
        <v>0</v>
      </c>
      <c r="L993" s="20">
        <f>IF($I993="Vencida","PAGAR JÁ (multa e juros)",IF($I993="Vence hoje","Pagar hoje",IF($I993="Vence em breve","Programar pagamento","")))</f>
        <v>0</v>
      </c>
    </row>
    <row r="994" spans="1:12">
      <c r="A994" s="13"/>
      <c r="B994" s="13"/>
      <c r="C994" s="13"/>
      <c r="D994" s="17"/>
      <c r="E994" s="18"/>
      <c r="F994" s="17"/>
      <c r="G994" s="18"/>
      <c r="H994" s="13"/>
      <c r="I994" s="19">
        <f>IF($E994="","",IF($K994&lt;=0.005,"Pago",IF($D994="","Sem vencimento",IF($D994&lt;Hoje,"Vencida",IF($D994=Hoje,"Vence hoje",IF($D994-Hoje&lt;=DiasAlerta,"Vence em breve","A vencer"))))))</f>
        <v>0</v>
      </c>
      <c r="J994" s="20">
        <f>IF(OR($E994="",$D994=""),"",IF($K994&lt;=0.005,"",$D994-Hoje))</f>
        <v>0</v>
      </c>
      <c r="K994" s="21">
        <f>IF($E994="","",MAX(0,$E994-N($G994)))</f>
        <v>0</v>
      </c>
      <c r="L994" s="20">
        <f>IF($I994="Vencida","PAGAR JÁ (multa e juros)",IF($I994="Vence hoje","Pagar hoje",IF($I994="Vence em breve","Programar pagamento","")))</f>
        <v>0</v>
      </c>
    </row>
    <row r="995" spans="1:12">
      <c r="A995" s="13"/>
      <c r="B995" s="13"/>
      <c r="C995" s="13"/>
      <c r="D995" s="17"/>
      <c r="E995" s="18"/>
      <c r="F995" s="17"/>
      <c r="G995" s="18"/>
      <c r="H995" s="13"/>
      <c r="I995" s="19">
        <f>IF($E995="","",IF($K995&lt;=0.005,"Pago",IF($D995="","Sem vencimento",IF($D995&lt;Hoje,"Vencida",IF($D995=Hoje,"Vence hoje",IF($D995-Hoje&lt;=DiasAlerta,"Vence em breve","A vencer"))))))</f>
        <v>0</v>
      </c>
      <c r="J995" s="20">
        <f>IF(OR($E995="",$D995=""),"",IF($K995&lt;=0.005,"",$D995-Hoje))</f>
        <v>0</v>
      </c>
      <c r="K995" s="21">
        <f>IF($E995="","",MAX(0,$E995-N($G995)))</f>
        <v>0</v>
      </c>
      <c r="L995" s="20">
        <f>IF($I995="Vencida","PAGAR JÁ (multa e juros)",IF($I995="Vence hoje","Pagar hoje",IF($I995="Vence em breve","Programar pagamento","")))</f>
        <v>0</v>
      </c>
    </row>
    <row r="996" spans="1:12">
      <c r="A996" s="13"/>
      <c r="B996" s="13"/>
      <c r="C996" s="13"/>
      <c r="D996" s="17"/>
      <c r="E996" s="18"/>
      <c r="F996" s="17"/>
      <c r="G996" s="18"/>
      <c r="H996" s="13"/>
      <c r="I996" s="19">
        <f>IF($E996="","",IF($K996&lt;=0.005,"Pago",IF($D996="","Sem vencimento",IF($D996&lt;Hoje,"Vencida",IF($D996=Hoje,"Vence hoje",IF($D996-Hoje&lt;=DiasAlerta,"Vence em breve","A vencer"))))))</f>
        <v>0</v>
      </c>
      <c r="J996" s="20">
        <f>IF(OR($E996="",$D996=""),"",IF($K996&lt;=0.005,"",$D996-Hoje))</f>
        <v>0</v>
      </c>
      <c r="K996" s="21">
        <f>IF($E996="","",MAX(0,$E996-N($G996)))</f>
        <v>0</v>
      </c>
      <c r="L996" s="20">
        <f>IF($I996="Vencida","PAGAR JÁ (multa e juros)",IF($I996="Vence hoje","Pagar hoje",IF($I996="Vence em breve","Programar pagamento","")))</f>
        <v>0</v>
      </c>
    </row>
    <row r="997" spans="1:12">
      <c r="A997" s="13"/>
      <c r="B997" s="13"/>
      <c r="C997" s="13"/>
      <c r="D997" s="17"/>
      <c r="E997" s="18"/>
      <c r="F997" s="17"/>
      <c r="G997" s="18"/>
      <c r="H997" s="13"/>
      <c r="I997" s="19">
        <f>IF($E997="","",IF($K997&lt;=0.005,"Pago",IF($D997="","Sem vencimento",IF($D997&lt;Hoje,"Vencida",IF($D997=Hoje,"Vence hoje",IF($D997-Hoje&lt;=DiasAlerta,"Vence em breve","A vencer"))))))</f>
        <v>0</v>
      </c>
      <c r="J997" s="20">
        <f>IF(OR($E997="",$D997=""),"",IF($K997&lt;=0.005,"",$D997-Hoje))</f>
        <v>0</v>
      </c>
      <c r="K997" s="21">
        <f>IF($E997="","",MAX(0,$E997-N($G997)))</f>
        <v>0</v>
      </c>
      <c r="L997" s="20">
        <f>IF($I997="Vencida","PAGAR JÁ (multa e juros)",IF($I997="Vence hoje","Pagar hoje",IF($I997="Vence em breve","Programar pagamento","")))</f>
        <v>0</v>
      </c>
    </row>
    <row r="998" spans="1:12">
      <c r="A998" s="13"/>
      <c r="B998" s="13"/>
      <c r="C998" s="13"/>
      <c r="D998" s="17"/>
      <c r="E998" s="18"/>
      <c r="F998" s="17"/>
      <c r="G998" s="18"/>
      <c r="H998" s="13"/>
      <c r="I998" s="19">
        <f>IF($E998="","",IF($K998&lt;=0.005,"Pago",IF($D998="","Sem vencimento",IF($D998&lt;Hoje,"Vencida",IF($D998=Hoje,"Vence hoje",IF($D998-Hoje&lt;=DiasAlerta,"Vence em breve","A vencer"))))))</f>
        <v>0</v>
      </c>
      <c r="J998" s="20">
        <f>IF(OR($E998="",$D998=""),"",IF($K998&lt;=0.005,"",$D998-Hoje))</f>
        <v>0</v>
      </c>
      <c r="K998" s="21">
        <f>IF($E998="","",MAX(0,$E998-N($G998)))</f>
        <v>0</v>
      </c>
      <c r="L998" s="20">
        <f>IF($I998="Vencida","PAGAR JÁ (multa e juros)",IF($I998="Vence hoje","Pagar hoje",IF($I998="Vence em breve","Programar pagamento","")))</f>
        <v>0</v>
      </c>
    </row>
    <row r="999" spans="1:12">
      <c r="A999" s="13"/>
      <c r="B999" s="13"/>
      <c r="C999" s="13"/>
      <c r="D999" s="17"/>
      <c r="E999" s="18"/>
      <c r="F999" s="17"/>
      <c r="G999" s="18"/>
      <c r="H999" s="13"/>
      <c r="I999" s="19">
        <f>IF($E999="","",IF($K999&lt;=0.005,"Pago",IF($D999="","Sem vencimento",IF($D999&lt;Hoje,"Vencida",IF($D999=Hoje,"Vence hoje",IF($D999-Hoje&lt;=DiasAlerta,"Vence em breve","A vencer"))))))</f>
        <v>0</v>
      </c>
      <c r="J999" s="20">
        <f>IF(OR($E999="",$D999=""),"",IF($K999&lt;=0.005,"",$D999-Hoje))</f>
        <v>0</v>
      </c>
      <c r="K999" s="21">
        <f>IF($E999="","",MAX(0,$E999-N($G999)))</f>
        <v>0</v>
      </c>
      <c r="L999" s="20">
        <f>IF($I999="Vencida","PAGAR JÁ (multa e juros)",IF($I999="Vence hoje","Pagar hoje",IF($I999="Vence em breve","Programar pagamento","")))</f>
        <v>0</v>
      </c>
    </row>
    <row r="1000" spans="1:12">
      <c r="A1000" s="13"/>
      <c r="B1000" s="13"/>
      <c r="C1000" s="13"/>
      <c r="D1000" s="17"/>
      <c r="E1000" s="18"/>
      <c r="F1000" s="17"/>
      <c r="G1000" s="18"/>
      <c r="H1000" s="13"/>
      <c r="I1000" s="19">
        <f>IF($E1000="","",IF($K1000&lt;=0.005,"Pago",IF($D1000="","Sem vencimento",IF($D1000&lt;Hoje,"Vencida",IF($D1000=Hoje,"Vence hoje",IF($D1000-Hoje&lt;=DiasAlerta,"Vence em breve","A vencer"))))))</f>
        <v>0</v>
      </c>
      <c r="J1000" s="20">
        <f>IF(OR($E1000="",$D1000=""),"",IF($K1000&lt;=0.005,"",$D1000-Hoje))</f>
        <v>0</v>
      </c>
      <c r="K1000" s="21">
        <f>IF($E1000="","",MAX(0,$E1000-N($G1000)))</f>
        <v>0</v>
      </c>
      <c r="L1000" s="20">
        <f>IF($I1000="Vencida","PAGAR JÁ (multa e juros)",IF($I1000="Vence hoje","Pagar hoje",IF($I1000="Vence em breve","Programar pagamento","")))</f>
        <v>0</v>
      </c>
    </row>
    <row r="1001" spans="1:12">
      <c r="A1001" s="13"/>
      <c r="B1001" s="13"/>
      <c r="C1001" s="13"/>
      <c r="D1001" s="17"/>
      <c r="E1001" s="18"/>
      <c r="F1001" s="17"/>
      <c r="G1001" s="18"/>
      <c r="H1001" s="13"/>
      <c r="I1001" s="19">
        <f>IF($E1001="","",IF($K1001&lt;=0.005,"Pago",IF($D1001="","Sem vencimento",IF($D1001&lt;Hoje,"Vencida",IF($D1001=Hoje,"Vence hoje",IF($D1001-Hoje&lt;=DiasAlerta,"Vence em breve","A vencer"))))))</f>
        <v>0</v>
      </c>
      <c r="J1001" s="20">
        <f>IF(OR($E1001="",$D1001=""),"",IF($K1001&lt;=0.005,"",$D1001-Hoje))</f>
        <v>0</v>
      </c>
      <c r="K1001" s="21">
        <f>IF($E1001="","",MAX(0,$E1001-N($G1001)))</f>
        <v>0</v>
      </c>
      <c r="L1001" s="20">
        <f>IF($I1001="Vencida","PAGAR JÁ (multa e juros)",IF($I1001="Vence hoje","Pagar hoje",IF($I1001="Vence em breve","Programar pagamento","")))</f>
        <v>0</v>
      </c>
    </row>
    <row r="1002" spans="1:12">
      <c r="A1002" s="13"/>
      <c r="B1002" s="13"/>
      <c r="C1002" s="13"/>
      <c r="D1002" s="17"/>
      <c r="E1002" s="18"/>
      <c r="F1002" s="17"/>
      <c r="G1002" s="18"/>
      <c r="H1002" s="13"/>
      <c r="I1002" s="19">
        <f>IF($E1002="","",IF($K1002&lt;=0.005,"Pago",IF($D1002="","Sem vencimento",IF($D1002&lt;Hoje,"Vencida",IF($D1002=Hoje,"Vence hoje",IF($D1002-Hoje&lt;=DiasAlerta,"Vence em breve","A vencer"))))))</f>
        <v>0</v>
      </c>
      <c r="J1002" s="20">
        <f>IF(OR($E1002="",$D1002=""),"",IF($K1002&lt;=0.005,"",$D1002-Hoje))</f>
        <v>0</v>
      </c>
      <c r="K1002" s="21">
        <f>IF($E1002="","",MAX(0,$E1002-N($G1002)))</f>
        <v>0</v>
      </c>
      <c r="L1002" s="20">
        <f>IF($I1002="Vencida","PAGAR JÁ (multa e juros)",IF($I1002="Vence hoje","Pagar hoje",IF($I1002="Vence em breve","Programar pagamento","")))</f>
        <v>0</v>
      </c>
    </row>
    <row r="1003" spans="1:12">
      <c r="A1003" s="13"/>
      <c r="B1003" s="13"/>
      <c r="C1003" s="13"/>
      <c r="D1003" s="17"/>
      <c r="E1003" s="18"/>
      <c r="F1003" s="17"/>
      <c r="G1003" s="18"/>
      <c r="H1003" s="13"/>
      <c r="I1003" s="19">
        <f>IF($E1003="","",IF($K1003&lt;=0.005,"Pago",IF($D1003="","Sem vencimento",IF($D1003&lt;Hoje,"Vencida",IF($D1003=Hoje,"Vence hoje",IF($D1003-Hoje&lt;=DiasAlerta,"Vence em breve","A vencer"))))))</f>
        <v>0</v>
      </c>
      <c r="J1003" s="20">
        <f>IF(OR($E1003="",$D1003=""),"",IF($K1003&lt;=0.005,"",$D1003-Hoje))</f>
        <v>0</v>
      </c>
      <c r="K1003" s="21">
        <f>IF($E1003="","",MAX(0,$E1003-N($G1003)))</f>
        <v>0</v>
      </c>
      <c r="L1003" s="20">
        <f>IF($I1003="Vencida","PAGAR JÁ (multa e juros)",IF($I1003="Vence hoje","Pagar hoje",IF($I1003="Vence em breve","Programar pagamento","")))</f>
        <v>0</v>
      </c>
    </row>
    <row r="1004" spans="1:12">
      <c r="A1004" s="13"/>
      <c r="B1004" s="13"/>
      <c r="C1004" s="13"/>
      <c r="D1004" s="17"/>
      <c r="E1004" s="18"/>
      <c r="F1004" s="17"/>
      <c r="G1004" s="18"/>
      <c r="H1004" s="13"/>
      <c r="I1004" s="19">
        <f>IF($E1004="","",IF($K1004&lt;=0.005,"Pago",IF($D1004="","Sem vencimento",IF($D1004&lt;Hoje,"Vencida",IF($D1004=Hoje,"Vence hoje",IF($D1004-Hoje&lt;=DiasAlerta,"Vence em breve","A vencer"))))))</f>
        <v>0</v>
      </c>
      <c r="J1004" s="20">
        <f>IF(OR($E1004="",$D1004=""),"",IF($K1004&lt;=0.005,"",$D1004-Hoje))</f>
        <v>0</v>
      </c>
      <c r="K1004" s="21">
        <f>IF($E1004="","",MAX(0,$E1004-N($G1004)))</f>
        <v>0</v>
      </c>
      <c r="L1004" s="20">
        <f>IF($I1004="Vencida","PAGAR JÁ (multa e juros)",IF($I1004="Vence hoje","Pagar hoje",IF($I1004="Vence em breve","Programar pagamento","")))</f>
        <v>0</v>
      </c>
    </row>
  </sheetData>
  <autoFilter ref="A4:L1004"/>
  <mergeCells count="2">
    <mergeCell ref="A1:L1"/>
    <mergeCell ref="A2:L2"/>
  </mergeCells>
  <conditionalFormatting sqref="I5:I1004">
    <cfRule type="cellIs" dxfId="0" priority="1" operator="equal">
      <formula>"Pago"</formula>
    </cfRule>
    <cfRule type="cellIs" dxfId="1" priority="2" operator="equal">
      <formula>"Vencida"</formula>
    </cfRule>
    <cfRule type="cellIs" dxfId="3" priority="3" operator="equal">
      <formula>"Vence hoje"</formula>
    </cfRule>
    <cfRule type="cellIs" dxfId="5" priority="4" operator="equal">
      <formula>"Vence em breve"</formula>
    </cfRule>
    <cfRule type="cellIs" dxfId="4" priority="5" operator="equal">
      <formula>"A vencer"</formula>
    </cfRule>
  </conditionalFormatting>
  <dataValidations count="7">
    <dataValidation type="list" allowBlank="1" showInputMessage="1" showErrorMessage="1" errorTitle="Valor inválido" error="Escolha um item da lista." sqref="A5:A1004">
      <formula1>FornNome</formula1>
    </dataValidation>
    <dataValidation type="list" allowBlank="1" showInputMessage="1" showErrorMessage="1" errorTitle="Valor inválido" error="Escolha um item da lista." sqref="C5:C1004">
      <formula1>CatDesp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D5:D1004">
      <formula1>36526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F5:F1004">
      <formula1>36526</formula1>
    </dataValidation>
    <dataValidation type="decimal" operator="greaterThanOrEqual" allowBlank="1" showInputMessage="1" showErrorMessage="1" errorTitle="Valor inválido" error="Digite um número maior ou igual a 0." sqref="E5:E1004">
      <formula1>0</formula1>
    </dataValidation>
    <dataValidation type="decimal" operator="greaterThanOrEqual" allowBlank="1" showInputMessage="1" showErrorMessage="1" errorTitle="Valor inválido" error="Digite um número maior ou igual a 0." sqref="G5:G1004">
      <formula1>0</formula1>
    </dataValidation>
    <dataValidation type="list" allowBlank="1" showInputMessage="1" showErrorMessage="1" errorTitle="Valor inválido" error="Escolha um item da lista." sqref="H5:H1004">
      <formula1>Formas</formula1>
    </dataValidation>
  </dataValidations>
  <pageMargins left="0.7" right="0.7" top="0.75" bottom="0.75" header="0.3" footer="0.3"/>
  <pageSetup paperSize="9" fitToHeight="0" orientation="landscape"/>
  <headerFooter>
    <oddFooter>&amp;L&amp;8Carvex XLS - Contas a Pagar e Receber com Inadimplência&amp;R&amp;8Página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99999"/>
    <pageSetUpPr fitToPage="1"/>
  </sheetPr>
  <dimension ref="A1:D101"/>
  <sheetViews>
    <sheetView showGridLines="0" workbookViewId="0"/>
  </sheetViews>
  <sheetFormatPr defaultRowHeight="15"/>
  <sheetData>
    <row r="1" spans="1:4">
      <c r="A1" t="s">
        <v>65</v>
      </c>
      <c r="B1" t="s">
        <v>87</v>
      </c>
      <c r="C1" t="s">
        <v>88</v>
      </c>
      <c r="D1" t="s">
        <v>44</v>
      </c>
    </row>
    <row r="2" spans="1:4">
      <c r="A2">
        <f>IF(Config!E5="","",Config!E5)</f>
        <v>0</v>
      </c>
      <c r="B2">
        <f>IF(A2="",0,SUMIFS(Receber!$L$5:$L$1004,Receber!$A$5:$A$1004,A2,Receber!$J$5:$J$1004,"&gt;0"))</f>
        <v>0</v>
      </c>
      <c r="C2">
        <f>IF(B2&gt;0,B2+ROW()/1000000000,"")</f>
        <v>0</v>
      </c>
      <c r="D2">
        <f>IF(A2="","",Config!F5&amp;"")</f>
        <v>0</v>
      </c>
    </row>
    <row r="3" spans="1:4">
      <c r="A3">
        <f>IF(Config!E6="","",Config!E6)</f>
        <v>0</v>
      </c>
      <c r="B3">
        <f>IF(A3="",0,SUMIFS(Receber!$L$5:$L$1004,Receber!$A$5:$A$1004,A3,Receber!$J$5:$J$1004,"&gt;0"))</f>
        <v>0</v>
      </c>
      <c r="C3">
        <f>IF(B3&gt;0,B3+ROW()/1000000000,"")</f>
        <v>0</v>
      </c>
      <c r="D3">
        <f>IF(A3="","",Config!F6&amp;"")</f>
        <v>0</v>
      </c>
    </row>
    <row r="4" spans="1:4">
      <c r="A4">
        <f>IF(Config!E7="","",Config!E7)</f>
        <v>0</v>
      </c>
      <c r="B4">
        <f>IF(A4="",0,SUMIFS(Receber!$L$5:$L$1004,Receber!$A$5:$A$1004,A4,Receber!$J$5:$J$1004,"&gt;0"))</f>
        <v>0</v>
      </c>
      <c r="C4">
        <f>IF(B4&gt;0,B4+ROW()/1000000000,"")</f>
        <v>0</v>
      </c>
      <c r="D4">
        <f>IF(A4="","",Config!F7&amp;"")</f>
        <v>0</v>
      </c>
    </row>
    <row r="5" spans="1:4">
      <c r="A5">
        <f>IF(Config!E8="","",Config!E8)</f>
        <v>0</v>
      </c>
      <c r="B5">
        <f>IF(A5="",0,SUMIFS(Receber!$L$5:$L$1004,Receber!$A$5:$A$1004,A5,Receber!$J$5:$J$1004,"&gt;0"))</f>
        <v>0</v>
      </c>
      <c r="C5">
        <f>IF(B5&gt;0,B5+ROW()/1000000000,"")</f>
        <v>0</v>
      </c>
      <c r="D5">
        <f>IF(A5="","",Config!F8&amp;"")</f>
        <v>0</v>
      </c>
    </row>
    <row r="6" spans="1:4">
      <c r="A6">
        <f>IF(Config!E9="","",Config!E9)</f>
        <v>0</v>
      </c>
      <c r="B6">
        <f>IF(A6="",0,SUMIFS(Receber!$L$5:$L$1004,Receber!$A$5:$A$1004,A6,Receber!$J$5:$J$1004,"&gt;0"))</f>
        <v>0</v>
      </c>
      <c r="C6">
        <f>IF(B6&gt;0,B6+ROW()/1000000000,"")</f>
        <v>0</v>
      </c>
      <c r="D6">
        <f>IF(A6="","",Config!F9&amp;"")</f>
        <v>0</v>
      </c>
    </row>
    <row r="7" spans="1:4">
      <c r="A7">
        <f>IF(Config!E10="","",Config!E10)</f>
        <v>0</v>
      </c>
      <c r="B7">
        <f>IF(A7="",0,SUMIFS(Receber!$L$5:$L$1004,Receber!$A$5:$A$1004,A7,Receber!$J$5:$J$1004,"&gt;0"))</f>
        <v>0</v>
      </c>
      <c r="C7">
        <f>IF(B7&gt;0,B7+ROW()/1000000000,"")</f>
        <v>0</v>
      </c>
      <c r="D7">
        <f>IF(A7="","",Config!F10&amp;"")</f>
        <v>0</v>
      </c>
    </row>
    <row r="8" spans="1:4">
      <c r="A8">
        <f>IF(Config!E11="","",Config!E11)</f>
        <v>0</v>
      </c>
      <c r="B8">
        <f>IF(A8="",0,SUMIFS(Receber!$L$5:$L$1004,Receber!$A$5:$A$1004,A8,Receber!$J$5:$J$1004,"&gt;0"))</f>
        <v>0</v>
      </c>
      <c r="C8">
        <f>IF(B8&gt;0,B8+ROW()/1000000000,"")</f>
        <v>0</v>
      </c>
      <c r="D8">
        <f>IF(A8="","",Config!F11&amp;"")</f>
        <v>0</v>
      </c>
    </row>
    <row r="9" spans="1:4">
      <c r="A9">
        <f>IF(Config!E12="","",Config!E12)</f>
        <v>0</v>
      </c>
      <c r="B9">
        <f>IF(A9="",0,SUMIFS(Receber!$L$5:$L$1004,Receber!$A$5:$A$1004,A9,Receber!$J$5:$J$1004,"&gt;0"))</f>
        <v>0</v>
      </c>
      <c r="C9">
        <f>IF(B9&gt;0,B9+ROW()/1000000000,"")</f>
        <v>0</v>
      </c>
      <c r="D9">
        <f>IF(A9="","",Config!F12&amp;"")</f>
        <v>0</v>
      </c>
    </row>
    <row r="10" spans="1:4">
      <c r="A10">
        <f>IF(Config!E13="","",Config!E13)</f>
        <v>0</v>
      </c>
      <c r="B10">
        <f>IF(A10="",0,SUMIFS(Receber!$L$5:$L$1004,Receber!$A$5:$A$1004,A10,Receber!$J$5:$J$1004,"&gt;0"))</f>
        <v>0</v>
      </c>
      <c r="C10">
        <f>IF(B10&gt;0,B10+ROW()/1000000000,"")</f>
        <v>0</v>
      </c>
      <c r="D10">
        <f>IF(A10="","",Config!F13&amp;"")</f>
        <v>0</v>
      </c>
    </row>
    <row r="11" spans="1:4">
      <c r="A11">
        <f>IF(Config!E14="","",Config!E14)</f>
        <v>0</v>
      </c>
      <c r="B11">
        <f>IF(A11="",0,SUMIFS(Receber!$L$5:$L$1004,Receber!$A$5:$A$1004,A11,Receber!$J$5:$J$1004,"&gt;0"))</f>
        <v>0</v>
      </c>
      <c r="C11">
        <f>IF(B11&gt;0,B11+ROW()/1000000000,"")</f>
        <v>0</v>
      </c>
      <c r="D11">
        <f>IF(A11="","",Config!F14&amp;"")</f>
        <v>0</v>
      </c>
    </row>
    <row r="12" spans="1:4">
      <c r="A12">
        <f>IF(Config!E15="","",Config!E15)</f>
        <v>0</v>
      </c>
      <c r="B12">
        <f>IF(A12="",0,SUMIFS(Receber!$L$5:$L$1004,Receber!$A$5:$A$1004,A12,Receber!$J$5:$J$1004,"&gt;0"))</f>
        <v>0</v>
      </c>
      <c r="C12">
        <f>IF(B12&gt;0,B12+ROW()/1000000000,"")</f>
        <v>0</v>
      </c>
      <c r="D12">
        <f>IF(A12="","",Config!F15&amp;"")</f>
        <v>0</v>
      </c>
    </row>
    <row r="13" spans="1:4">
      <c r="A13">
        <f>IF(Config!E16="","",Config!E16)</f>
        <v>0</v>
      </c>
      <c r="B13">
        <f>IF(A13="",0,SUMIFS(Receber!$L$5:$L$1004,Receber!$A$5:$A$1004,A13,Receber!$J$5:$J$1004,"&gt;0"))</f>
        <v>0</v>
      </c>
      <c r="C13">
        <f>IF(B13&gt;0,B13+ROW()/1000000000,"")</f>
        <v>0</v>
      </c>
      <c r="D13">
        <f>IF(A13="","",Config!F16&amp;"")</f>
        <v>0</v>
      </c>
    </row>
    <row r="14" spans="1:4">
      <c r="A14">
        <f>IF(Config!E17="","",Config!E17)</f>
        <v>0</v>
      </c>
      <c r="B14">
        <f>IF(A14="",0,SUMIFS(Receber!$L$5:$L$1004,Receber!$A$5:$A$1004,A14,Receber!$J$5:$J$1004,"&gt;0"))</f>
        <v>0</v>
      </c>
      <c r="C14">
        <f>IF(B14&gt;0,B14+ROW()/1000000000,"")</f>
        <v>0</v>
      </c>
      <c r="D14">
        <f>IF(A14="","",Config!F17&amp;"")</f>
        <v>0</v>
      </c>
    </row>
    <row r="15" spans="1:4">
      <c r="A15">
        <f>IF(Config!E18="","",Config!E18)</f>
        <v>0</v>
      </c>
      <c r="B15">
        <f>IF(A15="",0,SUMIFS(Receber!$L$5:$L$1004,Receber!$A$5:$A$1004,A15,Receber!$J$5:$J$1004,"&gt;0"))</f>
        <v>0</v>
      </c>
      <c r="C15">
        <f>IF(B15&gt;0,B15+ROW()/1000000000,"")</f>
        <v>0</v>
      </c>
      <c r="D15">
        <f>IF(A15="","",Config!F18&amp;"")</f>
        <v>0</v>
      </c>
    </row>
    <row r="16" spans="1:4">
      <c r="A16">
        <f>IF(Config!E19="","",Config!E19)</f>
        <v>0</v>
      </c>
      <c r="B16">
        <f>IF(A16="",0,SUMIFS(Receber!$L$5:$L$1004,Receber!$A$5:$A$1004,A16,Receber!$J$5:$J$1004,"&gt;0"))</f>
        <v>0</v>
      </c>
      <c r="C16">
        <f>IF(B16&gt;0,B16+ROW()/1000000000,"")</f>
        <v>0</v>
      </c>
      <c r="D16">
        <f>IF(A16="","",Config!F19&amp;"")</f>
        <v>0</v>
      </c>
    </row>
    <row r="17" spans="1:4">
      <c r="A17">
        <f>IF(Config!E20="","",Config!E20)</f>
        <v>0</v>
      </c>
      <c r="B17">
        <f>IF(A17="",0,SUMIFS(Receber!$L$5:$L$1004,Receber!$A$5:$A$1004,A17,Receber!$J$5:$J$1004,"&gt;0"))</f>
        <v>0</v>
      </c>
      <c r="C17">
        <f>IF(B17&gt;0,B17+ROW()/1000000000,"")</f>
        <v>0</v>
      </c>
      <c r="D17">
        <f>IF(A17="","",Config!F20&amp;"")</f>
        <v>0</v>
      </c>
    </row>
    <row r="18" spans="1:4">
      <c r="A18">
        <f>IF(Config!E21="","",Config!E21)</f>
        <v>0</v>
      </c>
      <c r="B18">
        <f>IF(A18="",0,SUMIFS(Receber!$L$5:$L$1004,Receber!$A$5:$A$1004,A18,Receber!$J$5:$J$1004,"&gt;0"))</f>
        <v>0</v>
      </c>
      <c r="C18">
        <f>IF(B18&gt;0,B18+ROW()/1000000000,"")</f>
        <v>0</v>
      </c>
      <c r="D18">
        <f>IF(A18="","",Config!F21&amp;"")</f>
        <v>0</v>
      </c>
    </row>
    <row r="19" spans="1:4">
      <c r="A19">
        <f>IF(Config!E22="","",Config!E22)</f>
        <v>0</v>
      </c>
      <c r="B19">
        <f>IF(A19="",0,SUMIFS(Receber!$L$5:$L$1004,Receber!$A$5:$A$1004,A19,Receber!$J$5:$J$1004,"&gt;0"))</f>
        <v>0</v>
      </c>
      <c r="C19">
        <f>IF(B19&gt;0,B19+ROW()/1000000000,"")</f>
        <v>0</v>
      </c>
      <c r="D19">
        <f>IF(A19="","",Config!F22&amp;"")</f>
        <v>0</v>
      </c>
    </row>
    <row r="20" spans="1:4">
      <c r="A20">
        <f>IF(Config!E23="","",Config!E23)</f>
        <v>0</v>
      </c>
      <c r="B20">
        <f>IF(A20="",0,SUMIFS(Receber!$L$5:$L$1004,Receber!$A$5:$A$1004,A20,Receber!$J$5:$J$1004,"&gt;0"))</f>
        <v>0</v>
      </c>
      <c r="C20">
        <f>IF(B20&gt;0,B20+ROW()/1000000000,"")</f>
        <v>0</v>
      </c>
      <c r="D20">
        <f>IF(A20="","",Config!F23&amp;"")</f>
        <v>0</v>
      </c>
    </row>
    <row r="21" spans="1:4">
      <c r="A21">
        <f>IF(Config!E24="","",Config!E24)</f>
        <v>0</v>
      </c>
      <c r="B21">
        <f>IF(A21="",0,SUMIFS(Receber!$L$5:$L$1004,Receber!$A$5:$A$1004,A21,Receber!$J$5:$J$1004,"&gt;0"))</f>
        <v>0</v>
      </c>
      <c r="C21">
        <f>IF(B21&gt;0,B21+ROW()/1000000000,"")</f>
        <v>0</v>
      </c>
      <c r="D21">
        <f>IF(A21="","",Config!F24&amp;"")</f>
        <v>0</v>
      </c>
    </row>
    <row r="22" spans="1:4">
      <c r="A22">
        <f>IF(Config!E25="","",Config!E25)</f>
        <v>0</v>
      </c>
      <c r="B22">
        <f>IF(A22="",0,SUMIFS(Receber!$L$5:$L$1004,Receber!$A$5:$A$1004,A22,Receber!$J$5:$J$1004,"&gt;0"))</f>
        <v>0</v>
      </c>
      <c r="C22">
        <f>IF(B22&gt;0,B22+ROW()/1000000000,"")</f>
        <v>0</v>
      </c>
      <c r="D22">
        <f>IF(A22="","",Config!F25&amp;"")</f>
        <v>0</v>
      </c>
    </row>
    <row r="23" spans="1:4">
      <c r="A23">
        <f>IF(Config!E26="","",Config!E26)</f>
        <v>0</v>
      </c>
      <c r="B23">
        <f>IF(A23="",0,SUMIFS(Receber!$L$5:$L$1004,Receber!$A$5:$A$1004,A23,Receber!$J$5:$J$1004,"&gt;0"))</f>
        <v>0</v>
      </c>
      <c r="C23">
        <f>IF(B23&gt;0,B23+ROW()/1000000000,"")</f>
        <v>0</v>
      </c>
      <c r="D23">
        <f>IF(A23="","",Config!F26&amp;"")</f>
        <v>0</v>
      </c>
    </row>
    <row r="24" spans="1:4">
      <c r="A24">
        <f>IF(Config!E27="","",Config!E27)</f>
        <v>0</v>
      </c>
      <c r="B24">
        <f>IF(A24="",0,SUMIFS(Receber!$L$5:$L$1004,Receber!$A$5:$A$1004,A24,Receber!$J$5:$J$1004,"&gt;0"))</f>
        <v>0</v>
      </c>
      <c r="C24">
        <f>IF(B24&gt;0,B24+ROW()/1000000000,"")</f>
        <v>0</v>
      </c>
      <c r="D24">
        <f>IF(A24="","",Config!F27&amp;"")</f>
        <v>0</v>
      </c>
    </row>
    <row r="25" spans="1:4">
      <c r="A25">
        <f>IF(Config!E28="","",Config!E28)</f>
        <v>0</v>
      </c>
      <c r="B25">
        <f>IF(A25="",0,SUMIFS(Receber!$L$5:$L$1004,Receber!$A$5:$A$1004,A25,Receber!$J$5:$J$1004,"&gt;0"))</f>
        <v>0</v>
      </c>
      <c r="C25">
        <f>IF(B25&gt;0,B25+ROW()/1000000000,"")</f>
        <v>0</v>
      </c>
      <c r="D25">
        <f>IF(A25="","",Config!F28&amp;"")</f>
        <v>0</v>
      </c>
    </row>
    <row r="26" spans="1:4">
      <c r="A26">
        <f>IF(Config!E29="","",Config!E29)</f>
        <v>0</v>
      </c>
      <c r="B26">
        <f>IF(A26="",0,SUMIFS(Receber!$L$5:$L$1004,Receber!$A$5:$A$1004,A26,Receber!$J$5:$J$1004,"&gt;0"))</f>
        <v>0</v>
      </c>
      <c r="C26">
        <f>IF(B26&gt;0,B26+ROW()/1000000000,"")</f>
        <v>0</v>
      </c>
      <c r="D26">
        <f>IF(A26="","",Config!F29&amp;"")</f>
        <v>0</v>
      </c>
    </row>
    <row r="27" spans="1:4">
      <c r="A27">
        <f>IF(Config!E30="","",Config!E30)</f>
        <v>0</v>
      </c>
      <c r="B27">
        <f>IF(A27="",0,SUMIFS(Receber!$L$5:$L$1004,Receber!$A$5:$A$1004,A27,Receber!$J$5:$J$1004,"&gt;0"))</f>
        <v>0</v>
      </c>
      <c r="C27">
        <f>IF(B27&gt;0,B27+ROW()/1000000000,"")</f>
        <v>0</v>
      </c>
      <c r="D27">
        <f>IF(A27="","",Config!F30&amp;"")</f>
        <v>0</v>
      </c>
    </row>
    <row r="28" spans="1:4">
      <c r="A28">
        <f>IF(Config!E31="","",Config!E31)</f>
        <v>0</v>
      </c>
      <c r="B28">
        <f>IF(A28="",0,SUMIFS(Receber!$L$5:$L$1004,Receber!$A$5:$A$1004,A28,Receber!$J$5:$J$1004,"&gt;0"))</f>
        <v>0</v>
      </c>
      <c r="C28">
        <f>IF(B28&gt;0,B28+ROW()/1000000000,"")</f>
        <v>0</v>
      </c>
      <c r="D28">
        <f>IF(A28="","",Config!F31&amp;"")</f>
        <v>0</v>
      </c>
    </row>
    <row r="29" spans="1:4">
      <c r="A29">
        <f>IF(Config!E32="","",Config!E32)</f>
        <v>0</v>
      </c>
      <c r="B29">
        <f>IF(A29="",0,SUMIFS(Receber!$L$5:$L$1004,Receber!$A$5:$A$1004,A29,Receber!$J$5:$J$1004,"&gt;0"))</f>
        <v>0</v>
      </c>
      <c r="C29">
        <f>IF(B29&gt;0,B29+ROW()/1000000000,"")</f>
        <v>0</v>
      </c>
      <c r="D29">
        <f>IF(A29="","",Config!F32&amp;"")</f>
        <v>0</v>
      </c>
    </row>
    <row r="30" spans="1:4">
      <c r="A30">
        <f>IF(Config!E33="","",Config!E33)</f>
        <v>0</v>
      </c>
      <c r="B30">
        <f>IF(A30="",0,SUMIFS(Receber!$L$5:$L$1004,Receber!$A$5:$A$1004,A30,Receber!$J$5:$J$1004,"&gt;0"))</f>
        <v>0</v>
      </c>
      <c r="C30">
        <f>IF(B30&gt;0,B30+ROW()/1000000000,"")</f>
        <v>0</v>
      </c>
      <c r="D30">
        <f>IF(A30="","",Config!F33&amp;"")</f>
        <v>0</v>
      </c>
    </row>
    <row r="31" spans="1:4">
      <c r="A31">
        <f>IF(Config!E34="","",Config!E34)</f>
        <v>0</v>
      </c>
      <c r="B31">
        <f>IF(A31="",0,SUMIFS(Receber!$L$5:$L$1004,Receber!$A$5:$A$1004,A31,Receber!$J$5:$J$1004,"&gt;0"))</f>
        <v>0</v>
      </c>
      <c r="C31">
        <f>IF(B31&gt;0,B31+ROW()/1000000000,"")</f>
        <v>0</v>
      </c>
      <c r="D31">
        <f>IF(A31="","",Config!F34&amp;"")</f>
        <v>0</v>
      </c>
    </row>
    <row r="32" spans="1:4">
      <c r="A32">
        <f>IF(Config!E35="","",Config!E35)</f>
        <v>0</v>
      </c>
      <c r="B32">
        <f>IF(A32="",0,SUMIFS(Receber!$L$5:$L$1004,Receber!$A$5:$A$1004,A32,Receber!$J$5:$J$1004,"&gt;0"))</f>
        <v>0</v>
      </c>
      <c r="C32">
        <f>IF(B32&gt;0,B32+ROW()/1000000000,"")</f>
        <v>0</v>
      </c>
      <c r="D32">
        <f>IF(A32="","",Config!F35&amp;"")</f>
        <v>0</v>
      </c>
    </row>
    <row r="33" spans="1:4">
      <c r="A33">
        <f>IF(Config!E36="","",Config!E36)</f>
        <v>0</v>
      </c>
      <c r="B33">
        <f>IF(A33="",0,SUMIFS(Receber!$L$5:$L$1004,Receber!$A$5:$A$1004,A33,Receber!$J$5:$J$1004,"&gt;0"))</f>
        <v>0</v>
      </c>
      <c r="C33">
        <f>IF(B33&gt;0,B33+ROW()/1000000000,"")</f>
        <v>0</v>
      </c>
      <c r="D33">
        <f>IF(A33="","",Config!F36&amp;"")</f>
        <v>0</v>
      </c>
    </row>
    <row r="34" spans="1:4">
      <c r="A34">
        <f>IF(Config!E37="","",Config!E37)</f>
        <v>0</v>
      </c>
      <c r="B34">
        <f>IF(A34="",0,SUMIFS(Receber!$L$5:$L$1004,Receber!$A$5:$A$1004,A34,Receber!$J$5:$J$1004,"&gt;0"))</f>
        <v>0</v>
      </c>
      <c r="C34">
        <f>IF(B34&gt;0,B34+ROW()/1000000000,"")</f>
        <v>0</v>
      </c>
      <c r="D34">
        <f>IF(A34="","",Config!F37&amp;"")</f>
        <v>0</v>
      </c>
    </row>
    <row r="35" spans="1:4">
      <c r="A35">
        <f>IF(Config!E38="","",Config!E38)</f>
        <v>0</v>
      </c>
      <c r="B35">
        <f>IF(A35="",0,SUMIFS(Receber!$L$5:$L$1004,Receber!$A$5:$A$1004,A35,Receber!$J$5:$J$1004,"&gt;0"))</f>
        <v>0</v>
      </c>
      <c r="C35">
        <f>IF(B35&gt;0,B35+ROW()/1000000000,"")</f>
        <v>0</v>
      </c>
      <c r="D35">
        <f>IF(A35="","",Config!F38&amp;"")</f>
        <v>0</v>
      </c>
    </row>
    <row r="36" spans="1:4">
      <c r="A36">
        <f>IF(Config!E39="","",Config!E39)</f>
        <v>0</v>
      </c>
      <c r="B36">
        <f>IF(A36="",0,SUMIFS(Receber!$L$5:$L$1004,Receber!$A$5:$A$1004,A36,Receber!$J$5:$J$1004,"&gt;0"))</f>
        <v>0</v>
      </c>
      <c r="C36">
        <f>IF(B36&gt;0,B36+ROW()/1000000000,"")</f>
        <v>0</v>
      </c>
      <c r="D36">
        <f>IF(A36="","",Config!F39&amp;"")</f>
        <v>0</v>
      </c>
    </row>
    <row r="37" spans="1:4">
      <c r="A37">
        <f>IF(Config!E40="","",Config!E40)</f>
        <v>0</v>
      </c>
      <c r="B37">
        <f>IF(A37="",0,SUMIFS(Receber!$L$5:$L$1004,Receber!$A$5:$A$1004,A37,Receber!$J$5:$J$1004,"&gt;0"))</f>
        <v>0</v>
      </c>
      <c r="C37">
        <f>IF(B37&gt;0,B37+ROW()/1000000000,"")</f>
        <v>0</v>
      </c>
      <c r="D37">
        <f>IF(A37="","",Config!F40&amp;"")</f>
        <v>0</v>
      </c>
    </row>
    <row r="38" spans="1:4">
      <c r="A38">
        <f>IF(Config!E41="","",Config!E41)</f>
        <v>0</v>
      </c>
      <c r="B38">
        <f>IF(A38="",0,SUMIFS(Receber!$L$5:$L$1004,Receber!$A$5:$A$1004,A38,Receber!$J$5:$J$1004,"&gt;0"))</f>
        <v>0</v>
      </c>
      <c r="C38">
        <f>IF(B38&gt;0,B38+ROW()/1000000000,"")</f>
        <v>0</v>
      </c>
      <c r="D38">
        <f>IF(A38="","",Config!F41&amp;"")</f>
        <v>0</v>
      </c>
    </row>
    <row r="39" spans="1:4">
      <c r="A39">
        <f>IF(Config!E42="","",Config!E42)</f>
        <v>0</v>
      </c>
      <c r="B39">
        <f>IF(A39="",0,SUMIFS(Receber!$L$5:$L$1004,Receber!$A$5:$A$1004,A39,Receber!$J$5:$J$1004,"&gt;0"))</f>
        <v>0</v>
      </c>
      <c r="C39">
        <f>IF(B39&gt;0,B39+ROW()/1000000000,"")</f>
        <v>0</v>
      </c>
      <c r="D39">
        <f>IF(A39="","",Config!F42&amp;"")</f>
        <v>0</v>
      </c>
    </row>
    <row r="40" spans="1:4">
      <c r="A40">
        <f>IF(Config!E43="","",Config!E43)</f>
        <v>0</v>
      </c>
      <c r="B40">
        <f>IF(A40="",0,SUMIFS(Receber!$L$5:$L$1004,Receber!$A$5:$A$1004,A40,Receber!$J$5:$J$1004,"&gt;0"))</f>
        <v>0</v>
      </c>
      <c r="C40">
        <f>IF(B40&gt;0,B40+ROW()/1000000000,"")</f>
        <v>0</v>
      </c>
      <c r="D40">
        <f>IF(A40="","",Config!F43&amp;"")</f>
        <v>0</v>
      </c>
    </row>
    <row r="41" spans="1:4">
      <c r="A41">
        <f>IF(Config!E44="","",Config!E44)</f>
        <v>0</v>
      </c>
      <c r="B41">
        <f>IF(A41="",0,SUMIFS(Receber!$L$5:$L$1004,Receber!$A$5:$A$1004,A41,Receber!$J$5:$J$1004,"&gt;0"))</f>
        <v>0</v>
      </c>
      <c r="C41">
        <f>IF(B41&gt;0,B41+ROW()/1000000000,"")</f>
        <v>0</v>
      </c>
      <c r="D41">
        <f>IF(A41="","",Config!F44&amp;"")</f>
        <v>0</v>
      </c>
    </row>
    <row r="42" spans="1:4">
      <c r="A42">
        <f>IF(Config!E45="","",Config!E45)</f>
        <v>0</v>
      </c>
      <c r="B42">
        <f>IF(A42="",0,SUMIFS(Receber!$L$5:$L$1004,Receber!$A$5:$A$1004,A42,Receber!$J$5:$J$1004,"&gt;0"))</f>
        <v>0</v>
      </c>
      <c r="C42">
        <f>IF(B42&gt;0,B42+ROW()/1000000000,"")</f>
        <v>0</v>
      </c>
      <c r="D42">
        <f>IF(A42="","",Config!F45&amp;"")</f>
        <v>0</v>
      </c>
    </row>
    <row r="43" spans="1:4">
      <c r="A43">
        <f>IF(Config!E46="","",Config!E46)</f>
        <v>0</v>
      </c>
      <c r="B43">
        <f>IF(A43="",0,SUMIFS(Receber!$L$5:$L$1004,Receber!$A$5:$A$1004,A43,Receber!$J$5:$J$1004,"&gt;0"))</f>
        <v>0</v>
      </c>
      <c r="C43">
        <f>IF(B43&gt;0,B43+ROW()/1000000000,"")</f>
        <v>0</v>
      </c>
      <c r="D43">
        <f>IF(A43="","",Config!F46&amp;"")</f>
        <v>0</v>
      </c>
    </row>
    <row r="44" spans="1:4">
      <c r="A44">
        <f>IF(Config!E47="","",Config!E47)</f>
        <v>0</v>
      </c>
      <c r="B44">
        <f>IF(A44="",0,SUMIFS(Receber!$L$5:$L$1004,Receber!$A$5:$A$1004,A44,Receber!$J$5:$J$1004,"&gt;0"))</f>
        <v>0</v>
      </c>
      <c r="C44">
        <f>IF(B44&gt;0,B44+ROW()/1000000000,"")</f>
        <v>0</v>
      </c>
      <c r="D44">
        <f>IF(A44="","",Config!F47&amp;"")</f>
        <v>0</v>
      </c>
    </row>
    <row r="45" spans="1:4">
      <c r="A45">
        <f>IF(Config!E48="","",Config!E48)</f>
        <v>0</v>
      </c>
      <c r="B45">
        <f>IF(A45="",0,SUMIFS(Receber!$L$5:$L$1004,Receber!$A$5:$A$1004,A45,Receber!$J$5:$J$1004,"&gt;0"))</f>
        <v>0</v>
      </c>
      <c r="C45">
        <f>IF(B45&gt;0,B45+ROW()/1000000000,"")</f>
        <v>0</v>
      </c>
      <c r="D45">
        <f>IF(A45="","",Config!F48&amp;"")</f>
        <v>0</v>
      </c>
    </row>
    <row r="46" spans="1:4">
      <c r="A46">
        <f>IF(Config!E49="","",Config!E49)</f>
        <v>0</v>
      </c>
      <c r="B46">
        <f>IF(A46="",0,SUMIFS(Receber!$L$5:$L$1004,Receber!$A$5:$A$1004,A46,Receber!$J$5:$J$1004,"&gt;0"))</f>
        <v>0</v>
      </c>
      <c r="C46">
        <f>IF(B46&gt;0,B46+ROW()/1000000000,"")</f>
        <v>0</v>
      </c>
      <c r="D46">
        <f>IF(A46="","",Config!F49&amp;"")</f>
        <v>0</v>
      </c>
    </row>
    <row r="47" spans="1:4">
      <c r="A47">
        <f>IF(Config!E50="","",Config!E50)</f>
        <v>0</v>
      </c>
      <c r="B47">
        <f>IF(A47="",0,SUMIFS(Receber!$L$5:$L$1004,Receber!$A$5:$A$1004,A47,Receber!$J$5:$J$1004,"&gt;0"))</f>
        <v>0</v>
      </c>
      <c r="C47">
        <f>IF(B47&gt;0,B47+ROW()/1000000000,"")</f>
        <v>0</v>
      </c>
      <c r="D47">
        <f>IF(A47="","",Config!F50&amp;"")</f>
        <v>0</v>
      </c>
    </row>
    <row r="48" spans="1:4">
      <c r="A48">
        <f>IF(Config!E51="","",Config!E51)</f>
        <v>0</v>
      </c>
      <c r="B48">
        <f>IF(A48="",0,SUMIFS(Receber!$L$5:$L$1004,Receber!$A$5:$A$1004,A48,Receber!$J$5:$J$1004,"&gt;0"))</f>
        <v>0</v>
      </c>
      <c r="C48">
        <f>IF(B48&gt;0,B48+ROW()/1000000000,"")</f>
        <v>0</v>
      </c>
      <c r="D48">
        <f>IF(A48="","",Config!F51&amp;"")</f>
        <v>0</v>
      </c>
    </row>
    <row r="49" spans="1:4">
      <c r="A49">
        <f>IF(Config!E52="","",Config!E52)</f>
        <v>0</v>
      </c>
      <c r="B49">
        <f>IF(A49="",0,SUMIFS(Receber!$L$5:$L$1004,Receber!$A$5:$A$1004,A49,Receber!$J$5:$J$1004,"&gt;0"))</f>
        <v>0</v>
      </c>
      <c r="C49">
        <f>IF(B49&gt;0,B49+ROW()/1000000000,"")</f>
        <v>0</v>
      </c>
      <c r="D49">
        <f>IF(A49="","",Config!F52&amp;"")</f>
        <v>0</v>
      </c>
    </row>
    <row r="50" spans="1:4">
      <c r="A50">
        <f>IF(Config!E53="","",Config!E53)</f>
        <v>0</v>
      </c>
      <c r="B50">
        <f>IF(A50="",0,SUMIFS(Receber!$L$5:$L$1004,Receber!$A$5:$A$1004,A50,Receber!$J$5:$J$1004,"&gt;0"))</f>
        <v>0</v>
      </c>
      <c r="C50">
        <f>IF(B50&gt;0,B50+ROW()/1000000000,"")</f>
        <v>0</v>
      </c>
      <c r="D50">
        <f>IF(A50="","",Config!F53&amp;"")</f>
        <v>0</v>
      </c>
    </row>
    <row r="51" spans="1:4">
      <c r="A51">
        <f>IF(Config!E54="","",Config!E54)</f>
        <v>0</v>
      </c>
      <c r="B51">
        <f>IF(A51="",0,SUMIFS(Receber!$L$5:$L$1004,Receber!$A$5:$A$1004,A51,Receber!$J$5:$J$1004,"&gt;0"))</f>
        <v>0</v>
      </c>
      <c r="C51">
        <f>IF(B51&gt;0,B51+ROW()/1000000000,"")</f>
        <v>0</v>
      </c>
      <c r="D51">
        <f>IF(A51="","",Config!F54&amp;"")</f>
        <v>0</v>
      </c>
    </row>
    <row r="52" spans="1:4">
      <c r="A52">
        <f>IF(Config!E55="","",Config!E55)</f>
        <v>0</v>
      </c>
      <c r="B52">
        <f>IF(A52="",0,SUMIFS(Receber!$L$5:$L$1004,Receber!$A$5:$A$1004,A52,Receber!$J$5:$J$1004,"&gt;0"))</f>
        <v>0</v>
      </c>
      <c r="C52">
        <f>IF(B52&gt;0,B52+ROW()/1000000000,"")</f>
        <v>0</v>
      </c>
      <c r="D52">
        <f>IF(A52="","",Config!F55&amp;"")</f>
        <v>0</v>
      </c>
    </row>
    <row r="53" spans="1:4">
      <c r="A53">
        <f>IF(Config!E56="","",Config!E56)</f>
        <v>0</v>
      </c>
      <c r="B53">
        <f>IF(A53="",0,SUMIFS(Receber!$L$5:$L$1004,Receber!$A$5:$A$1004,A53,Receber!$J$5:$J$1004,"&gt;0"))</f>
        <v>0</v>
      </c>
      <c r="C53">
        <f>IF(B53&gt;0,B53+ROW()/1000000000,"")</f>
        <v>0</v>
      </c>
      <c r="D53">
        <f>IF(A53="","",Config!F56&amp;"")</f>
        <v>0</v>
      </c>
    </row>
    <row r="54" spans="1:4">
      <c r="A54">
        <f>IF(Config!E57="","",Config!E57)</f>
        <v>0</v>
      </c>
      <c r="B54">
        <f>IF(A54="",0,SUMIFS(Receber!$L$5:$L$1004,Receber!$A$5:$A$1004,A54,Receber!$J$5:$J$1004,"&gt;0"))</f>
        <v>0</v>
      </c>
      <c r="C54">
        <f>IF(B54&gt;0,B54+ROW()/1000000000,"")</f>
        <v>0</v>
      </c>
      <c r="D54">
        <f>IF(A54="","",Config!F57&amp;"")</f>
        <v>0</v>
      </c>
    </row>
    <row r="55" spans="1:4">
      <c r="A55">
        <f>IF(Config!E58="","",Config!E58)</f>
        <v>0</v>
      </c>
      <c r="B55">
        <f>IF(A55="",0,SUMIFS(Receber!$L$5:$L$1004,Receber!$A$5:$A$1004,A55,Receber!$J$5:$J$1004,"&gt;0"))</f>
        <v>0</v>
      </c>
      <c r="C55">
        <f>IF(B55&gt;0,B55+ROW()/1000000000,"")</f>
        <v>0</v>
      </c>
      <c r="D55">
        <f>IF(A55="","",Config!F58&amp;"")</f>
        <v>0</v>
      </c>
    </row>
    <row r="56" spans="1:4">
      <c r="A56">
        <f>IF(Config!E59="","",Config!E59)</f>
        <v>0</v>
      </c>
      <c r="B56">
        <f>IF(A56="",0,SUMIFS(Receber!$L$5:$L$1004,Receber!$A$5:$A$1004,A56,Receber!$J$5:$J$1004,"&gt;0"))</f>
        <v>0</v>
      </c>
      <c r="C56">
        <f>IF(B56&gt;0,B56+ROW()/1000000000,"")</f>
        <v>0</v>
      </c>
      <c r="D56">
        <f>IF(A56="","",Config!F59&amp;"")</f>
        <v>0</v>
      </c>
    </row>
    <row r="57" spans="1:4">
      <c r="A57">
        <f>IF(Config!E60="","",Config!E60)</f>
        <v>0</v>
      </c>
      <c r="B57">
        <f>IF(A57="",0,SUMIFS(Receber!$L$5:$L$1004,Receber!$A$5:$A$1004,A57,Receber!$J$5:$J$1004,"&gt;0"))</f>
        <v>0</v>
      </c>
      <c r="C57">
        <f>IF(B57&gt;0,B57+ROW()/1000000000,"")</f>
        <v>0</v>
      </c>
      <c r="D57">
        <f>IF(A57="","",Config!F60&amp;"")</f>
        <v>0</v>
      </c>
    </row>
    <row r="58" spans="1:4">
      <c r="A58">
        <f>IF(Config!E61="","",Config!E61)</f>
        <v>0</v>
      </c>
      <c r="B58">
        <f>IF(A58="",0,SUMIFS(Receber!$L$5:$L$1004,Receber!$A$5:$A$1004,A58,Receber!$J$5:$J$1004,"&gt;0"))</f>
        <v>0</v>
      </c>
      <c r="C58">
        <f>IF(B58&gt;0,B58+ROW()/1000000000,"")</f>
        <v>0</v>
      </c>
      <c r="D58">
        <f>IF(A58="","",Config!F61&amp;"")</f>
        <v>0</v>
      </c>
    </row>
    <row r="59" spans="1:4">
      <c r="A59">
        <f>IF(Config!E62="","",Config!E62)</f>
        <v>0</v>
      </c>
      <c r="B59">
        <f>IF(A59="",0,SUMIFS(Receber!$L$5:$L$1004,Receber!$A$5:$A$1004,A59,Receber!$J$5:$J$1004,"&gt;0"))</f>
        <v>0</v>
      </c>
      <c r="C59">
        <f>IF(B59&gt;0,B59+ROW()/1000000000,"")</f>
        <v>0</v>
      </c>
      <c r="D59">
        <f>IF(A59="","",Config!F62&amp;"")</f>
        <v>0</v>
      </c>
    </row>
    <row r="60" spans="1:4">
      <c r="A60">
        <f>IF(Config!E63="","",Config!E63)</f>
        <v>0</v>
      </c>
      <c r="B60">
        <f>IF(A60="",0,SUMIFS(Receber!$L$5:$L$1004,Receber!$A$5:$A$1004,A60,Receber!$J$5:$J$1004,"&gt;0"))</f>
        <v>0</v>
      </c>
      <c r="C60">
        <f>IF(B60&gt;0,B60+ROW()/1000000000,"")</f>
        <v>0</v>
      </c>
      <c r="D60">
        <f>IF(A60="","",Config!F63&amp;"")</f>
        <v>0</v>
      </c>
    </row>
    <row r="61" spans="1:4">
      <c r="A61">
        <f>IF(Config!E64="","",Config!E64)</f>
        <v>0</v>
      </c>
      <c r="B61">
        <f>IF(A61="",0,SUMIFS(Receber!$L$5:$L$1004,Receber!$A$5:$A$1004,A61,Receber!$J$5:$J$1004,"&gt;0"))</f>
        <v>0</v>
      </c>
      <c r="C61">
        <f>IF(B61&gt;0,B61+ROW()/1000000000,"")</f>
        <v>0</v>
      </c>
      <c r="D61">
        <f>IF(A61="","",Config!F64&amp;"")</f>
        <v>0</v>
      </c>
    </row>
    <row r="62" spans="1:4">
      <c r="A62">
        <f>IF(Config!E65="","",Config!E65)</f>
        <v>0</v>
      </c>
      <c r="B62">
        <f>IF(A62="",0,SUMIFS(Receber!$L$5:$L$1004,Receber!$A$5:$A$1004,A62,Receber!$J$5:$J$1004,"&gt;0"))</f>
        <v>0</v>
      </c>
      <c r="C62">
        <f>IF(B62&gt;0,B62+ROW()/1000000000,"")</f>
        <v>0</v>
      </c>
      <c r="D62">
        <f>IF(A62="","",Config!F65&amp;"")</f>
        <v>0</v>
      </c>
    </row>
    <row r="63" spans="1:4">
      <c r="A63">
        <f>IF(Config!E66="","",Config!E66)</f>
        <v>0</v>
      </c>
      <c r="B63">
        <f>IF(A63="",0,SUMIFS(Receber!$L$5:$L$1004,Receber!$A$5:$A$1004,A63,Receber!$J$5:$J$1004,"&gt;0"))</f>
        <v>0</v>
      </c>
      <c r="C63">
        <f>IF(B63&gt;0,B63+ROW()/1000000000,"")</f>
        <v>0</v>
      </c>
      <c r="D63">
        <f>IF(A63="","",Config!F66&amp;"")</f>
        <v>0</v>
      </c>
    </row>
    <row r="64" spans="1:4">
      <c r="A64">
        <f>IF(Config!E67="","",Config!E67)</f>
        <v>0</v>
      </c>
      <c r="B64">
        <f>IF(A64="",0,SUMIFS(Receber!$L$5:$L$1004,Receber!$A$5:$A$1004,A64,Receber!$J$5:$J$1004,"&gt;0"))</f>
        <v>0</v>
      </c>
      <c r="C64">
        <f>IF(B64&gt;0,B64+ROW()/1000000000,"")</f>
        <v>0</v>
      </c>
      <c r="D64">
        <f>IF(A64="","",Config!F67&amp;"")</f>
        <v>0</v>
      </c>
    </row>
    <row r="65" spans="1:4">
      <c r="A65">
        <f>IF(Config!E68="","",Config!E68)</f>
        <v>0</v>
      </c>
      <c r="B65">
        <f>IF(A65="",0,SUMIFS(Receber!$L$5:$L$1004,Receber!$A$5:$A$1004,A65,Receber!$J$5:$J$1004,"&gt;0"))</f>
        <v>0</v>
      </c>
      <c r="C65">
        <f>IF(B65&gt;0,B65+ROW()/1000000000,"")</f>
        <v>0</v>
      </c>
      <c r="D65">
        <f>IF(A65="","",Config!F68&amp;"")</f>
        <v>0</v>
      </c>
    </row>
    <row r="66" spans="1:4">
      <c r="A66">
        <f>IF(Config!E69="","",Config!E69)</f>
        <v>0</v>
      </c>
      <c r="B66">
        <f>IF(A66="",0,SUMIFS(Receber!$L$5:$L$1004,Receber!$A$5:$A$1004,A66,Receber!$J$5:$J$1004,"&gt;0"))</f>
        <v>0</v>
      </c>
      <c r="C66">
        <f>IF(B66&gt;0,B66+ROW()/1000000000,"")</f>
        <v>0</v>
      </c>
      <c r="D66">
        <f>IF(A66="","",Config!F69&amp;"")</f>
        <v>0</v>
      </c>
    </row>
    <row r="67" spans="1:4">
      <c r="A67">
        <f>IF(Config!E70="","",Config!E70)</f>
        <v>0</v>
      </c>
      <c r="B67">
        <f>IF(A67="",0,SUMIFS(Receber!$L$5:$L$1004,Receber!$A$5:$A$1004,A67,Receber!$J$5:$J$1004,"&gt;0"))</f>
        <v>0</v>
      </c>
      <c r="C67">
        <f>IF(B67&gt;0,B67+ROW()/1000000000,"")</f>
        <v>0</v>
      </c>
      <c r="D67">
        <f>IF(A67="","",Config!F70&amp;"")</f>
        <v>0</v>
      </c>
    </row>
    <row r="68" spans="1:4">
      <c r="A68">
        <f>IF(Config!E71="","",Config!E71)</f>
        <v>0</v>
      </c>
      <c r="B68">
        <f>IF(A68="",0,SUMIFS(Receber!$L$5:$L$1004,Receber!$A$5:$A$1004,A68,Receber!$J$5:$J$1004,"&gt;0"))</f>
        <v>0</v>
      </c>
      <c r="C68">
        <f>IF(B68&gt;0,B68+ROW()/1000000000,"")</f>
        <v>0</v>
      </c>
      <c r="D68">
        <f>IF(A68="","",Config!F71&amp;"")</f>
        <v>0</v>
      </c>
    </row>
    <row r="69" spans="1:4">
      <c r="A69">
        <f>IF(Config!E72="","",Config!E72)</f>
        <v>0</v>
      </c>
      <c r="B69">
        <f>IF(A69="",0,SUMIFS(Receber!$L$5:$L$1004,Receber!$A$5:$A$1004,A69,Receber!$J$5:$J$1004,"&gt;0"))</f>
        <v>0</v>
      </c>
      <c r="C69">
        <f>IF(B69&gt;0,B69+ROW()/1000000000,"")</f>
        <v>0</v>
      </c>
      <c r="D69">
        <f>IF(A69="","",Config!F72&amp;"")</f>
        <v>0</v>
      </c>
    </row>
    <row r="70" spans="1:4">
      <c r="A70">
        <f>IF(Config!E73="","",Config!E73)</f>
        <v>0</v>
      </c>
      <c r="B70">
        <f>IF(A70="",0,SUMIFS(Receber!$L$5:$L$1004,Receber!$A$5:$A$1004,A70,Receber!$J$5:$J$1004,"&gt;0"))</f>
        <v>0</v>
      </c>
      <c r="C70">
        <f>IF(B70&gt;0,B70+ROW()/1000000000,"")</f>
        <v>0</v>
      </c>
      <c r="D70">
        <f>IF(A70="","",Config!F73&amp;"")</f>
        <v>0</v>
      </c>
    </row>
    <row r="71" spans="1:4">
      <c r="A71">
        <f>IF(Config!E74="","",Config!E74)</f>
        <v>0</v>
      </c>
      <c r="B71">
        <f>IF(A71="",0,SUMIFS(Receber!$L$5:$L$1004,Receber!$A$5:$A$1004,A71,Receber!$J$5:$J$1004,"&gt;0"))</f>
        <v>0</v>
      </c>
      <c r="C71">
        <f>IF(B71&gt;0,B71+ROW()/1000000000,"")</f>
        <v>0</v>
      </c>
      <c r="D71">
        <f>IF(A71="","",Config!F74&amp;"")</f>
        <v>0</v>
      </c>
    </row>
    <row r="72" spans="1:4">
      <c r="A72">
        <f>IF(Config!E75="","",Config!E75)</f>
        <v>0</v>
      </c>
      <c r="B72">
        <f>IF(A72="",0,SUMIFS(Receber!$L$5:$L$1004,Receber!$A$5:$A$1004,A72,Receber!$J$5:$J$1004,"&gt;0"))</f>
        <v>0</v>
      </c>
      <c r="C72">
        <f>IF(B72&gt;0,B72+ROW()/1000000000,"")</f>
        <v>0</v>
      </c>
      <c r="D72">
        <f>IF(A72="","",Config!F75&amp;"")</f>
        <v>0</v>
      </c>
    </row>
    <row r="73" spans="1:4">
      <c r="A73">
        <f>IF(Config!E76="","",Config!E76)</f>
        <v>0</v>
      </c>
      <c r="B73">
        <f>IF(A73="",0,SUMIFS(Receber!$L$5:$L$1004,Receber!$A$5:$A$1004,A73,Receber!$J$5:$J$1004,"&gt;0"))</f>
        <v>0</v>
      </c>
      <c r="C73">
        <f>IF(B73&gt;0,B73+ROW()/1000000000,"")</f>
        <v>0</v>
      </c>
      <c r="D73">
        <f>IF(A73="","",Config!F76&amp;"")</f>
        <v>0</v>
      </c>
    </row>
    <row r="74" spans="1:4">
      <c r="A74">
        <f>IF(Config!E77="","",Config!E77)</f>
        <v>0</v>
      </c>
      <c r="B74">
        <f>IF(A74="",0,SUMIFS(Receber!$L$5:$L$1004,Receber!$A$5:$A$1004,A74,Receber!$J$5:$J$1004,"&gt;0"))</f>
        <v>0</v>
      </c>
      <c r="C74">
        <f>IF(B74&gt;0,B74+ROW()/1000000000,"")</f>
        <v>0</v>
      </c>
      <c r="D74">
        <f>IF(A74="","",Config!F77&amp;"")</f>
        <v>0</v>
      </c>
    </row>
    <row r="75" spans="1:4">
      <c r="A75">
        <f>IF(Config!E78="","",Config!E78)</f>
        <v>0</v>
      </c>
      <c r="B75">
        <f>IF(A75="",0,SUMIFS(Receber!$L$5:$L$1004,Receber!$A$5:$A$1004,A75,Receber!$J$5:$J$1004,"&gt;0"))</f>
        <v>0</v>
      </c>
      <c r="C75">
        <f>IF(B75&gt;0,B75+ROW()/1000000000,"")</f>
        <v>0</v>
      </c>
      <c r="D75">
        <f>IF(A75="","",Config!F78&amp;"")</f>
        <v>0</v>
      </c>
    </row>
    <row r="76" spans="1:4">
      <c r="A76">
        <f>IF(Config!E79="","",Config!E79)</f>
        <v>0</v>
      </c>
      <c r="B76">
        <f>IF(A76="",0,SUMIFS(Receber!$L$5:$L$1004,Receber!$A$5:$A$1004,A76,Receber!$J$5:$J$1004,"&gt;0"))</f>
        <v>0</v>
      </c>
      <c r="C76">
        <f>IF(B76&gt;0,B76+ROW()/1000000000,"")</f>
        <v>0</v>
      </c>
      <c r="D76">
        <f>IF(A76="","",Config!F79&amp;"")</f>
        <v>0</v>
      </c>
    </row>
    <row r="77" spans="1:4">
      <c r="A77">
        <f>IF(Config!E80="","",Config!E80)</f>
        <v>0</v>
      </c>
      <c r="B77">
        <f>IF(A77="",0,SUMIFS(Receber!$L$5:$L$1004,Receber!$A$5:$A$1004,A77,Receber!$J$5:$J$1004,"&gt;0"))</f>
        <v>0</v>
      </c>
      <c r="C77">
        <f>IF(B77&gt;0,B77+ROW()/1000000000,"")</f>
        <v>0</v>
      </c>
      <c r="D77">
        <f>IF(A77="","",Config!F80&amp;"")</f>
        <v>0</v>
      </c>
    </row>
    <row r="78" spans="1:4">
      <c r="A78">
        <f>IF(Config!E81="","",Config!E81)</f>
        <v>0</v>
      </c>
      <c r="B78">
        <f>IF(A78="",0,SUMIFS(Receber!$L$5:$L$1004,Receber!$A$5:$A$1004,A78,Receber!$J$5:$J$1004,"&gt;0"))</f>
        <v>0</v>
      </c>
      <c r="C78">
        <f>IF(B78&gt;0,B78+ROW()/1000000000,"")</f>
        <v>0</v>
      </c>
      <c r="D78">
        <f>IF(A78="","",Config!F81&amp;"")</f>
        <v>0</v>
      </c>
    </row>
    <row r="79" spans="1:4">
      <c r="A79">
        <f>IF(Config!E82="","",Config!E82)</f>
        <v>0</v>
      </c>
      <c r="B79">
        <f>IF(A79="",0,SUMIFS(Receber!$L$5:$L$1004,Receber!$A$5:$A$1004,A79,Receber!$J$5:$J$1004,"&gt;0"))</f>
        <v>0</v>
      </c>
      <c r="C79">
        <f>IF(B79&gt;0,B79+ROW()/1000000000,"")</f>
        <v>0</v>
      </c>
      <c r="D79">
        <f>IF(A79="","",Config!F82&amp;"")</f>
        <v>0</v>
      </c>
    </row>
    <row r="80" spans="1:4">
      <c r="A80">
        <f>IF(Config!E83="","",Config!E83)</f>
        <v>0</v>
      </c>
      <c r="B80">
        <f>IF(A80="",0,SUMIFS(Receber!$L$5:$L$1004,Receber!$A$5:$A$1004,A80,Receber!$J$5:$J$1004,"&gt;0"))</f>
        <v>0</v>
      </c>
      <c r="C80">
        <f>IF(B80&gt;0,B80+ROW()/1000000000,"")</f>
        <v>0</v>
      </c>
      <c r="D80">
        <f>IF(A80="","",Config!F83&amp;"")</f>
        <v>0</v>
      </c>
    </row>
    <row r="81" spans="1:4">
      <c r="A81">
        <f>IF(Config!E84="","",Config!E84)</f>
        <v>0</v>
      </c>
      <c r="B81">
        <f>IF(A81="",0,SUMIFS(Receber!$L$5:$L$1004,Receber!$A$5:$A$1004,A81,Receber!$J$5:$J$1004,"&gt;0"))</f>
        <v>0</v>
      </c>
      <c r="C81">
        <f>IF(B81&gt;0,B81+ROW()/1000000000,"")</f>
        <v>0</v>
      </c>
      <c r="D81">
        <f>IF(A81="","",Config!F84&amp;"")</f>
        <v>0</v>
      </c>
    </row>
    <row r="82" spans="1:4">
      <c r="A82">
        <f>IF(Config!E85="","",Config!E85)</f>
        <v>0</v>
      </c>
      <c r="B82">
        <f>IF(A82="",0,SUMIFS(Receber!$L$5:$L$1004,Receber!$A$5:$A$1004,A82,Receber!$J$5:$J$1004,"&gt;0"))</f>
        <v>0</v>
      </c>
      <c r="C82">
        <f>IF(B82&gt;0,B82+ROW()/1000000000,"")</f>
        <v>0</v>
      </c>
      <c r="D82">
        <f>IF(A82="","",Config!F85&amp;"")</f>
        <v>0</v>
      </c>
    </row>
    <row r="83" spans="1:4">
      <c r="A83">
        <f>IF(Config!E86="","",Config!E86)</f>
        <v>0</v>
      </c>
      <c r="B83">
        <f>IF(A83="",0,SUMIFS(Receber!$L$5:$L$1004,Receber!$A$5:$A$1004,A83,Receber!$J$5:$J$1004,"&gt;0"))</f>
        <v>0</v>
      </c>
      <c r="C83">
        <f>IF(B83&gt;0,B83+ROW()/1000000000,"")</f>
        <v>0</v>
      </c>
      <c r="D83">
        <f>IF(A83="","",Config!F86&amp;"")</f>
        <v>0</v>
      </c>
    </row>
    <row r="84" spans="1:4">
      <c r="A84">
        <f>IF(Config!E87="","",Config!E87)</f>
        <v>0</v>
      </c>
      <c r="B84">
        <f>IF(A84="",0,SUMIFS(Receber!$L$5:$L$1004,Receber!$A$5:$A$1004,A84,Receber!$J$5:$J$1004,"&gt;0"))</f>
        <v>0</v>
      </c>
      <c r="C84">
        <f>IF(B84&gt;0,B84+ROW()/1000000000,"")</f>
        <v>0</v>
      </c>
      <c r="D84">
        <f>IF(A84="","",Config!F87&amp;"")</f>
        <v>0</v>
      </c>
    </row>
    <row r="85" spans="1:4">
      <c r="A85">
        <f>IF(Config!E88="","",Config!E88)</f>
        <v>0</v>
      </c>
      <c r="B85">
        <f>IF(A85="",0,SUMIFS(Receber!$L$5:$L$1004,Receber!$A$5:$A$1004,A85,Receber!$J$5:$J$1004,"&gt;0"))</f>
        <v>0</v>
      </c>
      <c r="C85">
        <f>IF(B85&gt;0,B85+ROW()/1000000000,"")</f>
        <v>0</v>
      </c>
      <c r="D85">
        <f>IF(A85="","",Config!F88&amp;"")</f>
        <v>0</v>
      </c>
    </row>
    <row r="86" spans="1:4">
      <c r="A86">
        <f>IF(Config!E89="","",Config!E89)</f>
        <v>0</v>
      </c>
      <c r="B86">
        <f>IF(A86="",0,SUMIFS(Receber!$L$5:$L$1004,Receber!$A$5:$A$1004,A86,Receber!$J$5:$J$1004,"&gt;0"))</f>
        <v>0</v>
      </c>
      <c r="C86">
        <f>IF(B86&gt;0,B86+ROW()/1000000000,"")</f>
        <v>0</v>
      </c>
      <c r="D86">
        <f>IF(A86="","",Config!F89&amp;"")</f>
        <v>0</v>
      </c>
    </row>
    <row r="87" spans="1:4">
      <c r="A87">
        <f>IF(Config!E90="","",Config!E90)</f>
        <v>0</v>
      </c>
      <c r="B87">
        <f>IF(A87="",0,SUMIFS(Receber!$L$5:$L$1004,Receber!$A$5:$A$1004,A87,Receber!$J$5:$J$1004,"&gt;0"))</f>
        <v>0</v>
      </c>
      <c r="C87">
        <f>IF(B87&gt;0,B87+ROW()/1000000000,"")</f>
        <v>0</v>
      </c>
      <c r="D87">
        <f>IF(A87="","",Config!F90&amp;"")</f>
        <v>0</v>
      </c>
    </row>
    <row r="88" spans="1:4">
      <c r="A88">
        <f>IF(Config!E91="","",Config!E91)</f>
        <v>0</v>
      </c>
      <c r="B88">
        <f>IF(A88="",0,SUMIFS(Receber!$L$5:$L$1004,Receber!$A$5:$A$1004,A88,Receber!$J$5:$J$1004,"&gt;0"))</f>
        <v>0</v>
      </c>
      <c r="C88">
        <f>IF(B88&gt;0,B88+ROW()/1000000000,"")</f>
        <v>0</v>
      </c>
      <c r="D88">
        <f>IF(A88="","",Config!F91&amp;"")</f>
        <v>0</v>
      </c>
    </row>
    <row r="89" spans="1:4">
      <c r="A89">
        <f>IF(Config!E92="","",Config!E92)</f>
        <v>0</v>
      </c>
      <c r="B89">
        <f>IF(A89="",0,SUMIFS(Receber!$L$5:$L$1004,Receber!$A$5:$A$1004,A89,Receber!$J$5:$J$1004,"&gt;0"))</f>
        <v>0</v>
      </c>
      <c r="C89">
        <f>IF(B89&gt;0,B89+ROW()/1000000000,"")</f>
        <v>0</v>
      </c>
      <c r="D89">
        <f>IF(A89="","",Config!F92&amp;"")</f>
        <v>0</v>
      </c>
    </row>
    <row r="90" spans="1:4">
      <c r="A90">
        <f>IF(Config!E93="","",Config!E93)</f>
        <v>0</v>
      </c>
      <c r="B90">
        <f>IF(A90="",0,SUMIFS(Receber!$L$5:$L$1004,Receber!$A$5:$A$1004,A90,Receber!$J$5:$J$1004,"&gt;0"))</f>
        <v>0</v>
      </c>
      <c r="C90">
        <f>IF(B90&gt;0,B90+ROW()/1000000000,"")</f>
        <v>0</v>
      </c>
      <c r="D90">
        <f>IF(A90="","",Config!F93&amp;"")</f>
        <v>0</v>
      </c>
    </row>
    <row r="91" spans="1:4">
      <c r="A91">
        <f>IF(Config!E94="","",Config!E94)</f>
        <v>0</v>
      </c>
      <c r="B91">
        <f>IF(A91="",0,SUMIFS(Receber!$L$5:$L$1004,Receber!$A$5:$A$1004,A91,Receber!$J$5:$J$1004,"&gt;0"))</f>
        <v>0</v>
      </c>
      <c r="C91">
        <f>IF(B91&gt;0,B91+ROW()/1000000000,"")</f>
        <v>0</v>
      </c>
      <c r="D91">
        <f>IF(A91="","",Config!F94&amp;"")</f>
        <v>0</v>
      </c>
    </row>
    <row r="92" spans="1:4">
      <c r="A92">
        <f>IF(Config!E95="","",Config!E95)</f>
        <v>0</v>
      </c>
      <c r="B92">
        <f>IF(A92="",0,SUMIFS(Receber!$L$5:$L$1004,Receber!$A$5:$A$1004,A92,Receber!$J$5:$J$1004,"&gt;0"))</f>
        <v>0</v>
      </c>
      <c r="C92">
        <f>IF(B92&gt;0,B92+ROW()/1000000000,"")</f>
        <v>0</v>
      </c>
      <c r="D92">
        <f>IF(A92="","",Config!F95&amp;"")</f>
        <v>0</v>
      </c>
    </row>
    <row r="93" spans="1:4">
      <c r="A93">
        <f>IF(Config!E96="","",Config!E96)</f>
        <v>0</v>
      </c>
      <c r="B93">
        <f>IF(A93="",0,SUMIFS(Receber!$L$5:$L$1004,Receber!$A$5:$A$1004,A93,Receber!$J$5:$J$1004,"&gt;0"))</f>
        <v>0</v>
      </c>
      <c r="C93">
        <f>IF(B93&gt;0,B93+ROW()/1000000000,"")</f>
        <v>0</v>
      </c>
      <c r="D93">
        <f>IF(A93="","",Config!F96&amp;"")</f>
        <v>0</v>
      </c>
    </row>
    <row r="94" spans="1:4">
      <c r="A94">
        <f>IF(Config!E97="","",Config!E97)</f>
        <v>0</v>
      </c>
      <c r="B94">
        <f>IF(A94="",0,SUMIFS(Receber!$L$5:$L$1004,Receber!$A$5:$A$1004,A94,Receber!$J$5:$J$1004,"&gt;0"))</f>
        <v>0</v>
      </c>
      <c r="C94">
        <f>IF(B94&gt;0,B94+ROW()/1000000000,"")</f>
        <v>0</v>
      </c>
      <c r="D94">
        <f>IF(A94="","",Config!F97&amp;"")</f>
        <v>0</v>
      </c>
    </row>
    <row r="95" spans="1:4">
      <c r="A95">
        <f>IF(Config!E98="","",Config!E98)</f>
        <v>0</v>
      </c>
      <c r="B95">
        <f>IF(A95="",0,SUMIFS(Receber!$L$5:$L$1004,Receber!$A$5:$A$1004,A95,Receber!$J$5:$J$1004,"&gt;0"))</f>
        <v>0</v>
      </c>
      <c r="C95">
        <f>IF(B95&gt;0,B95+ROW()/1000000000,"")</f>
        <v>0</v>
      </c>
      <c r="D95">
        <f>IF(A95="","",Config!F98&amp;"")</f>
        <v>0</v>
      </c>
    </row>
    <row r="96" spans="1:4">
      <c r="A96">
        <f>IF(Config!E99="","",Config!E99)</f>
        <v>0</v>
      </c>
      <c r="B96">
        <f>IF(A96="",0,SUMIFS(Receber!$L$5:$L$1004,Receber!$A$5:$A$1004,A96,Receber!$J$5:$J$1004,"&gt;0"))</f>
        <v>0</v>
      </c>
      <c r="C96">
        <f>IF(B96&gt;0,B96+ROW()/1000000000,"")</f>
        <v>0</v>
      </c>
      <c r="D96">
        <f>IF(A96="","",Config!F99&amp;"")</f>
        <v>0</v>
      </c>
    </row>
    <row r="97" spans="1:4">
      <c r="A97">
        <f>IF(Config!E100="","",Config!E100)</f>
        <v>0</v>
      </c>
      <c r="B97">
        <f>IF(A97="",0,SUMIFS(Receber!$L$5:$L$1004,Receber!$A$5:$A$1004,A97,Receber!$J$5:$J$1004,"&gt;0"))</f>
        <v>0</v>
      </c>
      <c r="C97">
        <f>IF(B97&gt;0,B97+ROW()/1000000000,"")</f>
        <v>0</v>
      </c>
      <c r="D97">
        <f>IF(A97="","",Config!F100&amp;"")</f>
        <v>0</v>
      </c>
    </row>
    <row r="98" spans="1:4">
      <c r="A98">
        <f>IF(Config!E101="","",Config!E101)</f>
        <v>0</v>
      </c>
      <c r="B98">
        <f>IF(A98="",0,SUMIFS(Receber!$L$5:$L$1004,Receber!$A$5:$A$1004,A98,Receber!$J$5:$J$1004,"&gt;0"))</f>
        <v>0</v>
      </c>
      <c r="C98">
        <f>IF(B98&gt;0,B98+ROW()/1000000000,"")</f>
        <v>0</v>
      </c>
      <c r="D98">
        <f>IF(A98="","",Config!F101&amp;"")</f>
        <v>0</v>
      </c>
    </row>
    <row r="99" spans="1:4">
      <c r="A99">
        <f>IF(Config!E102="","",Config!E102)</f>
        <v>0</v>
      </c>
      <c r="B99">
        <f>IF(A99="",0,SUMIFS(Receber!$L$5:$L$1004,Receber!$A$5:$A$1004,A99,Receber!$J$5:$J$1004,"&gt;0"))</f>
        <v>0</v>
      </c>
      <c r="C99">
        <f>IF(B99&gt;0,B99+ROW()/1000000000,"")</f>
        <v>0</v>
      </c>
      <c r="D99">
        <f>IF(A99="","",Config!F102&amp;"")</f>
        <v>0</v>
      </c>
    </row>
    <row r="100" spans="1:4">
      <c r="A100">
        <f>IF(Config!E103="","",Config!E103)</f>
        <v>0</v>
      </c>
      <c r="B100">
        <f>IF(A100="",0,SUMIFS(Receber!$L$5:$L$1004,Receber!$A$5:$A$1004,A100,Receber!$J$5:$J$1004,"&gt;0"))</f>
        <v>0</v>
      </c>
      <c r="C100">
        <f>IF(B100&gt;0,B100+ROW()/1000000000,"")</f>
        <v>0</v>
      </c>
      <c r="D100">
        <f>IF(A100="","",Config!F103&amp;"")</f>
        <v>0</v>
      </c>
    </row>
    <row r="101" spans="1:4">
      <c r="A101">
        <f>IF(Config!E104="","",Config!E104)</f>
        <v>0</v>
      </c>
      <c r="B101">
        <f>IF(A101="",0,SUMIFS(Receber!$L$5:$L$1004,Receber!$A$5:$A$1004,A101,Receber!$J$5:$J$1004,"&gt;0"))</f>
        <v>0</v>
      </c>
      <c r="C101">
        <f>IF(B101&gt;0,B101+ROW()/1000000000,"")</f>
        <v>0</v>
      </c>
      <c r="D101">
        <f>IF(A101="","",Config!F104&amp;"")</f>
        <v>0</v>
      </c>
    </row>
  </sheetData>
  <pageMargins left="0.7" right="0.7" top="0.75" bottom="0.75" header="0.3" footer="0.3"/>
  <pageSetup paperSize="9" fitToHeight="0" orientation="landscape"/>
  <headerFooter>
    <oddFooter>&amp;L&amp;8Carvex XLS - Contas a Pagar e Receber com Inadimplência&amp;R&amp;8Página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M29"/>
  <sheetViews>
    <sheetView showGridLines="0" workbookViewId="0"/>
  </sheetViews>
  <sheetFormatPr defaultRowHeight="15"/>
  <cols>
    <col min="1" max="12" width="13.7109375" customWidth="1"/>
    <col min="13" max="13" width="0" hidden="1" customWidth="1"/>
  </cols>
  <sheetData>
    <row r="1" spans="1:13" ht="36" customHeight="1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20" customHeight="1">
      <c r="A2" s="2" t="s">
        <v>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3" ht="24" customHeight="1">
      <c r="A4" s="24" t="s">
        <v>91</v>
      </c>
      <c r="B4" s="24"/>
      <c r="C4" s="24"/>
      <c r="D4" s="24" t="s">
        <v>92</v>
      </c>
      <c r="E4" s="24"/>
      <c r="F4" s="24"/>
      <c r="G4" s="24" t="s">
        <v>93</v>
      </c>
      <c r="H4" s="24"/>
      <c r="I4" s="24"/>
      <c r="J4" s="24" t="s">
        <v>94</v>
      </c>
      <c r="K4" s="24"/>
      <c r="L4" s="24"/>
    </row>
    <row r="5" spans="1:13" ht="32" customHeight="1">
      <c r="A5" s="25">
        <f>SUM(Receber!$L$5:$L$1004)</f>
        <v>0</v>
      </c>
      <c r="B5" s="25"/>
      <c r="C5" s="25"/>
      <c r="D5" s="26">
        <f>SUMIFS(Receber!$L$5:$L$1004,Receber!$J$5:$J$1004,"&gt;0")</f>
        <v>0</v>
      </c>
      <c r="E5" s="26"/>
      <c r="F5" s="26"/>
      <c r="G5" s="27">
        <f>IFERROR(D5/A5,0)</f>
        <v>0</v>
      </c>
      <c r="H5" s="27"/>
      <c r="I5" s="27"/>
      <c r="J5" s="25">
        <f>SUMIFS(Receber!$G$5:$G$1004,Receber!$F$5:$F$1004,"&gt;="&amp;DATE(YEAR(Hoje),MONTH(Hoje),1),Receber!$F$5:$F$1004,"&lt;="&amp;DATE(YEAR(Hoje),MONTH(Hoje)+1,0))</f>
        <v>0</v>
      </c>
      <c r="K5" s="25"/>
      <c r="L5" s="25"/>
    </row>
    <row r="7" spans="1:13" ht="24" customHeight="1">
      <c r="A7" s="24" t="s">
        <v>95</v>
      </c>
      <c r="B7" s="24"/>
      <c r="C7" s="24"/>
      <c r="D7" s="24" t="s">
        <v>96</v>
      </c>
      <c r="E7" s="24"/>
      <c r="F7" s="24"/>
      <c r="G7" s="24" t="s">
        <v>97</v>
      </c>
      <c r="H7" s="24"/>
      <c r="I7" s="24"/>
      <c r="J7" s="24" t="s">
        <v>98</v>
      </c>
      <c r="K7" s="24"/>
      <c r="L7" s="24"/>
    </row>
    <row r="8" spans="1:13" ht="32" customHeight="1">
      <c r="A8" s="25">
        <f>SUM(Pagar!$K$5:$K$1004)</f>
        <v>0</v>
      </c>
      <c r="B8" s="25"/>
      <c r="C8" s="25"/>
      <c r="D8" s="26">
        <f>SUMIFS(Pagar!$K$5:$K$1004,Pagar!$I$5:$I$1004,"Vencida")</f>
        <v>0</v>
      </c>
      <c r="E8" s="26"/>
      <c r="F8" s="26"/>
      <c r="G8" s="28">
        <f>SUMIFS(Pagar!$K$5:$K$1004,Pagar!$D$5:$D$1004,"&gt;="&amp;Hoje,Pagar!$D$5:$D$1004,"&lt;="&amp;(Hoje+DiasAlerta))</f>
        <v>0</v>
      </c>
      <c r="H8" s="28"/>
      <c r="I8" s="28"/>
      <c r="J8" s="25">
        <f>SUMIFS(Pagar!$G$5:$G$1004,Pagar!$F$5:$F$1004,"&gt;="&amp;DATE(YEAR(Hoje),MONTH(Hoje),1),Pagar!$F$5:$F$1004,"&lt;="&amp;DATE(YEAR(Hoje),MONTH(Hoje)+1,0))</f>
        <v>0</v>
      </c>
      <c r="K8" s="25"/>
      <c r="L8" s="25"/>
    </row>
    <row r="10" spans="1:13">
      <c r="A10" s="3" t="s">
        <v>99</v>
      </c>
      <c r="B10" s="3"/>
      <c r="C10" s="3"/>
      <c r="D10" s="3"/>
      <c r="F10" s="3" t="s">
        <v>108</v>
      </c>
      <c r="G10" s="3"/>
      <c r="H10" s="3"/>
      <c r="I10" s="3"/>
      <c r="J10" s="3"/>
      <c r="K10" s="3"/>
      <c r="L10" s="3"/>
    </row>
    <row r="11" spans="1:13" ht="22" customHeight="1">
      <c r="A11" s="10" t="s">
        <v>75</v>
      </c>
      <c r="B11" s="10" t="s">
        <v>100</v>
      </c>
      <c r="C11" s="10" t="s">
        <v>101</v>
      </c>
      <c r="D11" s="10" t="s">
        <v>102</v>
      </c>
      <c r="F11" s="10" t="s">
        <v>109</v>
      </c>
      <c r="G11" s="10" t="s">
        <v>65</v>
      </c>
      <c r="H11" s="10"/>
      <c r="I11" s="10"/>
      <c r="J11" s="10" t="s">
        <v>87</v>
      </c>
      <c r="K11" s="10"/>
      <c r="L11" s="10" t="s">
        <v>44</v>
      </c>
    </row>
    <row r="12" spans="1:13">
      <c r="A12" s="29" t="s">
        <v>103</v>
      </c>
      <c r="B12" s="30">
        <f>COUNTIFS(Receber!$K$5:$K$1004,A12,Receber!$L$5:$L$1004,"&gt;0.005")</f>
        <v>0</v>
      </c>
      <c r="C12" s="21">
        <f>SUMIFS(Receber!$L$5:$L$1004,Receber!$K$5:$K$1004,A12)</f>
        <v>0</v>
      </c>
      <c r="D12" s="31">
        <f>IFERROR(C12/SUM($C$12:$C$16),0)</f>
        <v>0</v>
      </c>
      <c r="F12" s="32">
        <v>1</v>
      </c>
      <c r="G12" s="33">
        <f>IF(M12="","",INDEX(Calc!$A$2:$A$101,MATCH(M12,Calc!$C$2:$C$101,0)))</f>
        <v>0</v>
      </c>
      <c r="H12" s="33"/>
      <c r="I12" s="33"/>
      <c r="J12" s="21">
        <f>IF(M12="","",ROUND(M12,2))</f>
        <v>0</v>
      </c>
      <c r="K12" s="21"/>
      <c r="L12" s="20">
        <f>IF(M12="","",INDEX(Calc!$D$2:$D$101,MATCH(M12,Calc!$C$2:$C$101,0)))</f>
        <v>0</v>
      </c>
      <c r="M12" s="34">
        <f>IFERROR(LARGE(Calc!$C$2:$C$101,1),"")</f>
        <v>0</v>
      </c>
    </row>
    <row r="13" spans="1:13">
      <c r="A13" s="29" t="s">
        <v>104</v>
      </c>
      <c r="B13" s="30">
        <f>COUNTIFS(Receber!$K$5:$K$1004,A13,Receber!$L$5:$L$1004,"&gt;0.005")</f>
        <v>0</v>
      </c>
      <c r="C13" s="21">
        <f>SUMIFS(Receber!$L$5:$L$1004,Receber!$K$5:$K$1004,A13)</f>
        <v>0</v>
      </c>
      <c r="D13" s="31">
        <f>IFERROR(C13/SUM($C$12:$C$16),0)</f>
        <v>0</v>
      </c>
      <c r="F13" s="32">
        <v>2</v>
      </c>
      <c r="G13" s="33">
        <f>IF(M13="","",INDEX(Calc!$A$2:$A$101,MATCH(M13,Calc!$C$2:$C$101,0)))</f>
        <v>0</v>
      </c>
      <c r="H13" s="33"/>
      <c r="I13" s="33"/>
      <c r="J13" s="21">
        <f>IF(M13="","",ROUND(M13,2))</f>
        <v>0</v>
      </c>
      <c r="K13" s="21"/>
      <c r="L13" s="20">
        <f>IF(M13="","",INDEX(Calc!$D$2:$D$101,MATCH(M13,Calc!$C$2:$C$101,0)))</f>
        <v>0</v>
      </c>
      <c r="M13" s="34">
        <f>IFERROR(LARGE(Calc!$C$2:$C$101,2),"")</f>
        <v>0</v>
      </c>
    </row>
    <row r="14" spans="1:13">
      <c r="A14" s="29" t="s">
        <v>105</v>
      </c>
      <c r="B14" s="30">
        <f>COUNTIFS(Receber!$K$5:$K$1004,A14,Receber!$L$5:$L$1004,"&gt;0.005")</f>
        <v>0</v>
      </c>
      <c r="C14" s="21">
        <f>SUMIFS(Receber!$L$5:$L$1004,Receber!$K$5:$K$1004,A14)</f>
        <v>0</v>
      </c>
      <c r="D14" s="31">
        <f>IFERROR(C14/SUM($C$12:$C$16),0)</f>
        <v>0</v>
      </c>
      <c r="F14" s="32">
        <v>3</v>
      </c>
      <c r="G14" s="33">
        <f>IF(M14="","",INDEX(Calc!$A$2:$A$101,MATCH(M14,Calc!$C$2:$C$101,0)))</f>
        <v>0</v>
      </c>
      <c r="H14" s="33"/>
      <c r="I14" s="33"/>
      <c r="J14" s="21">
        <f>IF(M14="","",ROUND(M14,2))</f>
        <v>0</v>
      </c>
      <c r="K14" s="21"/>
      <c r="L14" s="20">
        <f>IF(M14="","",INDEX(Calc!$D$2:$D$101,MATCH(M14,Calc!$C$2:$C$101,0)))</f>
        <v>0</v>
      </c>
      <c r="M14" s="34">
        <f>IFERROR(LARGE(Calc!$C$2:$C$101,3),"")</f>
        <v>0</v>
      </c>
    </row>
    <row r="15" spans="1:13">
      <c r="A15" s="29" t="s">
        <v>106</v>
      </c>
      <c r="B15" s="30">
        <f>COUNTIFS(Receber!$K$5:$K$1004,A15,Receber!$L$5:$L$1004,"&gt;0.005")</f>
        <v>0</v>
      </c>
      <c r="C15" s="21">
        <f>SUMIFS(Receber!$L$5:$L$1004,Receber!$K$5:$K$1004,A15)</f>
        <v>0</v>
      </c>
      <c r="D15" s="31">
        <f>IFERROR(C15/SUM($C$12:$C$16),0)</f>
        <v>0</v>
      </c>
      <c r="F15" s="32">
        <v>4</v>
      </c>
      <c r="G15" s="33">
        <f>IF(M15="","",INDEX(Calc!$A$2:$A$101,MATCH(M15,Calc!$C$2:$C$101,0)))</f>
        <v>0</v>
      </c>
      <c r="H15" s="33"/>
      <c r="I15" s="33"/>
      <c r="J15" s="21">
        <f>IF(M15="","",ROUND(M15,2))</f>
        <v>0</v>
      </c>
      <c r="K15" s="21"/>
      <c r="L15" s="20">
        <f>IF(M15="","",INDEX(Calc!$D$2:$D$101,MATCH(M15,Calc!$C$2:$C$101,0)))</f>
        <v>0</v>
      </c>
      <c r="M15" s="34">
        <f>IFERROR(LARGE(Calc!$C$2:$C$101,4),"")</f>
        <v>0</v>
      </c>
    </row>
    <row r="16" spans="1:13">
      <c r="A16" s="29" t="s">
        <v>107</v>
      </c>
      <c r="B16" s="30">
        <f>COUNTIFS(Receber!$K$5:$K$1004,A16,Receber!$L$5:$L$1004,"&gt;0.005")</f>
        <v>0</v>
      </c>
      <c r="C16" s="21">
        <f>SUMIFS(Receber!$L$5:$L$1004,Receber!$K$5:$K$1004,A16)</f>
        <v>0</v>
      </c>
      <c r="D16" s="31">
        <f>IFERROR(C16/SUM($C$12:$C$16),0)</f>
        <v>0</v>
      </c>
      <c r="F16" s="32">
        <v>5</v>
      </c>
      <c r="G16" s="33">
        <f>IF(M16="","",INDEX(Calc!$A$2:$A$101,MATCH(M16,Calc!$C$2:$C$101,0)))</f>
        <v>0</v>
      </c>
      <c r="H16" s="33"/>
      <c r="I16" s="33"/>
      <c r="J16" s="21">
        <f>IF(M16="","",ROUND(M16,2))</f>
        <v>0</v>
      </c>
      <c r="K16" s="21"/>
      <c r="L16" s="20">
        <f>IF(M16="","",INDEX(Calc!$D$2:$D$101,MATCH(M16,Calc!$C$2:$C$101,0)))</f>
        <v>0</v>
      </c>
      <c r="M16" s="34">
        <f>IFERROR(LARGE(Calc!$C$2:$C$101,5),"")</f>
        <v>0</v>
      </c>
    </row>
    <row r="19" spans="1:7">
      <c r="A19" s="3" t="s">
        <v>110</v>
      </c>
      <c r="B19" s="3"/>
      <c r="C19" s="3"/>
      <c r="D19" s="3"/>
      <c r="E19" s="3"/>
      <c r="F19" s="3"/>
      <c r="G19" s="3"/>
    </row>
    <row r="20" spans="1:7" ht="24" customHeight="1">
      <c r="A20" s="10" t="s">
        <v>111</v>
      </c>
      <c r="B20" s="10" t="s">
        <v>112</v>
      </c>
      <c r="C20" s="10" t="s">
        <v>113</v>
      </c>
      <c r="D20" s="10" t="s">
        <v>114</v>
      </c>
      <c r="E20" s="10" t="s">
        <v>115</v>
      </c>
      <c r="F20" s="10" t="s">
        <v>116</v>
      </c>
      <c r="G20" s="10" t="s">
        <v>117</v>
      </c>
    </row>
    <row r="21" spans="1:7">
      <c r="A21" s="29" t="s">
        <v>118</v>
      </c>
      <c r="B21" s="20" t="s">
        <v>119</v>
      </c>
      <c r="C21" s="20" t="s">
        <v>119</v>
      </c>
      <c r="D21" s="21">
        <f>SUMIFS(Receber!$L$5:$L$1004,Receber!$D$5:$D$1004,"&lt;"&amp;Hoje)</f>
        <v>0</v>
      </c>
      <c r="E21" s="21">
        <f>SUMIFS(Pagar!$K$5:$K$1004,Pagar!$D$5:$D$1004,"&lt;"&amp;Hoje)</f>
        <v>0</v>
      </c>
      <c r="F21" s="21">
        <f>D21-E21</f>
        <v>0</v>
      </c>
      <c r="G21" s="21">
        <f>F21</f>
        <v>0</v>
      </c>
    </row>
    <row r="22" spans="1:7">
      <c r="A22" s="29" t="s">
        <v>120</v>
      </c>
      <c r="B22" s="14">
        <f>Hoje+0</f>
        <v>46303.0</v>
      </c>
      <c r="C22" s="14">
        <f>B22+6</f>
        <v>46309.0</v>
      </c>
      <c r="D22" s="21">
        <f>SUMIFS(Receber!$L$5:$L$1004,Receber!$D$5:$D$1004,"&gt;="&amp;B22,Receber!$D$5:$D$1004,"&lt;="&amp;C22)</f>
        <v>0</v>
      </c>
      <c r="E22" s="21">
        <f>SUMIFS(Pagar!$K$5:$K$1004,Pagar!$D$5:$D$1004,"&gt;="&amp;B22,Pagar!$D$5:$D$1004,"&lt;="&amp;C22)</f>
        <v>0</v>
      </c>
      <c r="F22" s="21">
        <f>D22-E22</f>
        <v>0</v>
      </c>
      <c r="G22" s="22">
        <f>G21+F22</f>
        <v>0</v>
      </c>
    </row>
    <row r="23" spans="1:7">
      <c r="A23" s="29" t="s">
        <v>121</v>
      </c>
      <c r="B23" s="14">
        <f>Hoje+7</f>
        <v>46310.0</v>
      </c>
      <c r="C23" s="14">
        <f>B23+6</f>
        <v>46316.0</v>
      </c>
      <c r="D23" s="21">
        <f>SUMIFS(Receber!$L$5:$L$1004,Receber!$D$5:$D$1004,"&gt;="&amp;B23,Receber!$D$5:$D$1004,"&lt;="&amp;C23)</f>
        <v>0</v>
      </c>
      <c r="E23" s="21">
        <f>SUMIFS(Pagar!$K$5:$K$1004,Pagar!$D$5:$D$1004,"&gt;="&amp;B23,Pagar!$D$5:$D$1004,"&lt;="&amp;C23)</f>
        <v>0</v>
      </c>
      <c r="F23" s="21">
        <f>D23-E23</f>
        <v>0</v>
      </c>
      <c r="G23" s="22">
        <f>G22+F23</f>
        <v>0</v>
      </c>
    </row>
    <row r="24" spans="1:7">
      <c r="A24" s="29" t="s">
        <v>122</v>
      </c>
      <c r="B24" s="14">
        <f>Hoje+14</f>
        <v>46317.0</v>
      </c>
      <c r="C24" s="14">
        <f>B24+6</f>
        <v>46323.0</v>
      </c>
      <c r="D24" s="21">
        <f>SUMIFS(Receber!$L$5:$L$1004,Receber!$D$5:$D$1004,"&gt;="&amp;B24,Receber!$D$5:$D$1004,"&lt;="&amp;C24)</f>
        <v>0</v>
      </c>
      <c r="E24" s="21">
        <f>SUMIFS(Pagar!$K$5:$K$1004,Pagar!$D$5:$D$1004,"&gt;="&amp;B24,Pagar!$D$5:$D$1004,"&lt;="&amp;C24)</f>
        <v>0</v>
      </c>
      <c r="F24" s="21">
        <f>D24-E24</f>
        <v>0</v>
      </c>
      <c r="G24" s="22">
        <f>G23+F24</f>
        <v>0</v>
      </c>
    </row>
    <row r="25" spans="1:7">
      <c r="A25" s="29" t="s">
        <v>123</v>
      </c>
      <c r="B25" s="14">
        <f>Hoje+21</f>
        <v>46324.0</v>
      </c>
      <c r="C25" s="14">
        <f>B25+6</f>
        <v>46330.0</v>
      </c>
      <c r="D25" s="21">
        <f>SUMIFS(Receber!$L$5:$L$1004,Receber!$D$5:$D$1004,"&gt;="&amp;B25,Receber!$D$5:$D$1004,"&lt;="&amp;C25)</f>
        <v>0</v>
      </c>
      <c r="E25" s="21">
        <f>SUMIFS(Pagar!$K$5:$K$1004,Pagar!$D$5:$D$1004,"&gt;="&amp;B25,Pagar!$D$5:$D$1004,"&lt;="&amp;C25)</f>
        <v>0</v>
      </c>
      <c r="F25" s="21">
        <f>D25-E25</f>
        <v>0</v>
      </c>
      <c r="G25" s="22">
        <f>G24+F25</f>
        <v>0</v>
      </c>
    </row>
    <row r="26" spans="1:7">
      <c r="A26" s="29" t="s">
        <v>124</v>
      </c>
      <c r="B26" s="14">
        <f>Hoje+28</f>
        <v>46331.0</v>
      </c>
      <c r="C26" s="14">
        <f>B26+6</f>
        <v>46337.0</v>
      </c>
      <c r="D26" s="21">
        <f>SUMIFS(Receber!$L$5:$L$1004,Receber!$D$5:$D$1004,"&gt;="&amp;B26,Receber!$D$5:$D$1004,"&lt;="&amp;C26)</f>
        <v>0</v>
      </c>
      <c r="E26" s="21">
        <f>SUMIFS(Pagar!$K$5:$K$1004,Pagar!$D$5:$D$1004,"&gt;="&amp;B26,Pagar!$D$5:$D$1004,"&lt;="&amp;C26)</f>
        <v>0</v>
      </c>
      <c r="F26" s="21">
        <f>D26-E26</f>
        <v>0</v>
      </c>
      <c r="G26" s="22">
        <f>G25+F26</f>
        <v>0</v>
      </c>
    </row>
    <row r="27" spans="1:7">
      <c r="A27" s="29" t="s">
        <v>125</v>
      </c>
      <c r="B27" s="14">
        <f>Hoje+35</f>
        <v>46338.0</v>
      </c>
      <c r="C27" s="14">
        <f>B27+6</f>
        <v>46344.0</v>
      </c>
      <c r="D27" s="21">
        <f>SUMIFS(Receber!$L$5:$L$1004,Receber!$D$5:$D$1004,"&gt;="&amp;B27,Receber!$D$5:$D$1004,"&lt;="&amp;C27)</f>
        <v>0</v>
      </c>
      <c r="E27" s="21">
        <f>SUMIFS(Pagar!$K$5:$K$1004,Pagar!$D$5:$D$1004,"&gt;="&amp;B27,Pagar!$D$5:$D$1004,"&lt;="&amp;C27)</f>
        <v>0</v>
      </c>
      <c r="F27" s="21">
        <f>D27-E27</f>
        <v>0</v>
      </c>
      <c r="G27" s="22">
        <f>G26+F27</f>
        <v>0</v>
      </c>
    </row>
    <row r="28" spans="1:7">
      <c r="A28" s="29" t="s">
        <v>126</v>
      </c>
      <c r="B28" s="14">
        <f>Hoje+42</f>
        <v>46345.0</v>
      </c>
      <c r="C28" s="14">
        <f>B28+6</f>
        <v>46351.0</v>
      </c>
      <c r="D28" s="21">
        <f>SUMIFS(Receber!$L$5:$L$1004,Receber!$D$5:$D$1004,"&gt;="&amp;B28,Receber!$D$5:$D$1004,"&lt;="&amp;C28)</f>
        <v>0</v>
      </c>
      <c r="E28" s="21">
        <f>SUMIFS(Pagar!$K$5:$K$1004,Pagar!$D$5:$D$1004,"&gt;="&amp;B28,Pagar!$D$5:$D$1004,"&lt;="&amp;C28)</f>
        <v>0</v>
      </c>
      <c r="F28" s="21">
        <f>D28-E28</f>
        <v>0</v>
      </c>
      <c r="G28" s="22">
        <f>G27+F28</f>
        <v>0</v>
      </c>
    </row>
    <row r="29" spans="1:7">
      <c r="A29" s="29" t="s">
        <v>127</v>
      </c>
      <c r="B29" s="14">
        <f>Hoje+49</f>
        <v>46352.0</v>
      </c>
      <c r="C29" s="14">
        <f>B29+6</f>
        <v>46358.0</v>
      </c>
      <c r="D29" s="21">
        <f>SUMIFS(Receber!$L$5:$L$1004,Receber!$D$5:$D$1004,"&gt;="&amp;B29,Receber!$D$5:$D$1004,"&lt;="&amp;C29)</f>
        <v>0</v>
      </c>
      <c r="E29" s="21">
        <f>SUMIFS(Pagar!$K$5:$K$1004,Pagar!$D$5:$D$1004,"&gt;="&amp;B29,Pagar!$D$5:$D$1004,"&lt;="&amp;C29)</f>
        <v>0</v>
      </c>
      <c r="F29" s="21">
        <f>D29-E29</f>
        <v>0</v>
      </c>
      <c r="G29" s="22">
        <f>G28+F29</f>
        <v>0</v>
      </c>
    </row>
  </sheetData>
  <sheetProtection sheet="1" objects="1" scenarios="1"/>
  <mergeCells count="33">
    <mergeCell ref="A1:L1"/>
    <mergeCell ref="A2:L2"/>
    <mergeCell ref="A4:C4"/>
    <mergeCell ref="A5:C5"/>
    <mergeCell ref="D4:F4"/>
    <mergeCell ref="D5:F5"/>
    <mergeCell ref="G4:I4"/>
    <mergeCell ref="G5:I5"/>
    <mergeCell ref="J4:L4"/>
    <mergeCell ref="J5:L5"/>
    <mergeCell ref="A7:C7"/>
    <mergeCell ref="A8:C8"/>
    <mergeCell ref="D7:F7"/>
    <mergeCell ref="D8:F8"/>
    <mergeCell ref="G7:I7"/>
    <mergeCell ref="G8:I8"/>
    <mergeCell ref="J7:L7"/>
    <mergeCell ref="J8:L8"/>
    <mergeCell ref="A10:D10"/>
    <mergeCell ref="F10:L10"/>
    <mergeCell ref="G11:I11"/>
    <mergeCell ref="J11:K11"/>
    <mergeCell ref="G12:I12"/>
    <mergeCell ref="J12:K12"/>
    <mergeCell ref="G13:I13"/>
    <mergeCell ref="J13:K13"/>
    <mergeCell ref="G14:I14"/>
    <mergeCell ref="J14:K14"/>
    <mergeCell ref="G15:I15"/>
    <mergeCell ref="J15:K15"/>
    <mergeCell ref="G16:I16"/>
    <mergeCell ref="J16:K16"/>
    <mergeCell ref="A19:G19"/>
  </mergeCells>
  <conditionalFormatting sqref="F21:G29">
    <cfRule type="cellIs" dxfId="6" priority="1" operator="lessThan">
      <formula>0</formula>
    </cfRule>
  </conditionalFormatting>
  <pageMargins left="0.7" right="0.7" top="0.75" bottom="0.75" header="0.3" footer="0.3"/>
  <pageSetup paperSize="9" orientation="landscape"/>
  <headerFooter>
    <oddFooter>&amp;L&amp;8Carvex XLS - Contas a Pagar e Receber com Inadimplência&amp;R&amp;8Página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Início</vt:lpstr>
      <vt:lpstr>Config</vt:lpstr>
      <vt:lpstr>Receber</vt:lpstr>
      <vt:lpstr>Pagar</vt:lpstr>
      <vt:lpstr>Calc</vt:lpstr>
      <vt:lpstr>Painel</vt:lpstr>
      <vt:lpstr>CatDesp</vt:lpstr>
      <vt:lpstr>ClienteNome</vt:lpstr>
      <vt:lpstr>ClienteTel</vt:lpstr>
      <vt:lpstr>DiasAlerta</vt:lpstr>
      <vt:lpstr>Formas</vt:lpstr>
      <vt:lpstr>FornNome</vt:lpstr>
      <vt:lpstr>Hoje</vt:lpstr>
      <vt:lpstr>Juros</vt:lpstr>
      <vt:lpstr>Multa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Contas a Pagar e Receber com Inadimplência</dc:title>
  <dc:creator>Carvex XLS</dc:creator>
  <dc:description>Planilha empresarial Carvex XLS</dc:description>
  <cp:lastModifiedBy>Carvex XLS</cp:lastModifiedBy>
  <dcterms:created xsi:type="dcterms:W3CDTF">2026-10-08T12:30:32Z</dcterms:created>
  <dcterms:modified xsi:type="dcterms:W3CDTF">2026-10-08T12:30:32Z</dcterms:modified>
</cp:coreProperties>
</file>